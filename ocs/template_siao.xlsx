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ai Quan\Downloads\143_26 TP\143_26 TP\Automation\ocs\"/>
    </mc:Choice>
  </mc:AlternateContent>
  <xr:revisionPtr revIDLastSave="0" documentId="13_ncr:1_{EFCCA977-B1CD-4031-945F-08941E125EB0}" xr6:coauthVersionLast="47" xr6:coauthVersionMax="47" xr10:uidLastSave="{00000000-0000-0000-0000-000000000000}"/>
  <bookViews>
    <workbookView xWindow="-108" yWindow="-108" windowWidth="23256" windowHeight="12456" tabRatio="455" activeTab="1" xr2:uid="{00000000-000D-0000-FFFF-FFFF00000000}"/>
  </bookViews>
  <sheets>
    <sheet name="(Fill In) SIAO" sheetId="4" r:id="rId1"/>
    <sheet name="(Fill In) CE &amp; Signals " sheetId="5" r:id="rId2"/>
    <sheet name="(Fill In) Stores " sheetId="6" r:id="rId3"/>
    <sheet name="(Fill In) CE &amp; Signals" sheetId="7" state="hidden" r:id="rId4"/>
    <sheet name="(Fill In) Signal Optics" sheetId="8" state="hidden" r:id="rId5"/>
    <sheet name="(Fill In) Stores" sheetId="9" state="hidden" r:id="rId6"/>
  </sheets>
  <externalReferences>
    <externalReference r:id="rId7"/>
  </externalReferences>
  <definedNames>
    <definedName name="_xlnm._FilterDatabase" localSheetId="0" hidden="1">'(Fill In) SIAO'!$B$11:$DP$12</definedName>
    <definedName name="ACMS">OFFSET('(Fill In) SIAO'!$DC$12,0,0,COUNTA('(Fill In) SIAO'!$DC$12:$DC$335))</definedName>
    <definedName name="ATMS">OFFSET('[1](Fill In) SIAO'!$DA$12,0,0,COUNTA('[1](Fill In) SIAO'!$DA$12:$DA$377))</definedName>
    <definedName name="Conducts">OFFSET(#REF!,0,0,COUNTA(#REF!),1)</definedName>
    <definedName name="EndDate">OFFSET('(Fill In) SIAO'!$G$12,0,0,COUNTA('(Fill In) SIAO'!$G$12:$G$335))</definedName>
    <definedName name="Heli">OFFSET('(Fill In) SIAO'!$DG$12,0,0,COUNTA('(Fill In) SIAO'!$DG$12:$DG$335))</definedName>
    <definedName name="HLT">OFFSET('(Fill In) SIAO'!$DE$12,0,0,COUNTA('(Fill In) SIAO'!$DE$12:$DE$335))</definedName>
    <definedName name="MMR">OFFSET('(Fill In) SIAO'!$DB$12,0,0,COUNTA('(Fill In) SIAO'!$DB$12:$DB$335))</definedName>
    <definedName name="Optics">OFFSET('(Fill In) SIAO'!#REF!,0,0,COUNTA('(Fill In) SIAO'!#REF!))</definedName>
    <definedName name="PANTES">OFFSET('(Fill In) SIAO'!$DF$12,0,0,COUNTA('(Fill In) SIAO'!$DF$12:$DF$335))</definedName>
    <definedName name="POL">OFFSET('(Fill In) SIAO'!$DJ$12,0,0,COUNTA('(Fill In) SIAO'!$DJ$12:$DJ$335))</definedName>
    <definedName name="Signals">OFFSET('(Fill In) SIAO'!#REF!,0,0,COUNTA('(Fill In) SIAO'!#REF!))</definedName>
    <definedName name="SMARTO">OFFSET(#REF!,0,0,COUNTA(#REF!),COUNTA(#REF!))</definedName>
    <definedName name="StartDate">OFFSET('(Fill In) SIAO'!$E$12,0,0,COUNTA('(Fill In) SIAO'!$E$12:$E$335))</definedName>
    <definedName name="UO">OFFSET('[1](Fill In) SIAO'!$DB$12,0,0,COUNTA('[1](Fill In) SIAO'!$DB$12:$DB$377))</definedName>
    <definedName name="UOCE">OFFSET('(Fill In) SIAO'!$DD$12,0,0,COUNTA('(Fill In) SIAO'!$DD$12:$DD$335))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W115" i="5" l="1"/>
  <c r="BV112" i="5"/>
  <c r="BV111" i="5"/>
  <c r="BW110" i="5"/>
  <c r="BV107" i="5"/>
  <c r="BW106" i="5"/>
  <c r="BX106" i="5" s="1"/>
  <c r="BY106" i="5" s="1"/>
  <c r="BZ106" i="5" s="1"/>
  <c r="CA106" i="5" s="1"/>
  <c r="BW85" i="5"/>
  <c r="BX85" i="5" s="1"/>
  <c r="BX67" i="5"/>
  <c r="BW67" i="5"/>
  <c r="BW60" i="5"/>
  <c r="BW48" i="5"/>
  <c r="BW32" i="5"/>
  <c r="BX32" i="5" s="1"/>
  <c r="BY32" i="5" s="1"/>
  <c r="BZ32" i="5" s="1"/>
  <c r="CA32" i="5" s="1"/>
  <c r="CB32" i="5" s="1"/>
  <c r="CC32" i="5" s="1"/>
  <c r="CD32" i="5" s="1"/>
  <c r="CE32" i="5" s="1"/>
  <c r="CF32" i="5" s="1"/>
  <c r="CG32" i="5" s="1"/>
  <c r="CH32" i="5" s="1"/>
  <c r="CI32" i="5" s="1"/>
  <c r="CJ32" i="5" s="1"/>
  <c r="CK32" i="5" s="1"/>
  <c r="CL32" i="5" s="1"/>
  <c r="CM32" i="5" s="1"/>
  <c r="CN32" i="5" s="1"/>
  <c r="CO32" i="5" s="1"/>
  <c r="CP32" i="5" s="1"/>
  <c r="CQ32" i="5" s="1"/>
  <c r="CR32" i="5" s="1"/>
  <c r="CS32" i="5" s="1"/>
  <c r="CT32" i="5" s="1"/>
  <c r="CU32" i="5" s="1"/>
  <c r="CV32" i="5" s="1"/>
  <c r="CW32" i="5" s="1"/>
  <c r="CX32" i="5" s="1"/>
  <c r="CY32" i="5" s="1"/>
  <c r="CZ32" i="5" s="1"/>
  <c r="DA32" i="5" s="1"/>
  <c r="DB32" i="5" s="1"/>
  <c r="DC32" i="5" s="1"/>
  <c r="BW11" i="5"/>
  <c r="BX11" i="5" s="1"/>
  <c r="BY11" i="5" s="1"/>
  <c r="BZ11" i="5" s="1"/>
  <c r="CA11" i="5" s="1"/>
  <c r="CB11" i="5" s="1"/>
  <c r="CC11" i="5" s="1"/>
  <c r="CD11" i="5" s="1"/>
  <c r="CE11" i="5" s="1"/>
  <c r="CF11" i="5" s="1"/>
  <c r="CG11" i="5" s="1"/>
  <c r="CH11" i="5" s="1"/>
  <c r="CI11" i="5" s="1"/>
  <c r="CJ11" i="5" s="1"/>
  <c r="CK11" i="5" s="1"/>
  <c r="CL11" i="5" s="1"/>
  <c r="CM11" i="5" s="1"/>
  <c r="CN11" i="5" s="1"/>
  <c r="CO11" i="5" s="1"/>
  <c r="CP11" i="5" s="1"/>
  <c r="CQ11" i="5" s="1"/>
  <c r="CR11" i="5" s="1"/>
  <c r="CS11" i="5" s="1"/>
  <c r="CT11" i="5" s="1"/>
  <c r="CU11" i="5" s="1"/>
  <c r="CV11" i="5" s="1"/>
  <c r="CW11" i="5" s="1"/>
  <c r="CX11" i="5" s="1"/>
  <c r="CY11" i="5" s="1"/>
  <c r="CZ11" i="5" s="1"/>
  <c r="DA11" i="5" s="1"/>
  <c r="DB11" i="5" s="1"/>
  <c r="DC11" i="5" s="1"/>
  <c r="AM115" i="5"/>
  <c r="AL112" i="5"/>
  <c r="AL111" i="5"/>
  <c r="AM110" i="5"/>
  <c r="AL107" i="5"/>
  <c r="AM106" i="5"/>
  <c r="AM85" i="5"/>
  <c r="AN85" i="5" s="1"/>
  <c r="AM67" i="5"/>
  <c r="AM60" i="5"/>
  <c r="AM48" i="5"/>
  <c r="AM32" i="5"/>
  <c r="AN32" i="5" s="1"/>
  <c r="AO32" i="5" s="1"/>
  <c r="AP32" i="5" s="1"/>
  <c r="AQ32" i="5" s="1"/>
  <c r="AR32" i="5" s="1"/>
  <c r="AS32" i="5" s="1"/>
  <c r="AT32" i="5" s="1"/>
  <c r="AU32" i="5" s="1"/>
  <c r="AV32" i="5" s="1"/>
  <c r="AW32" i="5" s="1"/>
  <c r="AX32" i="5" s="1"/>
  <c r="AY32" i="5" s="1"/>
  <c r="AZ32" i="5" s="1"/>
  <c r="BA32" i="5" s="1"/>
  <c r="BB32" i="5" s="1"/>
  <c r="BC32" i="5" s="1"/>
  <c r="BD32" i="5" s="1"/>
  <c r="BE32" i="5" s="1"/>
  <c r="BF32" i="5" s="1"/>
  <c r="BG32" i="5" s="1"/>
  <c r="BH32" i="5" s="1"/>
  <c r="BI32" i="5" s="1"/>
  <c r="BJ32" i="5" s="1"/>
  <c r="BK32" i="5" s="1"/>
  <c r="BL32" i="5" s="1"/>
  <c r="BM32" i="5" s="1"/>
  <c r="BN32" i="5" s="1"/>
  <c r="BO32" i="5" s="1"/>
  <c r="BP32" i="5" s="1"/>
  <c r="BQ32" i="5" s="1"/>
  <c r="BR32" i="5" s="1"/>
  <c r="BS32" i="5" s="1"/>
  <c r="AM11" i="5"/>
  <c r="AN11" i="5" s="1"/>
  <c r="AR79" i="9" a="1"/>
  <c r="AR79" i="9" s="1"/>
  <c r="AQ79" i="9" a="1"/>
  <c r="AQ79" i="9" s="1"/>
  <c r="AP79" i="9" a="1"/>
  <c r="AP79" i="9" s="1"/>
  <c r="AO79" i="9" a="1"/>
  <c r="AO79" i="9" s="1"/>
  <c r="AN79" i="9" a="1"/>
  <c r="AN79" i="9" s="1"/>
  <c r="AM79" i="9" a="1"/>
  <c r="AM79" i="9" s="1"/>
  <c r="AR78" i="9" a="1"/>
  <c r="AR78" i="9" s="1"/>
  <c r="AQ78" i="9" a="1"/>
  <c r="AQ78" i="9" s="1"/>
  <c r="AP78" i="9" a="1"/>
  <c r="AP78" i="9" s="1"/>
  <c r="AO78" i="9" a="1"/>
  <c r="AO78" i="9" s="1"/>
  <c r="AN78" i="9" a="1"/>
  <c r="AN78" i="9" s="1"/>
  <c r="AM78" i="9" a="1"/>
  <c r="AM78" i="9" s="1"/>
  <c r="D78" i="9"/>
  <c r="E78" i="9" s="1"/>
  <c r="F78" i="9" s="1"/>
  <c r="G78" i="9" s="1"/>
  <c r="H78" i="9" s="1"/>
  <c r="I78" i="9" s="1"/>
  <c r="J78" i="9" s="1"/>
  <c r="K78" i="9" s="1"/>
  <c r="L78" i="9" s="1"/>
  <c r="M78" i="9" s="1"/>
  <c r="N78" i="9" s="1"/>
  <c r="O78" i="9" s="1"/>
  <c r="P78" i="9" s="1"/>
  <c r="Q78" i="9" s="1"/>
  <c r="R78" i="9" s="1"/>
  <c r="S78" i="9" s="1"/>
  <c r="T78" i="9" s="1"/>
  <c r="U78" i="9" s="1"/>
  <c r="V78" i="9" s="1"/>
  <c r="W78" i="9" s="1"/>
  <c r="X78" i="9" s="1"/>
  <c r="Y78" i="9" s="1"/>
  <c r="Z78" i="9" s="1"/>
  <c r="AA78" i="9" s="1"/>
  <c r="AB78" i="9" s="1"/>
  <c r="AC78" i="9" s="1"/>
  <c r="AD78" i="9" s="1"/>
  <c r="AE78" i="9" s="1"/>
  <c r="AF78" i="9" s="1"/>
  <c r="AG78" i="9" s="1"/>
  <c r="AH78" i="9" s="1"/>
  <c r="AI78" i="9" s="1"/>
  <c r="C78" i="9"/>
  <c r="C71" i="9"/>
  <c r="B68" i="9"/>
  <c r="B67" i="9"/>
  <c r="C66" i="9"/>
  <c r="B63" i="9"/>
  <c r="F62" i="9"/>
  <c r="G62" i="9" s="1"/>
  <c r="C62" i="9"/>
  <c r="D62" i="9" s="1"/>
  <c r="E62" i="9" s="1"/>
  <c r="C41" i="9"/>
  <c r="AR38" i="9" a="1"/>
  <c r="AR38" i="9" s="1"/>
  <c r="AQ38" i="9" a="1"/>
  <c r="AQ38" i="9" s="1"/>
  <c r="AP38" i="9" a="1"/>
  <c r="AP38" i="9" s="1"/>
  <c r="AO38" i="9" a="1"/>
  <c r="AO38" i="9" s="1"/>
  <c r="AN38" i="9" a="1"/>
  <c r="AN38" i="9" s="1"/>
  <c r="AM38" i="9" a="1"/>
  <c r="AM38" i="9" s="1"/>
  <c r="AR37" i="9" a="1"/>
  <c r="AR37" i="9" s="1"/>
  <c r="AQ37" i="9" a="1"/>
  <c r="AQ37" i="9" s="1"/>
  <c r="AP37" i="9" a="1"/>
  <c r="AP37" i="9" s="1"/>
  <c r="AO37" i="9" a="1"/>
  <c r="AO37" i="9" s="1"/>
  <c r="AN37" i="9" a="1"/>
  <c r="AN37" i="9" s="1"/>
  <c r="AM37" i="9" a="1"/>
  <c r="AM37" i="9" s="1"/>
  <c r="AR36" i="9" a="1"/>
  <c r="AR36" i="9" s="1"/>
  <c r="AQ36" i="9" a="1"/>
  <c r="AQ36" i="9" s="1"/>
  <c r="AP36" i="9" a="1"/>
  <c r="AP36" i="9" s="1"/>
  <c r="AO36" i="9" a="1"/>
  <c r="AO36" i="9" s="1"/>
  <c r="AN36" i="9" a="1"/>
  <c r="AN36" i="9" s="1"/>
  <c r="AM36" i="9" a="1"/>
  <c r="AM36" i="9" s="1"/>
  <c r="AR35" i="9" a="1"/>
  <c r="AR35" i="9" s="1"/>
  <c r="AQ35" i="9" a="1"/>
  <c r="AQ35" i="9" s="1"/>
  <c r="AP35" i="9" a="1"/>
  <c r="AP35" i="9" s="1"/>
  <c r="AO35" i="9" a="1"/>
  <c r="AO35" i="9" s="1"/>
  <c r="AN35" i="9" a="1"/>
  <c r="AN35" i="9" s="1"/>
  <c r="AM35" i="9" a="1"/>
  <c r="AM35" i="9" s="1"/>
  <c r="AR34" i="9" a="1"/>
  <c r="AR34" i="9" s="1"/>
  <c r="AQ34" i="9" a="1"/>
  <c r="AQ34" i="9" s="1"/>
  <c r="AP34" i="9" a="1"/>
  <c r="AP34" i="9" s="1"/>
  <c r="AO34" i="9" a="1"/>
  <c r="AO34" i="9" s="1"/>
  <c r="AN34" i="9" a="1"/>
  <c r="AN34" i="9" s="1"/>
  <c r="AM34" i="9" a="1"/>
  <c r="AM34" i="9" s="1"/>
  <c r="AR33" i="9" a="1"/>
  <c r="AR33" i="9" s="1"/>
  <c r="AQ33" i="9" a="1"/>
  <c r="AQ33" i="9" s="1"/>
  <c r="AP33" i="9" a="1"/>
  <c r="AP33" i="9" s="1"/>
  <c r="AO33" i="9" a="1"/>
  <c r="AO33" i="9" s="1"/>
  <c r="AN33" i="9" a="1"/>
  <c r="AN33" i="9" s="1"/>
  <c r="AM33" i="9" a="1"/>
  <c r="AM33" i="9" s="1"/>
  <c r="AR32" i="9" a="1"/>
  <c r="AR32" i="9" s="1"/>
  <c r="AQ32" i="9" a="1"/>
  <c r="AQ32" i="9" s="1"/>
  <c r="AP32" i="9" a="1"/>
  <c r="AP32" i="9" s="1"/>
  <c r="AO32" i="9" a="1"/>
  <c r="AO32" i="9" s="1"/>
  <c r="AN32" i="9" a="1"/>
  <c r="AN32" i="9" s="1"/>
  <c r="AM32" i="9" a="1"/>
  <c r="AM32" i="9" s="1"/>
  <c r="AR31" i="9" a="1"/>
  <c r="AR31" i="9" s="1"/>
  <c r="AQ31" i="9" a="1"/>
  <c r="AQ31" i="9" s="1"/>
  <c r="AP31" i="9" a="1"/>
  <c r="AP31" i="9" s="1"/>
  <c r="AO31" i="9" a="1"/>
  <c r="AO31" i="9" s="1"/>
  <c r="AN31" i="9" a="1"/>
  <c r="AN31" i="9" s="1"/>
  <c r="AM31" i="9" a="1"/>
  <c r="AM31" i="9" s="1"/>
  <c r="C23" i="9"/>
  <c r="AR22" i="9" a="1"/>
  <c r="AR22" i="9" s="1"/>
  <c r="AQ22" i="9" a="1"/>
  <c r="AQ22" i="9" s="1"/>
  <c r="AP22" i="9" a="1"/>
  <c r="AP22" i="9" s="1"/>
  <c r="AO22" i="9" a="1"/>
  <c r="AO22" i="9" s="1"/>
  <c r="AN22" i="9" a="1"/>
  <c r="AN22" i="9" s="1"/>
  <c r="AM22" i="9" a="1"/>
  <c r="AM22" i="9" s="1"/>
  <c r="AR21" i="9" a="1"/>
  <c r="AR21" i="9" s="1"/>
  <c r="AQ21" i="9" a="1"/>
  <c r="AQ21" i="9" s="1"/>
  <c r="AP21" i="9" a="1"/>
  <c r="AP21" i="9" s="1"/>
  <c r="AO21" i="9" a="1"/>
  <c r="AO21" i="9" s="1"/>
  <c r="AN21" i="9" a="1"/>
  <c r="AN21" i="9" s="1"/>
  <c r="AM21" i="9" a="1"/>
  <c r="AM21" i="9" s="1"/>
  <c r="AR20" i="9" a="1"/>
  <c r="AR20" i="9" s="1"/>
  <c r="AQ20" i="9" a="1"/>
  <c r="AQ20" i="9" s="1"/>
  <c r="AP20" i="9" a="1"/>
  <c r="AP20" i="9" s="1"/>
  <c r="AO20" i="9" a="1"/>
  <c r="AO20" i="9" s="1"/>
  <c r="AN20" i="9" a="1"/>
  <c r="AN20" i="9" s="1"/>
  <c r="AM20" i="9" a="1"/>
  <c r="AM20" i="9" s="1"/>
  <c r="AR19" i="9" a="1"/>
  <c r="AR19" i="9" s="1"/>
  <c r="AQ19" i="9" a="1"/>
  <c r="AQ19" i="9" s="1"/>
  <c r="AP19" i="9" a="1"/>
  <c r="AP19" i="9" s="1"/>
  <c r="AO19" i="9" a="1"/>
  <c r="AO19" i="9" s="1"/>
  <c r="AN19" i="9" a="1"/>
  <c r="AN19" i="9" s="1"/>
  <c r="AM19" i="9" a="1"/>
  <c r="AM19" i="9" s="1"/>
  <c r="AR18" i="9" a="1"/>
  <c r="AR18" i="9" s="1"/>
  <c r="AQ18" i="9" a="1"/>
  <c r="AQ18" i="9" s="1"/>
  <c r="AP18" i="9" a="1"/>
  <c r="AP18" i="9" s="1"/>
  <c r="AO18" i="9" a="1"/>
  <c r="AO18" i="9" s="1"/>
  <c r="AN18" i="9" a="1"/>
  <c r="AN18" i="9" s="1"/>
  <c r="AM18" i="9" a="1"/>
  <c r="AM18" i="9" s="1"/>
  <c r="AR17" i="9" a="1"/>
  <c r="AR17" i="9" s="1"/>
  <c r="AQ17" i="9" a="1"/>
  <c r="AQ17" i="9" s="1"/>
  <c r="AP17" i="9" a="1"/>
  <c r="AP17" i="9" s="1"/>
  <c r="AO17" i="9" a="1"/>
  <c r="AO17" i="9" s="1"/>
  <c r="AN17" i="9" a="1"/>
  <c r="AN17" i="9" s="1"/>
  <c r="AM17" i="9" a="1"/>
  <c r="AM17" i="9" s="1"/>
  <c r="AR16" i="9" a="1"/>
  <c r="AR16" i="9" s="1"/>
  <c r="AQ16" i="9" a="1"/>
  <c r="AQ16" i="9" s="1"/>
  <c r="AP16" i="9" a="1"/>
  <c r="AP16" i="9" s="1"/>
  <c r="AO16" i="9" a="1"/>
  <c r="AO16" i="9" s="1"/>
  <c r="AN16" i="9" a="1"/>
  <c r="AN16" i="9" s="1"/>
  <c r="AM16" i="9" a="1"/>
  <c r="AM16" i="9" s="1"/>
  <c r="D16" i="9"/>
  <c r="E16" i="9" s="1"/>
  <c r="C16" i="9"/>
  <c r="AR15" i="9" a="1"/>
  <c r="AR15" i="9" s="1"/>
  <c r="AQ15" i="9" a="1"/>
  <c r="AQ15" i="9" s="1"/>
  <c r="AP15" i="9" a="1"/>
  <c r="AP15" i="9" s="1"/>
  <c r="AO15" i="9" a="1"/>
  <c r="AO15" i="9" s="1"/>
  <c r="AN15" i="9" a="1"/>
  <c r="AN15" i="9" s="1"/>
  <c r="AM15" i="9" a="1"/>
  <c r="AM15" i="9" s="1"/>
  <c r="AR14" i="9" a="1"/>
  <c r="AR14" i="9" s="1"/>
  <c r="AQ14" i="9" a="1"/>
  <c r="AQ14" i="9" s="1"/>
  <c r="AP14" i="9" a="1"/>
  <c r="AP14" i="9" s="1"/>
  <c r="AO14" i="9" a="1"/>
  <c r="AO14" i="9" s="1"/>
  <c r="AN14" i="9" a="1"/>
  <c r="AN14" i="9" s="1"/>
  <c r="AM14" i="9" a="1"/>
  <c r="AM14" i="9" s="1"/>
  <c r="AR13" i="9" a="1"/>
  <c r="AR13" i="9" s="1"/>
  <c r="AQ13" i="9" a="1"/>
  <c r="AQ13" i="9" s="1"/>
  <c r="AP13" i="9" a="1"/>
  <c r="AP13" i="9" s="1"/>
  <c r="AO13" i="9" a="1"/>
  <c r="AO13" i="9" s="1"/>
  <c r="AN13" i="9" a="1"/>
  <c r="AN13" i="9" s="1"/>
  <c r="AM13" i="9" a="1"/>
  <c r="AM13" i="9" s="1"/>
  <c r="AR12" i="9" a="1"/>
  <c r="AR12" i="9" s="1"/>
  <c r="AQ12" i="9" a="1"/>
  <c r="AQ12" i="9" s="1"/>
  <c r="AP12" i="9" a="1"/>
  <c r="AP12" i="9" s="1"/>
  <c r="AO12" i="9" a="1"/>
  <c r="AO12" i="9" s="1"/>
  <c r="AN12" i="9" a="1"/>
  <c r="AN12" i="9" s="1"/>
  <c r="AM12" i="9" a="1"/>
  <c r="AM12" i="9" s="1"/>
  <c r="AR11" i="9" a="1"/>
  <c r="AR11" i="9" s="1"/>
  <c r="AQ11" i="9" a="1"/>
  <c r="AQ11" i="9" s="1"/>
  <c r="AP11" i="9" a="1"/>
  <c r="AP11" i="9" s="1"/>
  <c r="AO11" i="9" a="1"/>
  <c r="AO11" i="9" s="1"/>
  <c r="AN11" i="9" a="1"/>
  <c r="AN11" i="9" s="1"/>
  <c r="AM11" i="9" a="1"/>
  <c r="AM11" i="9" s="1"/>
  <c r="D4" i="9"/>
  <c r="C4" i="9"/>
  <c r="AB1" i="8"/>
  <c r="C115" i="7"/>
  <c r="B112" i="7"/>
  <c r="B111" i="7"/>
  <c r="D110" i="7"/>
  <c r="C110" i="7"/>
  <c r="B107" i="7"/>
  <c r="F106" i="7"/>
  <c r="G106" i="7" s="1"/>
  <c r="H106" i="7" s="1"/>
  <c r="C106" i="7"/>
  <c r="D106" i="7" s="1"/>
  <c r="E106" i="7" s="1"/>
  <c r="D85" i="7"/>
  <c r="C85" i="7"/>
  <c r="D67" i="7"/>
  <c r="C67" i="7"/>
  <c r="C60" i="7"/>
  <c r="C48" i="7"/>
  <c r="AR38" i="7" a="1"/>
  <c r="AR38" i="7" s="1"/>
  <c r="AQ38" i="7" a="1"/>
  <c r="AQ38" i="7" s="1"/>
  <c r="AP38" i="7" a="1"/>
  <c r="AP38" i="7" s="1"/>
  <c r="AO38" i="7" a="1"/>
  <c r="AO38" i="7" s="1"/>
  <c r="AN38" i="7" a="1"/>
  <c r="AN38" i="7" s="1"/>
  <c r="AM38" i="7" a="1"/>
  <c r="AM38" i="7" s="1"/>
  <c r="AR37" i="7" a="1"/>
  <c r="AR37" i="7" s="1"/>
  <c r="AQ37" i="7" a="1"/>
  <c r="AQ37" i="7" s="1"/>
  <c r="AP37" i="7" a="1"/>
  <c r="AP37" i="7" s="1"/>
  <c r="AO37" i="7" a="1"/>
  <c r="AO37" i="7" s="1"/>
  <c r="AN37" i="7" a="1"/>
  <c r="AN37" i="7" s="1"/>
  <c r="AM37" i="7" a="1"/>
  <c r="AM37" i="7" s="1"/>
  <c r="AR36" i="7" a="1"/>
  <c r="AR36" i="7" s="1"/>
  <c r="AQ36" i="7" a="1"/>
  <c r="AQ36" i="7" s="1"/>
  <c r="AP36" i="7" a="1"/>
  <c r="AP36" i="7" s="1"/>
  <c r="AO36" i="7" a="1"/>
  <c r="AO36" i="7" s="1"/>
  <c r="AN36" i="7" a="1"/>
  <c r="AN36" i="7" s="1"/>
  <c r="AM36" i="7" a="1"/>
  <c r="AM36" i="7" s="1"/>
  <c r="AR35" i="7" a="1"/>
  <c r="AR35" i="7" s="1"/>
  <c r="AQ35" i="7" a="1"/>
  <c r="AQ35" i="7" s="1"/>
  <c r="AP35" i="7" a="1"/>
  <c r="AP35" i="7" s="1"/>
  <c r="AO35" i="7" a="1"/>
  <c r="AO35" i="7" s="1"/>
  <c r="AN35" i="7" a="1"/>
  <c r="AN35" i="7" s="1"/>
  <c r="AM35" i="7" a="1"/>
  <c r="AM35" i="7" s="1"/>
  <c r="AR34" i="7" a="1"/>
  <c r="AR34" i="7" s="1"/>
  <c r="AQ34" i="7" a="1"/>
  <c r="AQ34" i="7" s="1"/>
  <c r="AP34" i="7" a="1"/>
  <c r="AP34" i="7" s="1"/>
  <c r="AO34" i="7" a="1"/>
  <c r="AO34" i="7" s="1"/>
  <c r="AN34" i="7" a="1"/>
  <c r="AN34" i="7" s="1"/>
  <c r="AM34" i="7" a="1"/>
  <c r="AM34" i="7" s="1"/>
  <c r="AR33" i="7" a="1"/>
  <c r="AR33" i="7" s="1"/>
  <c r="AQ33" i="7" a="1"/>
  <c r="AQ33" i="7" s="1"/>
  <c r="AP33" i="7" a="1"/>
  <c r="AP33" i="7" s="1"/>
  <c r="AO33" i="7" a="1"/>
  <c r="AO33" i="7" s="1"/>
  <c r="AN33" i="7" a="1"/>
  <c r="AN33" i="7" s="1"/>
  <c r="AM33" i="7" a="1"/>
  <c r="AM33" i="7" s="1"/>
  <c r="AR32" i="7" a="1"/>
  <c r="AR32" i="7" s="1"/>
  <c r="AQ32" i="7" a="1"/>
  <c r="AQ32" i="7" s="1"/>
  <c r="AP32" i="7" a="1"/>
  <c r="AP32" i="7" s="1"/>
  <c r="AO32" i="7" a="1"/>
  <c r="AO32" i="7" s="1"/>
  <c r="AN32" i="7" a="1"/>
  <c r="AN32" i="7" s="1"/>
  <c r="AM32" i="7" a="1"/>
  <c r="AM32" i="7" s="1"/>
  <c r="I32" i="7"/>
  <c r="J32" i="7" s="1"/>
  <c r="K32" i="7" s="1"/>
  <c r="L32" i="7" s="1"/>
  <c r="M32" i="7" s="1"/>
  <c r="N32" i="7" s="1"/>
  <c r="O32" i="7" s="1"/>
  <c r="P32" i="7" s="1"/>
  <c r="Q32" i="7" s="1"/>
  <c r="R32" i="7" s="1"/>
  <c r="S32" i="7" s="1"/>
  <c r="T32" i="7" s="1"/>
  <c r="U32" i="7" s="1"/>
  <c r="V32" i="7" s="1"/>
  <c r="W32" i="7" s="1"/>
  <c r="X32" i="7" s="1"/>
  <c r="Y32" i="7" s="1"/>
  <c r="Z32" i="7" s="1"/>
  <c r="AA32" i="7" s="1"/>
  <c r="AB32" i="7" s="1"/>
  <c r="AC32" i="7" s="1"/>
  <c r="AD32" i="7" s="1"/>
  <c r="AE32" i="7" s="1"/>
  <c r="AF32" i="7" s="1"/>
  <c r="AG32" i="7" s="1"/>
  <c r="AH32" i="7" s="1"/>
  <c r="AI32" i="7" s="1"/>
  <c r="F32" i="7"/>
  <c r="G32" i="7" s="1"/>
  <c r="H32" i="7" s="1"/>
  <c r="D32" i="7"/>
  <c r="E32" i="7" s="1"/>
  <c r="C32" i="7"/>
  <c r="AR31" i="7" a="1"/>
  <c r="AR31" i="7" s="1"/>
  <c r="AQ31" i="7" a="1"/>
  <c r="AQ31" i="7" s="1"/>
  <c r="AP31" i="7" a="1"/>
  <c r="AP31" i="7" s="1"/>
  <c r="AO31" i="7" a="1"/>
  <c r="AO31" i="7" s="1"/>
  <c r="AN31" i="7" a="1"/>
  <c r="AN31" i="7" s="1"/>
  <c r="AM31" i="7" a="1"/>
  <c r="AM31" i="7" s="1"/>
  <c r="AR22" i="7" a="1"/>
  <c r="AR22" i="7" s="1"/>
  <c r="AQ22" i="7" a="1"/>
  <c r="AQ22" i="7" s="1"/>
  <c r="AP22" i="7" a="1"/>
  <c r="AP22" i="7" s="1"/>
  <c r="AO22" i="7" a="1"/>
  <c r="AO22" i="7" s="1"/>
  <c r="AN22" i="7" a="1"/>
  <c r="AN22" i="7" s="1"/>
  <c r="AM22" i="7" a="1"/>
  <c r="AM22" i="7" s="1"/>
  <c r="AR21" i="7" a="1"/>
  <c r="AR21" i="7" s="1"/>
  <c r="AQ21" i="7" a="1"/>
  <c r="AQ21" i="7" s="1"/>
  <c r="AP21" i="7" a="1"/>
  <c r="AP21" i="7" s="1"/>
  <c r="AO21" i="7" a="1"/>
  <c r="AO21" i="7" s="1"/>
  <c r="AN21" i="7" a="1"/>
  <c r="AN21" i="7" s="1"/>
  <c r="AM21" i="7" a="1"/>
  <c r="AM21" i="7" s="1"/>
  <c r="AR20" i="7" a="1"/>
  <c r="AR20" i="7" s="1"/>
  <c r="AQ20" i="7" a="1"/>
  <c r="AQ20" i="7" s="1"/>
  <c r="AP20" i="7" a="1"/>
  <c r="AP20" i="7" s="1"/>
  <c r="AO20" i="7" a="1"/>
  <c r="AO20" i="7" s="1"/>
  <c r="AN20" i="7" a="1"/>
  <c r="AN20" i="7" s="1"/>
  <c r="AM20" i="7" a="1"/>
  <c r="AM20" i="7" s="1"/>
  <c r="AR19" i="7" a="1"/>
  <c r="AR19" i="7" s="1"/>
  <c r="AQ19" i="7" a="1"/>
  <c r="AQ19" i="7" s="1"/>
  <c r="AP19" i="7" a="1"/>
  <c r="AP19" i="7" s="1"/>
  <c r="AO19" i="7" a="1"/>
  <c r="AO19" i="7" s="1"/>
  <c r="AN19" i="7" a="1"/>
  <c r="AN19" i="7" s="1"/>
  <c r="AM19" i="7" a="1"/>
  <c r="AM19" i="7" s="1"/>
  <c r="AR18" i="7" a="1"/>
  <c r="AR18" i="7" s="1"/>
  <c r="AQ18" i="7" a="1"/>
  <c r="AQ18" i="7" s="1"/>
  <c r="AP18" i="7" a="1"/>
  <c r="AP18" i="7" s="1"/>
  <c r="AO18" i="7" a="1"/>
  <c r="AO18" i="7" s="1"/>
  <c r="AN18" i="7" a="1"/>
  <c r="AN18" i="7" s="1"/>
  <c r="AM18" i="7" a="1"/>
  <c r="AM18" i="7" s="1"/>
  <c r="AR17" i="7" a="1"/>
  <c r="AR17" i="7" s="1"/>
  <c r="AQ17" i="7" a="1"/>
  <c r="AQ17" i="7" s="1"/>
  <c r="AP17" i="7" a="1"/>
  <c r="AP17" i="7" s="1"/>
  <c r="AO17" i="7" a="1"/>
  <c r="AO17" i="7" s="1"/>
  <c r="AN17" i="7" a="1"/>
  <c r="AN17" i="7" s="1"/>
  <c r="AM17" i="7" a="1"/>
  <c r="AM17" i="7" s="1"/>
  <c r="AR16" i="7" a="1"/>
  <c r="AR16" i="7" s="1"/>
  <c r="AQ16" i="7" a="1"/>
  <c r="AQ16" i="7" s="1"/>
  <c r="AP16" i="7" a="1"/>
  <c r="AP16" i="7" s="1"/>
  <c r="AO16" i="7" a="1"/>
  <c r="AO16" i="7" s="1"/>
  <c r="AN16" i="7" a="1"/>
  <c r="AN16" i="7" s="1"/>
  <c r="AM16" i="7" a="1"/>
  <c r="AM16" i="7" s="1"/>
  <c r="AR15" i="7" a="1"/>
  <c r="AR15" i="7" s="1"/>
  <c r="AQ15" i="7" a="1"/>
  <c r="AQ15" i="7" s="1"/>
  <c r="AP15" i="7" a="1"/>
  <c r="AP15" i="7" s="1"/>
  <c r="AO15" i="7" a="1"/>
  <c r="AO15" i="7" s="1"/>
  <c r="AN15" i="7" a="1"/>
  <c r="AN15" i="7" s="1"/>
  <c r="AM15" i="7" a="1"/>
  <c r="AM15" i="7" s="1"/>
  <c r="AR14" i="7" a="1"/>
  <c r="AR14" i="7" s="1"/>
  <c r="AQ14" i="7" a="1"/>
  <c r="AQ14" i="7" s="1"/>
  <c r="AP14" i="7" a="1"/>
  <c r="AP14" i="7" s="1"/>
  <c r="AO14" i="7" a="1"/>
  <c r="AO14" i="7" s="1"/>
  <c r="AN14" i="7" a="1"/>
  <c r="AN14" i="7" s="1"/>
  <c r="AM14" i="7" a="1"/>
  <c r="AM14" i="7" s="1"/>
  <c r="AR13" i="7" a="1"/>
  <c r="AR13" i="7" s="1"/>
  <c r="AQ13" i="7" a="1"/>
  <c r="AQ13" i="7" s="1"/>
  <c r="AP13" i="7" a="1"/>
  <c r="AP13" i="7" s="1"/>
  <c r="AO13" i="7" a="1"/>
  <c r="AO13" i="7" s="1"/>
  <c r="AN13" i="7" a="1"/>
  <c r="AN13" i="7" s="1"/>
  <c r="AM13" i="7" a="1"/>
  <c r="AM13" i="7" s="1"/>
  <c r="AR12" i="7" a="1"/>
  <c r="AR12" i="7" s="1"/>
  <c r="AQ12" i="7" a="1"/>
  <c r="AQ12" i="7" s="1"/>
  <c r="AP12" i="7" a="1"/>
  <c r="AP12" i="7" s="1"/>
  <c r="AO12" i="7" a="1"/>
  <c r="AO12" i="7" s="1"/>
  <c r="AN12" i="7" a="1"/>
  <c r="AN12" i="7" s="1"/>
  <c r="AM12" i="7" a="1"/>
  <c r="AM12" i="7" s="1"/>
  <c r="AR11" i="7" a="1"/>
  <c r="AR11" i="7" s="1"/>
  <c r="AQ11" i="7" a="1"/>
  <c r="AQ11" i="7" s="1"/>
  <c r="AP11" i="7" a="1"/>
  <c r="AP11" i="7" s="1"/>
  <c r="AO11" i="7" a="1"/>
  <c r="AO11" i="7" s="1"/>
  <c r="AN11" i="7" a="1"/>
  <c r="AN11" i="7" s="1"/>
  <c r="AM11" i="7" a="1"/>
  <c r="AM11" i="7" s="1"/>
  <c r="AF11" i="7"/>
  <c r="AG11" i="7" s="1"/>
  <c r="AH11" i="7" s="1"/>
  <c r="AI11" i="7" s="1"/>
  <c r="U11" i="7"/>
  <c r="V11" i="7" s="1"/>
  <c r="W11" i="7" s="1"/>
  <c r="X11" i="7" s="1"/>
  <c r="Y11" i="7" s="1"/>
  <c r="Z11" i="7" s="1"/>
  <c r="AA11" i="7" s="1"/>
  <c r="AB11" i="7" s="1"/>
  <c r="AC11" i="7" s="1"/>
  <c r="AD11" i="7" s="1"/>
  <c r="AE11" i="7" s="1"/>
  <c r="C11" i="7"/>
  <c r="D11" i="7" s="1"/>
  <c r="E11" i="7" s="1"/>
  <c r="F11" i="7" s="1"/>
  <c r="G11" i="7" s="1"/>
  <c r="H11" i="7" s="1"/>
  <c r="I11" i="7" s="1"/>
  <c r="J11" i="7" s="1"/>
  <c r="K11" i="7" s="1"/>
  <c r="L11" i="7" s="1"/>
  <c r="M11" i="7" s="1"/>
  <c r="N11" i="7" s="1"/>
  <c r="O11" i="7" s="1"/>
  <c r="P11" i="7" s="1"/>
  <c r="Q11" i="7" s="1"/>
  <c r="R11" i="7" s="1"/>
  <c r="S11" i="7" s="1"/>
  <c r="T11" i="7" s="1"/>
  <c r="AV79" i="6" a="1"/>
  <c r="AV79" i="6" s="1"/>
  <c r="AU79" i="6" a="1"/>
  <c r="AU79" i="6" s="1"/>
  <c r="AT79" i="6" a="1"/>
  <c r="AT79" i="6" s="1"/>
  <c r="AS79" i="6" a="1"/>
  <c r="AS79" i="6" s="1"/>
  <c r="AR79" i="6" a="1"/>
  <c r="AR79" i="6" s="1"/>
  <c r="AQ79" i="6" a="1"/>
  <c r="AQ79" i="6" s="1"/>
  <c r="AP79" i="6" a="1"/>
  <c r="AP79" i="6" s="1"/>
  <c r="AO79" i="6" a="1"/>
  <c r="AO79" i="6" s="1"/>
  <c r="AN79" i="6" a="1"/>
  <c r="AN79" i="6" s="1"/>
  <c r="AM79" i="6" a="1"/>
  <c r="AM79" i="6" s="1"/>
  <c r="AV78" i="6" a="1"/>
  <c r="AV78" i="6" s="1"/>
  <c r="AU78" i="6" a="1"/>
  <c r="AU78" i="6" s="1"/>
  <c r="AT78" i="6" a="1"/>
  <c r="AT78" i="6" s="1"/>
  <c r="AS78" i="6" a="1"/>
  <c r="AS78" i="6" s="1"/>
  <c r="AR78" i="6" a="1"/>
  <c r="AR78" i="6" s="1"/>
  <c r="AQ78" i="6" a="1"/>
  <c r="AQ78" i="6" s="1"/>
  <c r="AP78" i="6" a="1"/>
  <c r="AP78" i="6" s="1"/>
  <c r="AO78" i="6" a="1"/>
  <c r="AO78" i="6" s="1"/>
  <c r="AN78" i="6" a="1"/>
  <c r="AN78" i="6" s="1"/>
  <c r="AM78" i="6" a="1"/>
  <c r="AM78" i="6" s="1"/>
  <c r="G78" i="6"/>
  <c r="H78" i="6" s="1"/>
  <c r="I78" i="6" s="1"/>
  <c r="J78" i="6" s="1"/>
  <c r="K78" i="6" s="1"/>
  <c r="L78" i="6" s="1"/>
  <c r="M78" i="6" s="1"/>
  <c r="N78" i="6" s="1"/>
  <c r="O78" i="6" s="1"/>
  <c r="P78" i="6" s="1"/>
  <c r="Q78" i="6" s="1"/>
  <c r="R78" i="6" s="1"/>
  <c r="S78" i="6" s="1"/>
  <c r="T78" i="6" s="1"/>
  <c r="U78" i="6" s="1"/>
  <c r="V78" i="6" s="1"/>
  <c r="W78" i="6" s="1"/>
  <c r="X78" i="6" s="1"/>
  <c r="Y78" i="6" s="1"/>
  <c r="Z78" i="6" s="1"/>
  <c r="AA78" i="6" s="1"/>
  <c r="AB78" i="6" s="1"/>
  <c r="AC78" i="6" s="1"/>
  <c r="AD78" i="6" s="1"/>
  <c r="AE78" i="6" s="1"/>
  <c r="AF78" i="6" s="1"/>
  <c r="AG78" i="6" s="1"/>
  <c r="AH78" i="6" s="1"/>
  <c r="AI78" i="6" s="1"/>
  <c r="E78" i="6"/>
  <c r="F78" i="6" s="1"/>
  <c r="C78" i="6"/>
  <c r="D78" i="6" s="1"/>
  <c r="D71" i="6"/>
  <c r="C71" i="6"/>
  <c r="B68" i="6"/>
  <c r="B67" i="6"/>
  <c r="C66" i="6"/>
  <c r="D66" i="6" s="1"/>
  <c r="E66" i="6" s="1"/>
  <c r="B63" i="6"/>
  <c r="C62" i="6"/>
  <c r="C41" i="6"/>
  <c r="AV38" i="6" a="1"/>
  <c r="AV38" i="6" s="1"/>
  <c r="AU38" i="6" a="1"/>
  <c r="AU38" i="6" s="1"/>
  <c r="AT38" i="6" a="1"/>
  <c r="AT38" i="6" s="1"/>
  <c r="AS38" i="6" a="1"/>
  <c r="AS38" i="6" s="1"/>
  <c r="AR38" i="6" a="1"/>
  <c r="AR38" i="6" s="1"/>
  <c r="AQ38" i="6" a="1"/>
  <c r="AQ38" i="6" s="1"/>
  <c r="AP38" i="6" a="1"/>
  <c r="AP38" i="6" s="1"/>
  <c r="AO38" i="6" a="1"/>
  <c r="AO38" i="6" s="1"/>
  <c r="AN38" i="6" a="1"/>
  <c r="AN38" i="6" s="1"/>
  <c r="AM38" i="6" a="1"/>
  <c r="AM38" i="6" s="1"/>
  <c r="AV37" i="6" a="1"/>
  <c r="AV37" i="6" s="1"/>
  <c r="AU37" i="6" a="1"/>
  <c r="AU37" i="6" s="1"/>
  <c r="AT37" i="6" a="1"/>
  <c r="AT37" i="6" s="1"/>
  <c r="AS37" i="6" a="1"/>
  <c r="AS37" i="6" s="1"/>
  <c r="AR37" i="6" a="1"/>
  <c r="AR37" i="6" s="1"/>
  <c r="AQ37" i="6" a="1"/>
  <c r="AQ37" i="6" s="1"/>
  <c r="AP37" i="6" a="1"/>
  <c r="AP37" i="6" s="1"/>
  <c r="AO37" i="6" a="1"/>
  <c r="AO37" i="6" s="1"/>
  <c r="AN37" i="6" a="1"/>
  <c r="AN37" i="6" s="1"/>
  <c r="AM37" i="6" a="1"/>
  <c r="AM37" i="6" s="1"/>
  <c r="AV36" i="6" a="1"/>
  <c r="AV36" i="6" s="1"/>
  <c r="AU36" i="6" a="1"/>
  <c r="AU36" i="6" s="1"/>
  <c r="AT36" i="6" a="1"/>
  <c r="AT36" i="6" s="1"/>
  <c r="AS36" i="6" a="1"/>
  <c r="AS36" i="6" s="1"/>
  <c r="AR36" i="6" a="1"/>
  <c r="AR36" i="6" s="1"/>
  <c r="AQ36" i="6" a="1"/>
  <c r="AQ36" i="6" s="1"/>
  <c r="AP36" i="6" a="1"/>
  <c r="AP36" i="6" s="1"/>
  <c r="AO36" i="6" a="1"/>
  <c r="AO36" i="6" s="1"/>
  <c r="AN36" i="6" a="1"/>
  <c r="AN36" i="6" s="1"/>
  <c r="AM36" i="6" a="1"/>
  <c r="AM36" i="6" s="1"/>
  <c r="AV35" i="6" a="1"/>
  <c r="AV35" i="6" s="1"/>
  <c r="AU35" i="6" a="1"/>
  <c r="AU35" i="6" s="1"/>
  <c r="AT35" i="6" a="1"/>
  <c r="AT35" i="6" s="1"/>
  <c r="AS35" i="6" a="1"/>
  <c r="AS35" i="6" s="1"/>
  <c r="AR35" i="6" a="1"/>
  <c r="AR35" i="6" s="1"/>
  <c r="AQ35" i="6" a="1"/>
  <c r="AQ35" i="6" s="1"/>
  <c r="AP35" i="6" a="1"/>
  <c r="AP35" i="6" s="1"/>
  <c r="AO35" i="6" a="1"/>
  <c r="AO35" i="6" s="1"/>
  <c r="AN35" i="6" a="1"/>
  <c r="AN35" i="6" s="1"/>
  <c r="AM35" i="6" a="1"/>
  <c r="AM35" i="6" s="1"/>
  <c r="AV34" i="6" a="1"/>
  <c r="AV34" i="6" s="1"/>
  <c r="AU34" i="6" a="1"/>
  <c r="AU34" i="6" s="1"/>
  <c r="AT34" i="6" a="1"/>
  <c r="AT34" i="6" s="1"/>
  <c r="AS34" i="6" a="1"/>
  <c r="AS34" i="6" s="1"/>
  <c r="AR34" i="6" a="1"/>
  <c r="AR34" i="6" s="1"/>
  <c r="AQ34" i="6" a="1"/>
  <c r="AQ34" i="6" s="1"/>
  <c r="AP34" i="6" a="1"/>
  <c r="AP34" i="6" s="1"/>
  <c r="AO34" i="6" a="1"/>
  <c r="AO34" i="6" s="1"/>
  <c r="AN34" i="6" a="1"/>
  <c r="AN34" i="6" s="1"/>
  <c r="AM34" i="6" a="1"/>
  <c r="AM34" i="6" s="1"/>
  <c r="AV33" i="6" a="1"/>
  <c r="AV33" i="6" s="1"/>
  <c r="AU33" i="6" a="1"/>
  <c r="AU33" i="6" s="1"/>
  <c r="AT33" i="6" a="1"/>
  <c r="AT33" i="6" s="1"/>
  <c r="AS33" i="6" a="1"/>
  <c r="AS33" i="6" s="1"/>
  <c r="AR33" i="6" a="1"/>
  <c r="AR33" i="6" s="1"/>
  <c r="AQ33" i="6" a="1"/>
  <c r="AQ33" i="6" s="1"/>
  <c r="AP33" i="6" a="1"/>
  <c r="AP33" i="6" s="1"/>
  <c r="AO33" i="6" a="1"/>
  <c r="AO33" i="6" s="1"/>
  <c r="AN33" i="6" a="1"/>
  <c r="AN33" i="6" s="1"/>
  <c r="AM33" i="6" a="1"/>
  <c r="AM33" i="6" s="1"/>
  <c r="AV32" i="6" a="1"/>
  <c r="AV32" i="6" s="1"/>
  <c r="AU32" i="6" a="1"/>
  <c r="AU32" i="6" s="1"/>
  <c r="AT32" i="6" a="1"/>
  <c r="AT32" i="6" s="1"/>
  <c r="AS32" i="6" a="1"/>
  <c r="AS32" i="6" s="1"/>
  <c r="AR32" i="6" a="1"/>
  <c r="AR32" i="6" s="1"/>
  <c r="AQ32" i="6" a="1"/>
  <c r="AQ32" i="6" s="1"/>
  <c r="AP32" i="6" a="1"/>
  <c r="AP32" i="6" s="1"/>
  <c r="AO32" i="6" a="1"/>
  <c r="AO32" i="6" s="1"/>
  <c r="AN32" i="6" a="1"/>
  <c r="AN32" i="6" s="1"/>
  <c r="AM32" i="6" a="1"/>
  <c r="AM32" i="6" s="1"/>
  <c r="AV31" i="6" a="1"/>
  <c r="AV31" i="6" s="1"/>
  <c r="AU31" i="6" a="1"/>
  <c r="AU31" i="6" s="1"/>
  <c r="AT31" i="6" a="1"/>
  <c r="AT31" i="6" s="1"/>
  <c r="AS31" i="6" a="1"/>
  <c r="AS31" i="6" s="1"/>
  <c r="AR31" i="6" a="1"/>
  <c r="AR31" i="6" s="1"/>
  <c r="AQ31" i="6" a="1"/>
  <c r="AQ31" i="6" s="1"/>
  <c r="AP31" i="6" a="1"/>
  <c r="AP31" i="6" s="1"/>
  <c r="AO31" i="6" a="1"/>
  <c r="AO31" i="6" s="1"/>
  <c r="AN31" i="6" a="1"/>
  <c r="AN31" i="6" s="1"/>
  <c r="AM31" i="6" a="1"/>
  <c r="AM31" i="6" s="1"/>
  <c r="D23" i="6"/>
  <c r="C23" i="6"/>
  <c r="AV22" i="6" a="1"/>
  <c r="AV22" i="6" s="1"/>
  <c r="AU22" i="6" a="1"/>
  <c r="AU22" i="6" s="1"/>
  <c r="AT22" i="6" a="1"/>
  <c r="AT22" i="6" s="1"/>
  <c r="AS22" i="6" a="1"/>
  <c r="AS22" i="6" s="1"/>
  <c r="AR22" i="6" a="1"/>
  <c r="AR22" i="6" s="1"/>
  <c r="AQ22" i="6" a="1"/>
  <c r="AQ22" i="6" s="1"/>
  <c r="AP22" i="6" a="1"/>
  <c r="AP22" i="6" s="1"/>
  <c r="AO22" i="6" a="1"/>
  <c r="AO22" i="6" s="1"/>
  <c r="AN22" i="6" a="1"/>
  <c r="AN22" i="6" s="1"/>
  <c r="AM22" i="6" a="1"/>
  <c r="AM22" i="6" s="1"/>
  <c r="AV21" i="6" a="1"/>
  <c r="AV21" i="6" s="1"/>
  <c r="AU21" i="6" a="1"/>
  <c r="AU21" i="6" s="1"/>
  <c r="AT21" i="6" a="1"/>
  <c r="AT21" i="6" s="1"/>
  <c r="AS21" i="6" a="1"/>
  <c r="AS21" i="6" s="1"/>
  <c r="AR21" i="6" a="1"/>
  <c r="AR21" i="6" s="1"/>
  <c r="AQ21" i="6" a="1"/>
  <c r="AQ21" i="6" s="1"/>
  <c r="AP21" i="6" a="1"/>
  <c r="AP21" i="6" s="1"/>
  <c r="AO21" i="6" a="1"/>
  <c r="AO21" i="6" s="1"/>
  <c r="AN21" i="6" a="1"/>
  <c r="AN21" i="6" s="1"/>
  <c r="AM21" i="6" a="1"/>
  <c r="AM21" i="6" s="1"/>
  <c r="AV20" i="6" a="1"/>
  <c r="AV20" i="6" s="1"/>
  <c r="AU20" i="6" a="1"/>
  <c r="AU20" i="6" s="1"/>
  <c r="AT20" i="6" a="1"/>
  <c r="AT20" i="6" s="1"/>
  <c r="AS20" i="6" a="1"/>
  <c r="AS20" i="6" s="1"/>
  <c r="AR20" i="6" a="1"/>
  <c r="AR20" i="6" s="1"/>
  <c r="AQ20" i="6" a="1"/>
  <c r="AQ20" i="6" s="1"/>
  <c r="AP20" i="6" a="1"/>
  <c r="AP20" i="6" s="1"/>
  <c r="AO20" i="6" a="1"/>
  <c r="AO20" i="6" s="1"/>
  <c r="AN20" i="6" a="1"/>
  <c r="AN20" i="6" s="1"/>
  <c r="AM20" i="6" a="1"/>
  <c r="AM20" i="6" s="1"/>
  <c r="AV19" i="6" a="1"/>
  <c r="AV19" i="6" s="1"/>
  <c r="AU19" i="6" a="1"/>
  <c r="AU19" i="6" s="1"/>
  <c r="AT19" i="6" a="1"/>
  <c r="AT19" i="6" s="1"/>
  <c r="AS19" i="6" a="1"/>
  <c r="AS19" i="6" s="1"/>
  <c r="AR19" i="6" a="1"/>
  <c r="AR19" i="6" s="1"/>
  <c r="AQ19" i="6" a="1"/>
  <c r="AQ19" i="6" s="1"/>
  <c r="AP19" i="6" a="1"/>
  <c r="AP19" i="6" s="1"/>
  <c r="AO19" i="6" a="1"/>
  <c r="AO19" i="6" s="1"/>
  <c r="AN19" i="6" a="1"/>
  <c r="AN19" i="6" s="1"/>
  <c r="AM19" i="6" a="1"/>
  <c r="AM19" i="6" s="1"/>
  <c r="AV18" i="6" a="1"/>
  <c r="AV18" i="6" s="1"/>
  <c r="AU18" i="6" a="1"/>
  <c r="AU18" i="6" s="1"/>
  <c r="AT18" i="6" a="1"/>
  <c r="AT18" i="6" s="1"/>
  <c r="AS18" i="6" a="1"/>
  <c r="AS18" i="6" s="1"/>
  <c r="AR18" i="6" a="1"/>
  <c r="AR18" i="6" s="1"/>
  <c r="AQ18" i="6" a="1"/>
  <c r="AQ18" i="6" s="1"/>
  <c r="AP18" i="6" a="1"/>
  <c r="AP18" i="6" s="1"/>
  <c r="AO18" i="6" a="1"/>
  <c r="AO18" i="6" s="1"/>
  <c r="AN18" i="6" a="1"/>
  <c r="AN18" i="6" s="1"/>
  <c r="AM18" i="6" a="1"/>
  <c r="AM18" i="6" s="1"/>
  <c r="AV17" i="6" a="1"/>
  <c r="AV17" i="6" s="1"/>
  <c r="AU17" i="6" a="1"/>
  <c r="AU17" i="6" s="1"/>
  <c r="AT17" i="6" a="1"/>
  <c r="AT17" i="6" s="1"/>
  <c r="AS17" i="6" a="1"/>
  <c r="AS17" i="6" s="1"/>
  <c r="AR17" i="6" a="1"/>
  <c r="AR17" i="6" s="1"/>
  <c r="AQ17" i="6" a="1"/>
  <c r="AQ17" i="6" s="1"/>
  <c r="AP17" i="6" a="1"/>
  <c r="AP17" i="6" s="1"/>
  <c r="AO17" i="6" a="1"/>
  <c r="AO17" i="6" s="1"/>
  <c r="AN17" i="6" a="1"/>
  <c r="AN17" i="6" s="1"/>
  <c r="AM17" i="6" a="1"/>
  <c r="AM17" i="6" s="1"/>
  <c r="AV16" i="6" a="1"/>
  <c r="AV16" i="6" s="1"/>
  <c r="AU16" i="6" a="1"/>
  <c r="AU16" i="6" s="1"/>
  <c r="AT16" i="6" a="1"/>
  <c r="AT16" i="6" s="1"/>
  <c r="AS16" i="6" a="1"/>
  <c r="AS16" i="6" s="1"/>
  <c r="AR16" i="6" a="1"/>
  <c r="AR16" i="6" s="1"/>
  <c r="AQ16" i="6" a="1"/>
  <c r="AQ16" i="6" s="1"/>
  <c r="AP16" i="6" a="1"/>
  <c r="AP16" i="6" s="1"/>
  <c r="AO16" i="6" a="1"/>
  <c r="AO16" i="6" s="1"/>
  <c r="AN16" i="6" a="1"/>
  <c r="AN16" i="6" s="1"/>
  <c r="AM16" i="6" a="1"/>
  <c r="AM16" i="6" s="1"/>
  <c r="W16" i="6"/>
  <c r="X16" i="6" s="1"/>
  <c r="Y16" i="6" s="1"/>
  <c r="Z16" i="6" s="1"/>
  <c r="AA16" i="6" s="1"/>
  <c r="AB16" i="6" s="1"/>
  <c r="AC16" i="6" s="1"/>
  <c r="AD16" i="6" s="1"/>
  <c r="AE16" i="6" s="1"/>
  <c r="AF16" i="6" s="1"/>
  <c r="AG16" i="6" s="1"/>
  <c r="AH16" i="6" s="1"/>
  <c r="AI16" i="6" s="1"/>
  <c r="U16" i="6"/>
  <c r="V16" i="6" s="1"/>
  <c r="E16" i="6"/>
  <c r="F16" i="6" s="1"/>
  <c r="G16" i="6" s="1"/>
  <c r="H16" i="6" s="1"/>
  <c r="I16" i="6" s="1"/>
  <c r="J16" i="6" s="1"/>
  <c r="K16" i="6" s="1"/>
  <c r="L16" i="6" s="1"/>
  <c r="M16" i="6" s="1"/>
  <c r="N16" i="6" s="1"/>
  <c r="O16" i="6" s="1"/>
  <c r="P16" i="6" s="1"/>
  <c r="Q16" i="6" s="1"/>
  <c r="R16" i="6" s="1"/>
  <c r="S16" i="6" s="1"/>
  <c r="T16" i="6" s="1"/>
  <c r="C16" i="6"/>
  <c r="D16" i="6" s="1"/>
  <c r="AV15" i="6" a="1"/>
  <c r="AV15" i="6" s="1"/>
  <c r="AU15" i="6" a="1"/>
  <c r="AU15" i="6" s="1"/>
  <c r="AT15" i="6" a="1"/>
  <c r="AT15" i="6" s="1"/>
  <c r="AS15" i="6" a="1"/>
  <c r="AS15" i="6" s="1"/>
  <c r="AR15" i="6" a="1"/>
  <c r="AR15" i="6" s="1"/>
  <c r="AQ15" i="6" a="1"/>
  <c r="AQ15" i="6" s="1"/>
  <c r="AP15" i="6" a="1"/>
  <c r="AP15" i="6" s="1"/>
  <c r="AO15" i="6" a="1"/>
  <c r="AO15" i="6" s="1"/>
  <c r="AN15" i="6" a="1"/>
  <c r="AN15" i="6" s="1"/>
  <c r="AM15" i="6" a="1"/>
  <c r="AM15" i="6" s="1"/>
  <c r="AV14" i="6" a="1"/>
  <c r="AV14" i="6" s="1"/>
  <c r="AU14" i="6" a="1"/>
  <c r="AU14" i="6" s="1"/>
  <c r="AT14" i="6" a="1"/>
  <c r="AT14" i="6" s="1"/>
  <c r="AS14" i="6" a="1"/>
  <c r="AS14" i="6" s="1"/>
  <c r="AR14" i="6" a="1"/>
  <c r="AR14" i="6" s="1"/>
  <c r="AQ14" i="6" a="1"/>
  <c r="AQ14" i="6" s="1"/>
  <c r="AP14" i="6" a="1"/>
  <c r="AP14" i="6" s="1"/>
  <c r="AO14" i="6" a="1"/>
  <c r="AO14" i="6" s="1"/>
  <c r="AN14" i="6" a="1"/>
  <c r="AN14" i="6" s="1"/>
  <c r="AM14" i="6" a="1"/>
  <c r="AM14" i="6" s="1"/>
  <c r="AV13" i="6" a="1"/>
  <c r="AV13" i="6" s="1"/>
  <c r="AU13" i="6" a="1"/>
  <c r="AU13" i="6" s="1"/>
  <c r="AT13" i="6" a="1"/>
  <c r="AT13" i="6" s="1"/>
  <c r="AS13" i="6" a="1"/>
  <c r="AS13" i="6" s="1"/>
  <c r="AR13" i="6" a="1"/>
  <c r="AR13" i="6" s="1"/>
  <c r="AQ13" i="6" a="1"/>
  <c r="AQ13" i="6" s="1"/>
  <c r="AP13" i="6" a="1"/>
  <c r="AP13" i="6" s="1"/>
  <c r="AO13" i="6" a="1"/>
  <c r="AO13" i="6" s="1"/>
  <c r="AN13" i="6" a="1"/>
  <c r="AN13" i="6" s="1"/>
  <c r="AM13" i="6" a="1"/>
  <c r="AM13" i="6" s="1"/>
  <c r="AV12" i="6" a="1"/>
  <c r="AV12" i="6" s="1"/>
  <c r="AU12" i="6" a="1"/>
  <c r="AU12" i="6" s="1"/>
  <c r="AT12" i="6" a="1"/>
  <c r="AT12" i="6" s="1"/>
  <c r="AS12" i="6" a="1"/>
  <c r="AS12" i="6" s="1"/>
  <c r="AR12" i="6" a="1"/>
  <c r="AR12" i="6" s="1"/>
  <c r="AQ12" i="6" a="1"/>
  <c r="AQ12" i="6" s="1"/>
  <c r="AP12" i="6" a="1"/>
  <c r="AP12" i="6" s="1"/>
  <c r="AO12" i="6" a="1"/>
  <c r="AO12" i="6" s="1"/>
  <c r="AN12" i="6" a="1"/>
  <c r="AN12" i="6" s="1"/>
  <c r="AM12" i="6" a="1"/>
  <c r="AM12" i="6" s="1"/>
  <c r="AV11" i="6" a="1"/>
  <c r="AV11" i="6" s="1"/>
  <c r="AU11" i="6" a="1"/>
  <c r="AU11" i="6" s="1"/>
  <c r="AT11" i="6" a="1"/>
  <c r="AT11" i="6" s="1"/>
  <c r="AS11" i="6" a="1"/>
  <c r="AS11" i="6" s="1"/>
  <c r="AR11" i="6" a="1"/>
  <c r="AR11" i="6" s="1"/>
  <c r="AQ11" i="6" a="1"/>
  <c r="AQ11" i="6" s="1"/>
  <c r="AP11" i="6" a="1"/>
  <c r="AP11" i="6" s="1"/>
  <c r="AO11" i="6" a="1"/>
  <c r="AO11" i="6" s="1"/>
  <c r="AN11" i="6" a="1"/>
  <c r="AN11" i="6" s="1"/>
  <c r="AM11" i="6" a="1"/>
  <c r="AM11" i="6" s="1"/>
  <c r="D4" i="6"/>
  <c r="C4" i="6"/>
  <c r="C115" i="5"/>
  <c r="D115" i="5" s="1"/>
  <c r="E115" i="5" s="1"/>
  <c r="B112" i="5"/>
  <c r="B111" i="5"/>
  <c r="C110" i="5"/>
  <c r="D110" i="5" s="1"/>
  <c r="B107" i="5"/>
  <c r="C106" i="5"/>
  <c r="D106" i="5" s="1"/>
  <c r="E106" i="5" s="1"/>
  <c r="F106" i="5" s="1"/>
  <c r="C85" i="5"/>
  <c r="D85" i="5" s="1"/>
  <c r="E85" i="5" s="1"/>
  <c r="F85" i="5" s="1"/>
  <c r="C67" i="5"/>
  <c r="C60" i="5"/>
  <c r="C48" i="5"/>
  <c r="D48" i="5" s="1"/>
  <c r="E48" i="5" s="1"/>
  <c r="C32" i="5"/>
  <c r="D32" i="5" s="1"/>
  <c r="E32" i="5" s="1"/>
  <c r="F32" i="5" s="1"/>
  <c r="G32" i="5" s="1"/>
  <c r="H32" i="5" s="1"/>
  <c r="I32" i="5" s="1"/>
  <c r="J32" i="5" s="1"/>
  <c r="K32" i="5" s="1"/>
  <c r="L32" i="5" s="1"/>
  <c r="M32" i="5" s="1"/>
  <c r="N32" i="5" s="1"/>
  <c r="O32" i="5" s="1"/>
  <c r="P32" i="5" s="1"/>
  <c r="Q32" i="5" s="1"/>
  <c r="R32" i="5" s="1"/>
  <c r="S32" i="5" s="1"/>
  <c r="T32" i="5" s="1"/>
  <c r="U32" i="5" s="1"/>
  <c r="V32" i="5" s="1"/>
  <c r="W32" i="5" s="1"/>
  <c r="X32" i="5" s="1"/>
  <c r="Y32" i="5" s="1"/>
  <c r="Z32" i="5" s="1"/>
  <c r="AA32" i="5" s="1"/>
  <c r="AB32" i="5" s="1"/>
  <c r="AC32" i="5" s="1"/>
  <c r="AD32" i="5" s="1"/>
  <c r="AE32" i="5" s="1"/>
  <c r="AF32" i="5" s="1"/>
  <c r="AG32" i="5" s="1"/>
  <c r="AH32" i="5" s="1"/>
  <c r="AI32" i="5" s="1"/>
  <c r="C11" i="5"/>
  <c r="D11" i="5" s="1"/>
  <c r="E11" i="5" s="1"/>
  <c r="F11" i="5" s="1"/>
  <c r="G11" i="5" s="1"/>
  <c r="H11" i="5" s="1"/>
  <c r="I11" i="5" s="1"/>
  <c r="J11" i="5" s="1"/>
  <c r="K11" i="5" s="1"/>
  <c r="L11" i="5" s="1"/>
  <c r="M11" i="5" s="1"/>
  <c r="N11" i="5" s="1"/>
  <c r="O11" i="5" s="1"/>
  <c r="P11" i="5" s="1"/>
  <c r="Q11" i="5" s="1"/>
  <c r="R11" i="5" s="1"/>
  <c r="S11" i="5" s="1"/>
  <c r="T11" i="5" s="1"/>
  <c r="U11" i="5" s="1"/>
  <c r="V11" i="5" s="1"/>
  <c r="W11" i="5" s="1"/>
  <c r="X11" i="5" s="1"/>
  <c r="Y11" i="5" s="1"/>
  <c r="Z11" i="5" s="1"/>
  <c r="AA11" i="5" s="1"/>
  <c r="AB11" i="5" s="1"/>
  <c r="AC11" i="5" s="1"/>
  <c r="AD11" i="5" s="1"/>
  <c r="AE11" i="5" s="1"/>
  <c r="AF11" i="5" s="1"/>
  <c r="AG11" i="5" s="1"/>
  <c r="AH11" i="5" s="1"/>
  <c r="AI11" i="5" s="1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K12" i="4"/>
  <c r="BF8" i="4"/>
  <c r="W8" i="4"/>
  <c r="J8" i="4"/>
  <c r="DF12" i="4" s="1"/>
  <c r="W7" i="4"/>
  <c r="W6" i="4"/>
  <c r="W5" i="4"/>
  <c r="W4" i="4"/>
  <c r="W3" i="4"/>
  <c r="BX60" i="5" l="1"/>
  <c r="BY85" i="5"/>
  <c r="BX48" i="5"/>
  <c r="CB106" i="5"/>
  <c r="BY67" i="5"/>
  <c r="BX110" i="5"/>
  <c r="BX115" i="5"/>
  <c r="AO85" i="5"/>
  <c r="AN60" i="5"/>
  <c r="AN115" i="5"/>
  <c r="AO11" i="5"/>
  <c r="AP11" i="5" s="1"/>
  <c r="AQ11" i="5" s="1"/>
  <c r="AR11" i="5" s="1"/>
  <c r="AS11" i="5" s="1"/>
  <c r="AM2" i="5" a="1"/>
  <c r="AN67" i="5"/>
  <c r="AN110" i="5"/>
  <c r="AN48" i="5"/>
  <c r="AN106" i="5"/>
  <c r="AS12" i="4"/>
  <c r="DC12" i="4"/>
  <c r="AT21" i="7" s="1" a="1"/>
  <c r="AT21" i="7" s="1"/>
  <c r="CK12" i="4"/>
  <c r="DD12" i="4"/>
  <c r="AU20" i="9" s="1" a="1"/>
  <c r="AU20" i="9" s="1"/>
  <c r="DO12" i="4"/>
  <c r="DP12" i="4"/>
  <c r="T12" i="4"/>
  <c r="CM12" i="4"/>
  <c r="U12" i="4"/>
  <c r="CN12" i="4"/>
  <c r="DM12" i="4"/>
  <c r="DN12" i="4"/>
  <c r="AZ12" i="4"/>
  <c r="BE12" i="4"/>
  <c r="BF12" i="4"/>
  <c r="BG12" i="4"/>
  <c r="BH12" i="4"/>
  <c r="BY12" i="4"/>
  <c r="CJ12" i="4"/>
  <c r="D5" i="6" a="1"/>
  <c r="D5" i="6" s="1"/>
  <c r="AR12" i="4"/>
  <c r="AU22" i="9" a="1"/>
  <c r="AU22" i="9" s="1"/>
  <c r="AU21" i="7" a="1"/>
  <c r="AU21" i="7" s="1"/>
  <c r="AV15" i="7" a="1"/>
  <c r="AV15" i="7" s="1"/>
  <c r="AV22" i="7" a="1"/>
  <c r="AV22" i="7" s="1"/>
  <c r="C12" i="6" a="1"/>
  <c r="C12" i="6" s="1"/>
  <c r="C17" i="6" a="1"/>
  <c r="C17" i="6" s="1"/>
  <c r="C9" i="6" a="1"/>
  <c r="C9" i="6" s="1"/>
  <c r="C5" i="6" a="1"/>
  <c r="C5" i="6" s="1"/>
  <c r="C6" i="6" a="1"/>
  <c r="C6" i="6" s="1"/>
  <c r="C19" i="6" a="1"/>
  <c r="C19" i="6" s="1"/>
  <c r="G106" i="5"/>
  <c r="D6" i="6" a="1"/>
  <c r="D6" i="6" s="1"/>
  <c r="AY79" i="9" a="1"/>
  <c r="AY79" i="9" s="1"/>
  <c r="AZ79" i="9" a="1"/>
  <c r="AZ79" i="9" s="1"/>
  <c r="AZ78" i="9" a="1"/>
  <c r="AZ78" i="9" s="1"/>
  <c r="AY78" i="9" a="1"/>
  <c r="AY78" i="9" s="1"/>
  <c r="AZ37" i="9" a="1"/>
  <c r="AZ37" i="9" s="1"/>
  <c r="AY37" i="9" a="1"/>
  <c r="AY37" i="9" s="1"/>
  <c r="AZ34" i="9" a="1"/>
  <c r="AZ34" i="9" s="1"/>
  <c r="AZ14" i="9" a="1"/>
  <c r="AZ14" i="9" s="1"/>
  <c r="AY36" i="9" a="1"/>
  <c r="AY36" i="9" s="1"/>
  <c r="AY22" i="9" a="1"/>
  <c r="AY22" i="9" s="1"/>
  <c r="AY20" i="9" a="1"/>
  <c r="AY20" i="9" s="1"/>
  <c r="AY34" i="9" a="1"/>
  <c r="AY34" i="9" s="1"/>
  <c r="AZ38" i="9" a="1"/>
  <c r="AZ38" i="9" s="1"/>
  <c r="AZ35" i="9" a="1"/>
  <c r="AZ35" i="9" s="1"/>
  <c r="AY21" i="9" a="1"/>
  <c r="AY21" i="9" s="1"/>
  <c r="AY18" i="9" a="1"/>
  <c r="AY18" i="9" s="1"/>
  <c r="AY31" i="9" a="1"/>
  <c r="AY31" i="9" s="1"/>
  <c r="AY19" i="9" a="1"/>
  <c r="AY19" i="9" s="1"/>
  <c r="AY11" i="9" a="1"/>
  <c r="AY11" i="9" s="1"/>
  <c r="AY15" i="9" a="1"/>
  <c r="AY15" i="9" s="1"/>
  <c r="AY35" i="9" a="1"/>
  <c r="AY35" i="9" s="1"/>
  <c r="AZ33" i="9" a="1"/>
  <c r="AZ33" i="9" s="1"/>
  <c r="AY33" i="9" a="1"/>
  <c r="AY33" i="9" s="1"/>
  <c r="AY14" i="9" a="1"/>
  <c r="AY14" i="9" s="1"/>
  <c r="AZ31" i="9" a="1"/>
  <c r="AZ31" i="9" s="1"/>
  <c r="AZ21" i="9" a="1"/>
  <c r="AZ21" i="9" s="1"/>
  <c r="AY38" i="9" a="1"/>
  <c r="AY38" i="9" s="1"/>
  <c r="AZ36" i="9" a="1"/>
  <c r="AZ36" i="9" s="1"/>
  <c r="AZ20" i="9" a="1"/>
  <c r="AZ20" i="9" s="1"/>
  <c r="AZ19" i="9" a="1"/>
  <c r="AZ19" i="9" s="1"/>
  <c r="AZ12" i="9" a="1"/>
  <c r="AZ12" i="9" s="1"/>
  <c r="AZ18" i="9" a="1"/>
  <c r="AZ18" i="9" s="1"/>
  <c r="AY12" i="9" a="1"/>
  <c r="AY12" i="9" s="1"/>
  <c r="AZ32" i="9" a="1"/>
  <c r="AZ32" i="9" s="1"/>
  <c r="AY32" i="9" a="1"/>
  <c r="AY32" i="9" s="1"/>
  <c r="AZ17" i="9" a="1"/>
  <c r="AZ17" i="9" s="1"/>
  <c r="AY17" i="9" a="1"/>
  <c r="AY17" i="9" s="1"/>
  <c r="AZ38" i="7" a="1"/>
  <c r="AZ38" i="7" s="1"/>
  <c r="AZ36" i="7" a="1"/>
  <c r="AZ36" i="7" s="1"/>
  <c r="AZ22" i="9" a="1"/>
  <c r="AZ22" i="9" s="1"/>
  <c r="AZ16" i="9" a="1"/>
  <c r="AZ16" i="9" s="1"/>
  <c r="AZ34" i="7" a="1"/>
  <c r="AZ34" i="7" s="1"/>
  <c r="AZ31" i="7" a="1"/>
  <c r="AZ31" i="7" s="1"/>
  <c r="AY22" i="7" a="1"/>
  <c r="AY22" i="7" s="1"/>
  <c r="AY34" i="7" a="1"/>
  <c r="AY34" i="7" s="1"/>
  <c r="AY31" i="7" a="1"/>
  <c r="AY31" i="7" s="1"/>
  <c r="AZ32" i="7" a="1"/>
  <c r="AZ32" i="7" s="1"/>
  <c r="AZ35" i="7" a="1"/>
  <c r="AZ35" i="7" s="1"/>
  <c r="AZ17" i="7" a="1"/>
  <c r="AZ17" i="7" s="1"/>
  <c r="AZ14" i="7" a="1"/>
  <c r="AZ14" i="7" s="1"/>
  <c r="AY32" i="7" a="1"/>
  <c r="AY32" i="7" s="1"/>
  <c r="AY35" i="7" a="1"/>
  <c r="AY35" i="7" s="1"/>
  <c r="AZ22" i="7" a="1"/>
  <c r="AZ22" i="7" s="1"/>
  <c r="AZ21" i="7" a="1"/>
  <c r="AZ21" i="7" s="1"/>
  <c r="AY17" i="7" a="1"/>
  <c r="AY17" i="7" s="1"/>
  <c r="AY14" i="7" a="1"/>
  <c r="AY14" i="7" s="1"/>
  <c r="AZ11" i="9" a="1"/>
  <c r="AZ11" i="9" s="1"/>
  <c r="AZ37" i="7" a="1"/>
  <c r="AZ37" i="7" s="1"/>
  <c r="AZ33" i="7" a="1"/>
  <c r="AZ33" i="7" s="1"/>
  <c r="AY11" i="7" a="1"/>
  <c r="AY11" i="7" s="1"/>
  <c r="AY21" i="7" a="1"/>
  <c r="AY21" i="7" s="1"/>
  <c r="AZ20" i="7" a="1"/>
  <c r="AZ20" i="7" s="1"/>
  <c r="AY36" i="7" a="1"/>
  <c r="AY36" i="7" s="1"/>
  <c r="AZ18" i="7" a="1"/>
  <c r="AZ18" i="7" s="1"/>
  <c r="AY37" i="7" a="1"/>
  <c r="AY37" i="7" s="1"/>
  <c r="AZ11" i="7" a="1"/>
  <c r="AZ11" i="7" s="1"/>
  <c r="AZ15" i="9" a="1"/>
  <c r="AZ15" i="9" s="1"/>
  <c r="AZ19" i="7" a="1"/>
  <c r="AZ19" i="7" s="1"/>
  <c r="AY38" i="7" a="1"/>
  <c r="AY38" i="7" s="1"/>
  <c r="AY19" i="7" a="1"/>
  <c r="AY19" i="7" s="1"/>
  <c r="AZ12" i="7" a="1"/>
  <c r="AZ12" i="7" s="1"/>
  <c r="AZ16" i="7" a="1"/>
  <c r="AZ16" i="7" s="1"/>
  <c r="AZ13" i="7" a="1"/>
  <c r="AZ13" i="7" s="1"/>
  <c r="AZ13" i="9" a="1"/>
  <c r="AZ13" i="9" s="1"/>
  <c r="AY20" i="7" a="1"/>
  <c r="AY20" i="7" s="1"/>
  <c r="AZ78" i="6" a="1"/>
  <c r="AZ78" i="6" s="1"/>
  <c r="AY78" i="6" a="1"/>
  <c r="AY78" i="6" s="1"/>
  <c r="AZ37" i="6" a="1"/>
  <c r="AZ37" i="6" s="1"/>
  <c r="AY37" i="6" a="1"/>
  <c r="AY37" i="6" s="1"/>
  <c r="AZ22" i="6" a="1"/>
  <c r="AZ22" i="6" s="1"/>
  <c r="AY13" i="7" a="1"/>
  <c r="AY13" i="7" s="1"/>
  <c r="AY12" i="7" a="1"/>
  <c r="AY12" i="7" s="1"/>
  <c r="AY18" i="7" a="1"/>
  <c r="AY18" i="7" s="1"/>
  <c r="AZ18" i="6" a="1"/>
  <c r="AZ18" i="6" s="1"/>
  <c r="AY17" i="6" a="1"/>
  <c r="AY17" i="6" s="1"/>
  <c r="AZ16" i="6" a="1"/>
  <c r="AZ16" i="6" s="1"/>
  <c r="AZ15" i="7" a="1"/>
  <c r="AZ15" i="7" s="1"/>
  <c r="AZ14" i="6" a="1"/>
  <c r="AZ14" i="6" s="1"/>
  <c r="AY15" i="7" a="1"/>
  <c r="AY15" i="7" s="1"/>
  <c r="AY14" i="6" a="1"/>
  <c r="AY14" i="6" s="1"/>
  <c r="AZ12" i="6" a="1"/>
  <c r="AZ12" i="6" s="1"/>
  <c r="AY16" i="7" a="1"/>
  <c r="AY16" i="7" s="1"/>
  <c r="AZ20" i="6" a="1"/>
  <c r="AZ20" i="6" s="1"/>
  <c r="AY19" i="6" a="1"/>
  <c r="AY19" i="6" s="1"/>
  <c r="AY22" i="6" a="1"/>
  <c r="AY22" i="6" s="1"/>
  <c r="AZ15" i="6" a="1"/>
  <c r="AZ15" i="6" s="1"/>
  <c r="AZ13" i="6" a="1"/>
  <c r="AZ13" i="6" s="1"/>
  <c r="AY79" i="6" a="1"/>
  <c r="AY79" i="6" s="1"/>
  <c r="AZ35" i="6" a="1"/>
  <c r="AZ35" i="6" s="1"/>
  <c r="AZ34" i="6" a="1"/>
  <c r="AZ34" i="6" s="1"/>
  <c r="AY15" i="6" a="1"/>
  <c r="AY15" i="6" s="1"/>
  <c r="AY13" i="6" a="1"/>
  <c r="AY13" i="6" s="1"/>
  <c r="AY21" i="6" a="1"/>
  <c r="AY21" i="6" s="1"/>
  <c r="AZ79" i="6" a="1"/>
  <c r="AZ79" i="6" s="1"/>
  <c r="AY34" i="6" a="1"/>
  <c r="AY34" i="6" s="1"/>
  <c r="AY33" i="7" a="1"/>
  <c r="AY33" i="7" s="1"/>
  <c r="AZ32" i="6" a="1"/>
  <c r="AZ32" i="6" s="1"/>
  <c r="AY16" i="6" a="1"/>
  <c r="AY16" i="6" s="1"/>
  <c r="AZ11" i="6" a="1"/>
  <c r="AZ11" i="6" s="1"/>
  <c r="AY32" i="6" a="1"/>
  <c r="AY32" i="6" s="1"/>
  <c r="AY13" i="9" a="1"/>
  <c r="AY13" i="9" s="1"/>
  <c r="AY18" i="6" a="1"/>
  <c r="AY18" i="6" s="1"/>
  <c r="AY11" i="6" a="1"/>
  <c r="AY11" i="6" s="1"/>
  <c r="AY16" i="9" a="1"/>
  <c r="AY16" i="9" s="1"/>
  <c r="AY36" i="6" a="1"/>
  <c r="AY36" i="6" s="1"/>
  <c r="AY33" i="6" a="1"/>
  <c r="AY33" i="6" s="1"/>
  <c r="AZ31" i="6" a="1"/>
  <c r="AZ31" i="6" s="1"/>
  <c r="AY12" i="6" a="1"/>
  <c r="AY12" i="6" s="1"/>
  <c r="AZ38" i="6" a="1"/>
  <c r="AZ38" i="6" s="1"/>
  <c r="AY38" i="6" a="1"/>
  <c r="AY38" i="6" s="1"/>
  <c r="AZ33" i="6" a="1"/>
  <c r="AZ33" i="6" s="1"/>
  <c r="AZ36" i="6" a="1"/>
  <c r="AZ36" i="6" s="1"/>
  <c r="AY35" i="6" a="1"/>
  <c r="AY35" i="6" s="1"/>
  <c r="AZ19" i="6" a="1"/>
  <c r="AZ19" i="6" s="1"/>
  <c r="AY20" i="6" a="1"/>
  <c r="AY20" i="6" s="1"/>
  <c r="AY31" i="6" a="1"/>
  <c r="AY31" i="6" s="1"/>
  <c r="AZ17" i="6" a="1"/>
  <c r="AZ17" i="6" s="1"/>
  <c r="AZ21" i="6" a="1"/>
  <c r="AZ21" i="6" s="1"/>
  <c r="D19" i="6" a="1"/>
  <c r="D19" i="6" s="1"/>
  <c r="D17" i="6" a="1"/>
  <c r="D17" i="6" s="1"/>
  <c r="D13" i="6" a="1"/>
  <c r="D13" i="6" s="1"/>
  <c r="D10" i="6" a="1"/>
  <c r="D10" i="6" s="1"/>
  <c r="D7" i="6" a="1"/>
  <c r="D7" i="6" s="1"/>
  <c r="D20" i="6" a="1"/>
  <c r="D20" i="6" s="1"/>
  <c r="D12" i="6" a="1"/>
  <c r="D12" i="6" s="1"/>
  <c r="D11" i="6" a="1"/>
  <c r="D11" i="6" s="1"/>
  <c r="D8" i="6" a="1"/>
  <c r="D8" i="6" s="1"/>
  <c r="D9" i="6" a="1"/>
  <c r="D9" i="6" s="1"/>
  <c r="BB12" i="4"/>
  <c r="E4" i="6"/>
  <c r="DL12" i="4"/>
  <c r="CW12" i="4"/>
  <c r="BO12" i="4"/>
  <c r="AY12" i="4"/>
  <c r="W2" i="4"/>
  <c r="BN12" i="4"/>
  <c r="AX12" i="4"/>
  <c r="CR12" i="4"/>
  <c r="AT12" i="4"/>
  <c r="CV12" i="4"/>
  <c r="DH12" i="4"/>
  <c r="BJ12" i="4"/>
  <c r="CU12" i="4"/>
  <c r="CE12" i="4"/>
  <c r="AW12" i="4"/>
  <c r="Q12" i="4"/>
  <c r="DJ12" i="4"/>
  <c r="CD12" i="4"/>
  <c r="BL12" i="4"/>
  <c r="AV12" i="4"/>
  <c r="P12" i="4"/>
  <c r="O12" i="4"/>
  <c r="CB12" i="4"/>
  <c r="CT12" i="4"/>
  <c r="DI12" i="4"/>
  <c r="CS12" i="4"/>
  <c r="CC12" i="4"/>
  <c r="BK12" i="4"/>
  <c r="AU12" i="4"/>
  <c r="DQ12" i="4"/>
  <c r="DB12" i="4"/>
  <c r="CL12" i="4"/>
  <c r="BV12" i="4"/>
  <c r="BD12" i="4"/>
  <c r="BA12" i="4"/>
  <c r="CA12" i="4"/>
  <c r="DE12" i="4"/>
  <c r="BC12" i="4"/>
  <c r="CI12" i="4"/>
  <c r="DG12" i="4"/>
  <c r="CP12" i="4"/>
  <c r="E110" i="5"/>
  <c r="CX12" i="4"/>
  <c r="CZ12" i="4" s="1"/>
  <c r="D18" i="6" a="1"/>
  <c r="D18" i="6" s="1"/>
  <c r="D41" i="6"/>
  <c r="BP12" i="4"/>
  <c r="BU12" i="4"/>
  <c r="CY12" i="4"/>
  <c r="BW12" i="4"/>
  <c r="BX12" i="4"/>
  <c r="DA12" i="4"/>
  <c r="G85" i="5"/>
  <c r="D67" i="5"/>
  <c r="E23" i="6"/>
  <c r="E71" i="6"/>
  <c r="F48" i="5"/>
  <c r="D60" i="5"/>
  <c r="C18" i="6" a="1"/>
  <c r="C18" i="6" s="1"/>
  <c r="C20" i="6" a="1"/>
  <c r="C20" i="6" s="1"/>
  <c r="C11" i="6" a="1"/>
  <c r="C11" i="6" s="1"/>
  <c r="C10" i="6" a="1"/>
  <c r="C10" i="6" s="1"/>
  <c r="C7" i="6" a="1"/>
  <c r="C7" i="6" s="1"/>
  <c r="F66" i="6"/>
  <c r="F115" i="5"/>
  <c r="C8" i="6" a="1"/>
  <c r="C8" i="6" s="1"/>
  <c r="C13" i="6" a="1"/>
  <c r="C13" i="6" s="1"/>
  <c r="C2" i="7" a="1"/>
  <c r="D62" i="6"/>
  <c r="D48" i="7"/>
  <c r="E67" i="7"/>
  <c r="E85" i="7"/>
  <c r="C23" i="7" a="1"/>
  <c r="E110" i="7"/>
  <c r="I106" i="7"/>
  <c r="D60" i="7"/>
  <c r="D115" i="7"/>
  <c r="F16" i="9"/>
  <c r="E4" i="9"/>
  <c r="D41" i="9"/>
  <c r="H62" i="9"/>
  <c r="D23" i="9"/>
  <c r="D66" i="9"/>
  <c r="D71" i="9"/>
  <c r="AT33" i="7" l="1" a="1"/>
  <c r="AT33" i="7" s="1"/>
  <c r="AS38" i="7" a="1"/>
  <c r="AS38" i="7" s="1"/>
  <c r="AS38" i="9" a="1"/>
  <c r="AS38" i="9" s="1"/>
  <c r="AT32" i="7" a="1"/>
  <c r="AT32" i="7" s="1"/>
  <c r="AV18" i="7" a="1"/>
  <c r="AV18" i="7" s="1"/>
  <c r="AV31" i="9" a="1"/>
  <c r="AV31" i="9" s="1"/>
  <c r="AV36" i="9" a="1"/>
  <c r="AV36" i="9" s="1"/>
  <c r="D2" i="5" a="1"/>
  <c r="C2" i="5" a="1"/>
  <c r="BW2" i="5" a="1"/>
  <c r="BW9" i="5" s="1"/>
  <c r="AU79" i="9" a="1"/>
  <c r="AU79" i="9" s="1"/>
  <c r="AV21" i="7" a="1"/>
  <c r="AV21" i="7" s="1"/>
  <c r="AV32" i="7" a="1"/>
  <c r="AV32" i="7" s="1"/>
  <c r="AU20" i="7" a="1"/>
  <c r="AU20" i="7" s="1"/>
  <c r="AT17" i="7" a="1"/>
  <c r="AT17" i="7" s="1"/>
  <c r="AT38" i="7" a="1"/>
  <c r="AT38" i="7" s="1"/>
  <c r="AS78" i="9" a="1"/>
  <c r="AS78" i="9" s="1"/>
  <c r="AS12" i="7" a="1"/>
  <c r="AS12" i="7" s="1"/>
  <c r="AS34" i="9" a="1"/>
  <c r="AS34" i="9" s="1"/>
  <c r="AT12" i="7" a="1"/>
  <c r="AT12" i="7" s="1"/>
  <c r="AS12" i="9" a="1"/>
  <c r="AS12" i="9" s="1"/>
  <c r="BY48" i="5"/>
  <c r="BX2" i="5" a="1"/>
  <c r="AV12" i="7" a="1"/>
  <c r="AV12" i="7" s="1"/>
  <c r="AS21" i="7" a="1"/>
  <c r="AS21" i="7" s="1"/>
  <c r="AT20" i="9" a="1"/>
  <c r="AT20" i="9" s="1"/>
  <c r="BY115" i="5"/>
  <c r="AT35" i="9" a="1"/>
  <c r="AT35" i="9" s="1"/>
  <c r="AS22" i="9" a="1"/>
  <c r="AS22" i="9" s="1"/>
  <c r="BY60" i="5"/>
  <c r="AS37" i="7" a="1"/>
  <c r="AS37" i="7" s="1"/>
  <c r="CC106" i="5"/>
  <c r="AT31" i="9" a="1"/>
  <c r="AT31" i="9" s="1"/>
  <c r="AT22" i="7" a="1"/>
  <c r="AT22" i="7" s="1"/>
  <c r="AS17" i="9" a="1"/>
  <c r="AS17" i="9" s="1"/>
  <c r="AS32" i="7" a="1"/>
  <c r="AS32" i="7" s="1"/>
  <c r="AS21" i="9" a="1"/>
  <c r="AS21" i="9" s="1"/>
  <c r="BY110" i="5"/>
  <c r="AV78" i="9" a="1"/>
  <c r="AV78" i="9" s="1"/>
  <c r="AT20" i="7" a="1"/>
  <c r="AT20" i="7" s="1"/>
  <c r="AT12" i="9" a="1"/>
  <c r="AT12" i="9" s="1"/>
  <c r="BZ67" i="5"/>
  <c r="BW4" i="5"/>
  <c r="BW3" i="5"/>
  <c r="BW2" i="5"/>
  <c r="BW8" i="5"/>
  <c r="BW6" i="5"/>
  <c r="AS20" i="9" a="1"/>
  <c r="AS20" i="9" s="1"/>
  <c r="AS18" i="9" a="1"/>
  <c r="AS18" i="9" s="1"/>
  <c r="AS14" i="7" a="1"/>
  <c r="AS14" i="7" s="1"/>
  <c r="AT31" i="7" a="1"/>
  <c r="AT31" i="7" s="1"/>
  <c r="AS14" i="9" a="1"/>
  <c r="AS14" i="9" s="1"/>
  <c r="AS17" i="7" a="1"/>
  <c r="AS17" i="7" s="1"/>
  <c r="AT37" i="7" a="1"/>
  <c r="AT37" i="7" s="1"/>
  <c r="AS19" i="9" a="1"/>
  <c r="AS19" i="9" s="1"/>
  <c r="AT16" i="7" a="1"/>
  <c r="AT16" i="7" s="1"/>
  <c r="AS31" i="9" a="1"/>
  <c r="AS31" i="9" s="1"/>
  <c r="AT13" i="7" a="1"/>
  <c r="AT13" i="7" s="1"/>
  <c r="AT11" i="7" a="1"/>
  <c r="AT11" i="7" s="1"/>
  <c r="AS36" i="7" a="1"/>
  <c r="AS36" i="7" s="1"/>
  <c r="AS36" i="9" a="1"/>
  <c r="AS36" i="9" s="1"/>
  <c r="BZ85" i="5"/>
  <c r="AP85" i="5"/>
  <c r="AT11" i="5"/>
  <c r="AO115" i="5"/>
  <c r="AV37" i="7" a="1"/>
  <c r="AV37" i="7" s="1"/>
  <c r="AV20" i="9" a="1"/>
  <c r="AV20" i="9" s="1"/>
  <c r="AS15" i="9" a="1"/>
  <c r="AS15" i="9" s="1"/>
  <c r="AU12" i="9" a="1"/>
  <c r="AU12" i="9" s="1"/>
  <c r="AT35" i="7" a="1"/>
  <c r="AT35" i="7" s="1"/>
  <c r="AS19" i="7" a="1"/>
  <c r="AS19" i="7" s="1"/>
  <c r="AT13" i="9" a="1"/>
  <c r="AT13" i="9" s="1"/>
  <c r="AT15" i="9" a="1"/>
  <c r="AT15" i="9" s="1"/>
  <c r="AO106" i="5"/>
  <c r="AO60" i="5"/>
  <c r="AM4" i="5"/>
  <c r="AM3" i="5"/>
  <c r="AM2" i="5"/>
  <c r="AM9" i="5"/>
  <c r="AM8" i="5"/>
  <c r="AM6" i="5"/>
  <c r="AM5" i="5"/>
  <c r="AM7" i="5"/>
  <c r="E2" i="5" a="1"/>
  <c r="E9" i="5" s="1"/>
  <c r="AU37" i="9" a="1"/>
  <c r="AU37" i="9" s="1"/>
  <c r="AS18" i="7" a="1"/>
  <c r="AS18" i="7" s="1"/>
  <c r="AS37" i="9" a="1"/>
  <c r="AS37" i="9" s="1"/>
  <c r="AU36" i="9" a="1"/>
  <c r="AU36" i="9" s="1"/>
  <c r="AS13" i="7" a="1"/>
  <c r="AS13" i="7" s="1"/>
  <c r="AU11" i="9" a="1"/>
  <c r="AU11" i="9" s="1"/>
  <c r="AS15" i="7" a="1"/>
  <c r="AS15" i="7" s="1"/>
  <c r="AS16" i="7" a="1"/>
  <c r="AS16" i="7" s="1"/>
  <c r="AT37" i="9" a="1"/>
  <c r="AT37" i="9" s="1"/>
  <c r="AT21" i="9" a="1"/>
  <c r="AT21" i="9" s="1"/>
  <c r="AO48" i="5"/>
  <c r="AN2" i="5" a="1"/>
  <c r="AV11" i="7" a="1"/>
  <c r="AV11" i="7" s="1"/>
  <c r="AU33" i="9" a="1"/>
  <c r="AU33" i="9" s="1"/>
  <c r="AS35" i="7" a="1"/>
  <c r="AS35" i="7" s="1"/>
  <c r="AT34" i="7" a="1"/>
  <c r="AT34" i="7" s="1"/>
  <c r="AS32" i="9" a="1"/>
  <c r="AS32" i="9" s="1"/>
  <c r="AS33" i="9" a="1"/>
  <c r="AS33" i="9" s="1"/>
  <c r="AO110" i="5"/>
  <c r="AO67" i="5"/>
  <c r="AT14" i="9" a="1"/>
  <c r="AT14" i="9" s="1"/>
  <c r="AT14" i="7" a="1"/>
  <c r="AT14" i="7" s="1"/>
  <c r="AT16" i="9" a="1"/>
  <c r="AT16" i="9" s="1"/>
  <c r="AT32" i="9" a="1"/>
  <c r="AT32" i="9" s="1"/>
  <c r="AV17" i="7" a="1"/>
  <c r="AV17" i="7" s="1"/>
  <c r="AU34" i="9" a="1"/>
  <c r="AU34" i="9" s="1"/>
  <c r="AS11" i="7" a="1"/>
  <c r="AS11" i="7" s="1"/>
  <c r="AS20" i="7" a="1"/>
  <c r="AS20" i="7" s="1"/>
  <c r="AT19" i="9" a="1"/>
  <c r="AT19" i="9" s="1"/>
  <c r="AS35" i="9" a="1"/>
  <c r="AS35" i="9" s="1"/>
  <c r="AV16" i="7" a="1"/>
  <c r="AV16" i="7" s="1"/>
  <c r="AU13" i="9" a="1"/>
  <c r="AU13" i="9" s="1"/>
  <c r="AV31" i="7" a="1"/>
  <c r="AV31" i="7" s="1"/>
  <c r="AU19" i="9" a="1"/>
  <c r="AU19" i="9" s="1"/>
  <c r="AU15" i="7" a="1"/>
  <c r="AU15" i="7" s="1"/>
  <c r="AU31" i="9" a="1"/>
  <c r="AU31" i="9" s="1"/>
  <c r="AU18" i="7" a="1"/>
  <c r="AU18" i="7" s="1"/>
  <c r="AV34" i="9" a="1"/>
  <c r="AV34" i="9" s="1"/>
  <c r="AU19" i="7" a="1"/>
  <c r="AU19" i="7" s="1"/>
  <c r="AU18" i="9" a="1"/>
  <c r="AU18" i="9" s="1"/>
  <c r="AU36" i="7" a="1"/>
  <c r="AU36" i="7" s="1"/>
  <c r="AU38" i="9" a="1"/>
  <c r="AU38" i="9" s="1"/>
  <c r="AU37" i="7" a="1"/>
  <c r="AU37" i="7" s="1"/>
  <c r="AV21" i="9" a="1"/>
  <c r="AV21" i="9" s="1"/>
  <c r="AV13" i="7" a="1"/>
  <c r="AV13" i="7" s="1"/>
  <c r="AV14" i="9" a="1"/>
  <c r="AV14" i="9" s="1"/>
  <c r="AV19" i="9" a="1"/>
  <c r="AV19" i="9" s="1"/>
  <c r="AU22" i="7" a="1"/>
  <c r="AU22" i="7" s="1"/>
  <c r="AV16" i="9" a="1"/>
  <c r="AV16" i="9" s="1"/>
  <c r="AV37" i="9" a="1"/>
  <c r="AV37" i="9" s="1"/>
  <c r="AU31" i="7" a="1"/>
  <c r="AU31" i="7" s="1"/>
  <c r="AU35" i="9" a="1"/>
  <c r="AU35" i="9" s="1"/>
  <c r="AU15" i="9" a="1"/>
  <c r="AU15" i="9" s="1"/>
  <c r="AV14" i="7" a="1"/>
  <c r="AV14" i="7" s="1"/>
  <c r="AU34" i="7" a="1"/>
  <c r="AU34" i="7" s="1"/>
  <c r="AV33" i="9" a="1"/>
  <c r="AV33" i="9" s="1"/>
  <c r="AU32" i="9" a="1"/>
  <c r="AU32" i="9" s="1"/>
  <c r="AV36" i="7" a="1"/>
  <c r="AV36" i="7" s="1"/>
  <c r="AV38" i="7" a="1"/>
  <c r="AV38" i="7" s="1"/>
  <c r="AV17" i="9" a="1"/>
  <c r="AV17" i="9" s="1"/>
  <c r="AV15" i="9" a="1"/>
  <c r="AV15" i="9" s="1"/>
  <c r="AV34" i="7" a="1"/>
  <c r="AV34" i="7" s="1"/>
  <c r="AU13" i="7" a="1"/>
  <c r="AU13" i="7" s="1"/>
  <c r="AV35" i="9" a="1"/>
  <c r="AV35" i="9" s="1"/>
  <c r="AV32" i="9" a="1"/>
  <c r="AV32" i="9" s="1"/>
  <c r="AS33" i="7" a="1"/>
  <c r="AS33" i="7" s="1"/>
  <c r="AT19" i="7" a="1"/>
  <c r="AT19" i="7" s="1"/>
  <c r="AS11" i="9" a="1"/>
  <c r="AS11" i="9" s="1"/>
  <c r="AS16" i="9" a="1"/>
  <c r="AS16" i="9" s="1"/>
  <c r="CG12" i="4"/>
  <c r="AT18" i="7" a="1"/>
  <c r="AT18" i="7" s="1"/>
  <c r="AS22" i="7" a="1"/>
  <c r="AS22" i="7" s="1"/>
  <c r="AT36" i="7" a="1"/>
  <c r="AT36" i="7" s="1"/>
  <c r="AT34" i="9" a="1"/>
  <c r="AT34" i="9" s="1"/>
  <c r="AT33" i="9" a="1"/>
  <c r="AT33" i="9" s="1"/>
  <c r="AU16" i="7" a="1"/>
  <c r="AU16" i="7" s="1"/>
  <c r="AU78" i="9" a="1"/>
  <c r="AU78" i="9" s="1"/>
  <c r="AU21" i="9" a="1"/>
  <c r="AU21" i="9" s="1"/>
  <c r="AS31" i="7" a="1"/>
  <c r="AS31" i="7" s="1"/>
  <c r="AT11" i="9" a="1"/>
  <c r="AT11" i="9" s="1"/>
  <c r="AT36" i="9" a="1"/>
  <c r="AT36" i="9" s="1"/>
  <c r="AT22" i="9" a="1"/>
  <c r="AT22" i="9" s="1"/>
  <c r="AT38" i="9" a="1"/>
  <c r="AT38" i="9" s="1"/>
  <c r="AT15" i="7" a="1"/>
  <c r="AT15" i="7" s="1"/>
  <c r="AS34" i="7" a="1"/>
  <c r="AS34" i="7" s="1"/>
  <c r="AS13" i="9" a="1"/>
  <c r="AS13" i="9" s="1"/>
  <c r="AT17" i="9" a="1"/>
  <c r="AT17" i="9" s="1"/>
  <c r="AT78" i="9" a="1"/>
  <c r="AT78" i="9" s="1"/>
  <c r="AT18" i="9" a="1"/>
  <c r="AT18" i="9" s="1"/>
  <c r="AT79" i="9" a="1"/>
  <c r="AT79" i="9" s="1"/>
  <c r="AU12" i="7" a="1"/>
  <c r="AU12" i="7" s="1"/>
  <c r="AV20" i="7" a="1"/>
  <c r="AV20" i="7" s="1"/>
  <c r="AU32" i="7" a="1"/>
  <c r="AU32" i="7" s="1"/>
  <c r="AV12" i="9" a="1"/>
  <c r="AV12" i="9" s="1"/>
  <c r="AV18" i="9" a="1"/>
  <c r="AV18" i="9" s="1"/>
  <c r="AV38" i="9" a="1"/>
  <c r="AV38" i="9" s="1"/>
  <c r="AV33" i="7" a="1"/>
  <c r="AV33" i="7" s="1"/>
  <c r="AU14" i="9" a="1"/>
  <c r="AU14" i="9" s="1"/>
  <c r="AU38" i="7" a="1"/>
  <c r="AU38" i="7" s="1"/>
  <c r="AV13" i="9" a="1"/>
  <c r="AV13" i="9" s="1"/>
  <c r="AV22" i="9" a="1"/>
  <c r="AV22" i="9" s="1"/>
  <c r="AV79" i="9" a="1"/>
  <c r="AV79" i="9" s="1"/>
  <c r="AV19" i="7" a="1"/>
  <c r="AV19" i="7" s="1"/>
  <c r="AU11" i="7" a="1"/>
  <c r="AU11" i="7" s="1"/>
  <c r="AU35" i="7" a="1"/>
  <c r="AU35" i="7" s="1"/>
  <c r="AU17" i="9" a="1"/>
  <c r="AU17" i="9" s="1"/>
  <c r="AU16" i="9" a="1"/>
  <c r="AU16" i="9" s="1"/>
  <c r="AU33" i="7" a="1"/>
  <c r="AU33" i="7" s="1"/>
  <c r="AU17" i="7" a="1"/>
  <c r="AU17" i="7" s="1"/>
  <c r="AU14" i="7" a="1"/>
  <c r="AU14" i="7" s="1"/>
  <c r="AV35" i="7" a="1"/>
  <c r="AV35" i="7" s="1"/>
  <c r="AV11" i="9" a="1"/>
  <c r="AV11" i="9" s="1"/>
  <c r="AS79" i="9" a="1"/>
  <c r="AS79" i="9" s="1"/>
  <c r="BM12" i="4"/>
  <c r="E8" i="5"/>
  <c r="C87" i="7" a="1"/>
  <c r="C87" i="7" s="1"/>
  <c r="C48" i="9" a="1"/>
  <c r="C48" i="9" s="1"/>
  <c r="D92" i="7" a="1"/>
  <c r="D92" i="7" s="1"/>
  <c r="C58" i="9" a="1"/>
  <c r="C58" i="9" s="1"/>
  <c r="C101" i="7" a="1"/>
  <c r="C101" i="7" s="1"/>
  <c r="D102" i="7" a="1"/>
  <c r="D102" i="7" s="1"/>
  <c r="BI12" i="4"/>
  <c r="C57" i="9" a="1"/>
  <c r="C57" i="9" s="1"/>
  <c r="C88" i="7" a="1"/>
  <c r="C88" i="7" s="1"/>
  <c r="CH12" i="4"/>
  <c r="C53" i="9" a="1"/>
  <c r="C53" i="9" s="1"/>
  <c r="C92" i="7" a="1"/>
  <c r="C92" i="7" s="1"/>
  <c r="C2" i="7"/>
  <c r="C7" i="7"/>
  <c r="C3" i="7"/>
  <c r="C9" i="7"/>
  <c r="C8" i="7"/>
  <c r="C6" i="7"/>
  <c r="C5" i="7"/>
  <c r="C4" i="7"/>
  <c r="C55" i="6" a="1"/>
  <c r="C55" i="6" s="1"/>
  <c r="C44" i="6" a="1"/>
  <c r="C44" i="6" s="1"/>
  <c r="F110" i="7"/>
  <c r="C97" i="7" a="1"/>
  <c r="C97" i="7" s="1"/>
  <c r="E60" i="5"/>
  <c r="C45" i="6" a="1"/>
  <c r="C45" i="6" s="1"/>
  <c r="D59" i="9" a="1"/>
  <c r="D59" i="9" s="1"/>
  <c r="D58" i="9" a="1"/>
  <c r="D58" i="9" s="1"/>
  <c r="D49" i="9" a="1"/>
  <c r="D49" i="9" s="1"/>
  <c r="D53" i="9" a="1"/>
  <c r="D53" i="9" s="1"/>
  <c r="D47" i="9" a="1"/>
  <c r="D47" i="9" s="1"/>
  <c r="D51" i="9" a="1"/>
  <c r="D51" i="9" s="1"/>
  <c r="D43" i="9" a="1"/>
  <c r="D43" i="9" s="1"/>
  <c r="D50" i="9" a="1"/>
  <c r="D50" i="9" s="1"/>
  <c r="D46" i="9" a="1"/>
  <c r="D46" i="9" s="1"/>
  <c r="D57" i="9" a="1"/>
  <c r="D57" i="9" s="1"/>
  <c r="D54" i="9" a="1"/>
  <c r="D54" i="9" s="1"/>
  <c r="D45" i="9" a="1"/>
  <c r="D45" i="9" s="1"/>
  <c r="E41" i="9"/>
  <c r="D48" i="9" a="1"/>
  <c r="D48" i="9" s="1"/>
  <c r="D55" i="9" a="1"/>
  <c r="D55" i="9" s="1"/>
  <c r="D44" i="9" a="1"/>
  <c r="D44" i="9" s="1"/>
  <c r="D88" i="7" a="1"/>
  <c r="D88" i="7" s="1"/>
  <c r="G115" i="5"/>
  <c r="F2" i="5" a="1"/>
  <c r="G48" i="5"/>
  <c r="C51" i="6" a="1"/>
  <c r="C51" i="6" s="1"/>
  <c r="C47" i="9" a="1"/>
  <c r="C47" i="9" s="1"/>
  <c r="C44" i="9" a="1"/>
  <c r="C44" i="9" s="1"/>
  <c r="D89" i="7" a="1"/>
  <c r="D89" i="7" s="1"/>
  <c r="F71" i="6"/>
  <c r="C54" i="9" a="1"/>
  <c r="C54" i="9" s="1"/>
  <c r="S12" i="4"/>
  <c r="R12" i="4"/>
  <c r="C102" i="7" a="1"/>
  <c r="C102" i="7" s="1"/>
  <c r="C95" i="7" a="1"/>
  <c r="C95" i="7" s="1"/>
  <c r="C93" i="7" a="1"/>
  <c r="C93" i="7" s="1"/>
  <c r="C89" i="7" a="1"/>
  <c r="C89" i="7" s="1"/>
  <c r="C94" i="7" a="1"/>
  <c r="C94" i="7" s="1"/>
  <c r="E66" i="9"/>
  <c r="C43" i="9" a="1"/>
  <c r="C43" i="9" s="1"/>
  <c r="D90" i="7" a="1"/>
  <c r="D90" i="7" s="1"/>
  <c r="G66" i="6"/>
  <c r="C57" i="6" a="1"/>
  <c r="C57" i="6" s="1"/>
  <c r="D2" i="5"/>
  <c r="D7" i="5"/>
  <c r="D4" i="5"/>
  <c r="D3" i="5"/>
  <c r="D8" i="5"/>
  <c r="D9" i="5"/>
  <c r="D6" i="5"/>
  <c r="D5" i="5"/>
  <c r="C53" i="6" a="1"/>
  <c r="C53" i="6" s="1"/>
  <c r="E71" i="9"/>
  <c r="G16" i="9"/>
  <c r="C45" i="9" a="1"/>
  <c r="C45" i="9" s="1"/>
  <c r="C49" i="6" a="1"/>
  <c r="C49" i="6" s="1"/>
  <c r="C48" i="6" a="1"/>
  <c r="C48" i="6" s="1"/>
  <c r="C46" i="6" a="1"/>
  <c r="C46" i="6" s="1"/>
  <c r="C46" i="9" a="1"/>
  <c r="C46" i="9" s="1"/>
  <c r="D103" i="7" a="1"/>
  <c r="D103" i="7" s="1"/>
  <c r="C91" i="7" a="1"/>
  <c r="C91" i="7" s="1"/>
  <c r="H85" i="5"/>
  <c r="C43" i="6" a="1"/>
  <c r="C43" i="6" s="1"/>
  <c r="H106" i="5"/>
  <c r="I62" i="9"/>
  <c r="D98" i="7" a="1"/>
  <c r="D98" i="7" s="1"/>
  <c r="C47" i="6" a="1"/>
  <c r="C47" i="6" s="1"/>
  <c r="E94" i="7" a="1"/>
  <c r="E94" i="7" s="1"/>
  <c r="F85" i="7"/>
  <c r="E102" i="7" a="1"/>
  <c r="E102" i="7" s="1"/>
  <c r="E101" i="7" a="1"/>
  <c r="E101" i="7" s="1"/>
  <c r="E97" i="7" a="1"/>
  <c r="E97" i="7" s="1"/>
  <c r="E93" i="7" a="1"/>
  <c r="E93" i="7" s="1"/>
  <c r="E103" i="7" a="1"/>
  <c r="E103" i="7" s="1"/>
  <c r="E98" i="7" a="1"/>
  <c r="E98" i="7" s="1"/>
  <c r="BB79" i="9" a="1"/>
  <c r="BB79" i="9" s="1"/>
  <c r="BA79" i="9" a="1"/>
  <c r="BA79" i="9" s="1"/>
  <c r="BA78" i="9" a="1"/>
  <c r="BA78" i="9" s="1"/>
  <c r="BB78" i="9" a="1"/>
  <c r="BB78" i="9" s="1"/>
  <c r="BB38" i="9" a="1"/>
  <c r="BB38" i="9" s="1"/>
  <c r="BA37" i="9" a="1"/>
  <c r="BA37" i="9" s="1"/>
  <c r="BB35" i="9" a="1"/>
  <c r="BB35" i="9" s="1"/>
  <c r="BA38" i="9" a="1"/>
  <c r="BA38" i="9" s="1"/>
  <c r="BA35" i="9" a="1"/>
  <c r="BA35" i="9" s="1"/>
  <c r="BB33" i="9" a="1"/>
  <c r="BB33" i="9" s="1"/>
  <c r="BB21" i="9" a="1"/>
  <c r="BB21" i="9" s="1"/>
  <c r="BA33" i="9" a="1"/>
  <c r="BA33" i="9" s="1"/>
  <c r="BB15" i="9" a="1"/>
  <c r="BB15" i="9" s="1"/>
  <c r="BB31" i="9" a="1"/>
  <c r="BB31" i="9" s="1"/>
  <c r="BA19" i="9" a="1"/>
  <c r="BA19" i="9" s="1"/>
  <c r="BB12" i="9" a="1"/>
  <c r="BB12" i="9" s="1"/>
  <c r="BA14" i="9" a="1"/>
  <c r="BA14" i="9" s="1"/>
  <c r="BB16" i="9" a="1"/>
  <c r="BB16" i="9" s="1"/>
  <c r="BB20" i="9" a="1"/>
  <c r="BB20" i="9" s="1"/>
  <c r="BB32" i="9" a="1"/>
  <c r="BB32" i="9" s="1"/>
  <c r="BA16" i="9" a="1"/>
  <c r="BA16" i="9" s="1"/>
  <c r="BA20" i="9" a="1"/>
  <c r="BA20" i="9" s="1"/>
  <c r="BB17" i="9" a="1"/>
  <c r="BB17" i="9" s="1"/>
  <c r="BB36" i="9" a="1"/>
  <c r="BB36" i="9" s="1"/>
  <c r="BB14" i="9" a="1"/>
  <c r="BB14" i="9" s="1"/>
  <c r="BB19" i="9" a="1"/>
  <c r="BB19" i="9" s="1"/>
  <c r="BA36" i="9" a="1"/>
  <c r="BA36" i="9" s="1"/>
  <c r="BB34" i="9" a="1"/>
  <c r="BB34" i="9" s="1"/>
  <c r="BA34" i="9" a="1"/>
  <c r="BA34" i="9" s="1"/>
  <c r="BA18" i="9" a="1"/>
  <c r="BA18" i="9" s="1"/>
  <c r="BA12" i="9" a="1"/>
  <c r="BA12" i="9" s="1"/>
  <c r="BA32" i="9" a="1"/>
  <c r="BA32" i="9" s="1"/>
  <c r="BA17" i="9" a="1"/>
  <c r="BA17" i="9" s="1"/>
  <c r="BB13" i="9" a="1"/>
  <c r="BB13" i="9" s="1"/>
  <c r="BB37" i="9" a="1"/>
  <c r="BB37" i="9" s="1"/>
  <c r="BB18" i="9" a="1"/>
  <c r="BB18" i="9" s="1"/>
  <c r="BB22" i="9" a="1"/>
  <c r="BB22" i="9" s="1"/>
  <c r="BB11" i="9" a="1"/>
  <c r="BB11" i="9" s="1"/>
  <c r="BA21" i="9" a="1"/>
  <c r="BA21" i="9" s="1"/>
  <c r="BB38" i="7" a="1"/>
  <c r="BB38" i="7" s="1"/>
  <c r="BB36" i="7" a="1"/>
  <c r="BB36" i="7" s="1"/>
  <c r="BA38" i="7" a="1"/>
  <c r="BA38" i="7" s="1"/>
  <c r="BA36" i="7" a="1"/>
  <c r="BA36" i="7" s="1"/>
  <c r="BA22" i="9" a="1"/>
  <c r="BA22" i="9" s="1"/>
  <c r="BA15" i="9" a="1"/>
  <c r="BA15" i="9" s="1"/>
  <c r="BA13" i="9" a="1"/>
  <c r="BA13" i="9" s="1"/>
  <c r="BB33" i="7" a="1"/>
  <c r="BB33" i="7" s="1"/>
  <c r="BA33" i="7" a="1"/>
  <c r="BA33" i="7" s="1"/>
  <c r="BA31" i="9" a="1"/>
  <c r="BA31" i="9" s="1"/>
  <c r="BA11" i="9" a="1"/>
  <c r="BA11" i="9" s="1"/>
  <c r="BA35" i="7" a="1"/>
  <c r="BA35" i="7" s="1"/>
  <c r="BA32" i="7" a="1"/>
  <c r="BA32" i="7" s="1"/>
  <c r="BB22" i="7" a="1"/>
  <c r="BB22" i="7" s="1"/>
  <c r="BB21" i="7" a="1"/>
  <c r="BB21" i="7" s="1"/>
  <c r="BA11" i="7" a="1"/>
  <c r="BA11" i="7" s="1"/>
  <c r="BB37" i="7" a="1"/>
  <c r="BB37" i="7" s="1"/>
  <c r="BA22" i="7" a="1"/>
  <c r="BA22" i="7" s="1"/>
  <c r="BB31" i="7" a="1"/>
  <c r="BB31" i="7" s="1"/>
  <c r="BA21" i="7" a="1"/>
  <c r="BA21" i="7" s="1"/>
  <c r="BB20" i="7" a="1"/>
  <c r="BB20" i="7" s="1"/>
  <c r="BA37" i="7" a="1"/>
  <c r="BA37" i="7" s="1"/>
  <c r="BA20" i="7" a="1"/>
  <c r="BA20" i="7" s="1"/>
  <c r="BB16" i="7" a="1"/>
  <c r="BB16" i="7" s="1"/>
  <c r="BB13" i="7" a="1"/>
  <c r="BB13" i="7" s="1"/>
  <c r="BA31" i="7" a="1"/>
  <c r="BA31" i="7" s="1"/>
  <c r="BA16" i="7" a="1"/>
  <c r="BA16" i="7" s="1"/>
  <c r="BB19" i="7" a="1"/>
  <c r="BB19" i="7" s="1"/>
  <c r="BA13" i="7" a="1"/>
  <c r="BA13" i="7" s="1"/>
  <c r="BB17" i="7" a="1"/>
  <c r="BB17" i="7" s="1"/>
  <c r="BB14" i="7" a="1"/>
  <c r="BB14" i="7" s="1"/>
  <c r="BA19" i="7" a="1"/>
  <c r="BA19" i="7" s="1"/>
  <c r="BA14" i="7" a="1"/>
  <c r="BA14" i="7" s="1"/>
  <c r="BB78" i="6" a="1"/>
  <c r="BB78" i="6" s="1"/>
  <c r="BA17" i="7" a="1"/>
  <c r="BA17" i="7" s="1"/>
  <c r="BB12" i="7" a="1"/>
  <c r="BB12" i="7" s="1"/>
  <c r="BB79" i="6" a="1"/>
  <c r="BB79" i="6" s="1"/>
  <c r="BB15" i="7" a="1"/>
  <c r="BB15" i="7" s="1"/>
  <c r="BA12" i="7" a="1"/>
  <c r="BA12" i="7" s="1"/>
  <c r="BA78" i="6" a="1"/>
  <c r="BA78" i="6" s="1"/>
  <c r="BB35" i="7" a="1"/>
  <c r="BB35" i="7" s="1"/>
  <c r="BB34" i="7" a="1"/>
  <c r="BB34" i="7" s="1"/>
  <c r="BA79" i="6" a="1"/>
  <c r="BA79" i="6" s="1"/>
  <c r="BA38" i="6" a="1"/>
  <c r="BA38" i="6" s="1"/>
  <c r="BA37" i="6" a="1"/>
  <c r="BA37" i="6" s="1"/>
  <c r="BB22" i="6" a="1"/>
  <c r="BB22" i="6" s="1"/>
  <c r="BB35" i="6" a="1"/>
  <c r="BB35" i="6" s="1"/>
  <c r="BA22" i="6" a="1"/>
  <c r="BA22" i="6" s="1"/>
  <c r="BB18" i="7" a="1"/>
  <c r="BB18" i="7" s="1"/>
  <c r="BA18" i="7" a="1"/>
  <c r="BA18" i="7" s="1"/>
  <c r="BA15" i="7" a="1"/>
  <c r="BA15" i="7" s="1"/>
  <c r="BB20" i="6" a="1"/>
  <c r="BB20" i="6" s="1"/>
  <c r="BA19" i="6" a="1"/>
  <c r="BA19" i="6" s="1"/>
  <c r="BA12" i="6" a="1"/>
  <c r="BA12" i="6" s="1"/>
  <c r="BB38" i="6" a="1"/>
  <c r="BB38" i="6" s="1"/>
  <c r="BB36" i="6" a="1"/>
  <c r="BB36" i="6" s="1"/>
  <c r="BB34" i="6" a="1"/>
  <c r="BB34" i="6" s="1"/>
  <c r="BB31" i="6" a="1"/>
  <c r="BB31" i="6" s="1"/>
  <c r="BB21" i="6" a="1"/>
  <c r="BB21" i="6" s="1"/>
  <c r="BB11" i="6" a="1"/>
  <c r="BB11" i="6" s="1"/>
  <c r="BA36" i="6" a="1"/>
  <c r="BA36" i="6" s="1"/>
  <c r="BA32" i="6" a="1"/>
  <c r="BA32" i="6" s="1"/>
  <c r="BA31" i="6" a="1"/>
  <c r="BA31" i="6" s="1"/>
  <c r="BA21" i="6" a="1"/>
  <c r="BA21" i="6" s="1"/>
  <c r="BA11" i="6" a="1"/>
  <c r="BA11" i="6" s="1"/>
  <c r="BA34" i="6" a="1"/>
  <c r="BA34" i="6" s="1"/>
  <c r="BB18" i="6" a="1"/>
  <c r="BB18" i="6" s="1"/>
  <c r="BA16" i="6" a="1"/>
  <c r="BA16" i="6" s="1"/>
  <c r="BA13" i="6" a="1"/>
  <c r="BA13" i="6" s="1"/>
  <c r="BB11" i="7" a="1"/>
  <c r="BB11" i="7" s="1"/>
  <c r="BB32" i="6" a="1"/>
  <c r="BB32" i="6" s="1"/>
  <c r="BA14" i="6" a="1"/>
  <c r="BA14" i="6" s="1"/>
  <c r="BB32" i="7" a="1"/>
  <c r="BB32" i="7" s="1"/>
  <c r="BA18" i="6" a="1"/>
  <c r="BA18" i="6" s="1"/>
  <c r="BB17" i="6" a="1"/>
  <c r="BB17" i="6" s="1"/>
  <c r="BA17" i="6" a="1"/>
  <c r="BA17" i="6" s="1"/>
  <c r="BA20" i="6" a="1"/>
  <c r="BA20" i="6" s="1"/>
  <c r="BB33" i="6" a="1"/>
  <c r="BB33" i="6" s="1"/>
  <c r="BB14" i="6" a="1"/>
  <c r="BB14" i="6" s="1"/>
  <c r="BA33" i="6" a="1"/>
  <c r="BA33" i="6" s="1"/>
  <c r="BA35" i="6" a="1"/>
  <c r="BA35" i="6" s="1"/>
  <c r="BB37" i="6" a="1"/>
  <c r="BB37" i="6" s="1"/>
  <c r="BB16" i="6" a="1"/>
  <c r="BB16" i="6" s="1"/>
  <c r="BA15" i="6" a="1"/>
  <c r="BA15" i="6" s="1"/>
  <c r="BA34" i="7" a="1"/>
  <c r="BA34" i="7" s="1"/>
  <c r="BB12" i="6" a="1"/>
  <c r="BB12" i="6" s="1"/>
  <c r="BB15" i="6" a="1"/>
  <c r="BB15" i="6" s="1"/>
  <c r="BB19" i="6" a="1"/>
  <c r="BB19" i="6" s="1"/>
  <c r="BB13" i="6" a="1"/>
  <c r="BB13" i="6" s="1"/>
  <c r="F67" i="7"/>
  <c r="C50" i="9" a="1"/>
  <c r="C50" i="9" s="1"/>
  <c r="E115" i="7"/>
  <c r="D93" i="7" a="1"/>
  <c r="D93" i="7" s="1"/>
  <c r="C99" i="7" a="1"/>
  <c r="C99" i="7" s="1"/>
  <c r="F23" i="6"/>
  <c r="C58" i="6" a="1"/>
  <c r="C58" i="6" s="1"/>
  <c r="J106" i="7"/>
  <c r="F110" i="5"/>
  <c r="D91" i="7" a="1"/>
  <c r="D91" i="7" s="1"/>
  <c r="AX79" i="9" a="1"/>
  <c r="AX79" i="9" s="1"/>
  <c r="AX78" i="9" a="1"/>
  <c r="AX78" i="9" s="1"/>
  <c r="AW79" i="9" a="1"/>
  <c r="AW79" i="9" s="1"/>
  <c r="AW78" i="9" a="1"/>
  <c r="AW78" i="9" s="1"/>
  <c r="AW38" i="9" a="1"/>
  <c r="AW38" i="9" s="1"/>
  <c r="AX37" i="9" a="1"/>
  <c r="AX37" i="9" s="1"/>
  <c r="AW37" i="9" a="1"/>
  <c r="AW37" i="9" s="1"/>
  <c r="AX31" i="9" a="1"/>
  <c r="AX31" i="9" s="1"/>
  <c r="AW19" i="9" a="1"/>
  <c r="AW19" i="9" s="1"/>
  <c r="AW31" i="9" a="1"/>
  <c r="AW31" i="9" s="1"/>
  <c r="AX36" i="9" a="1"/>
  <c r="AX36" i="9" s="1"/>
  <c r="AX22" i="9" a="1"/>
  <c r="AX22" i="9" s="1"/>
  <c r="AX20" i="9" a="1"/>
  <c r="AX20" i="9" s="1"/>
  <c r="AW36" i="9" a="1"/>
  <c r="AW36" i="9" s="1"/>
  <c r="AX34" i="9" a="1"/>
  <c r="AX34" i="9" s="1"/>
  <c r="AW35" i="9" a="1"/>
  <c r="AW35" i="9" s="1"/>
  <c r="AW17" i="9" a="1"/>
  <c r="AW17" i="9" s="1"/>
  <c r="AW13" i="9" a="1"/>
  <c r="AW13" i="9" s="1"/>
  <c r="AW34" i="9" a="1"/>
  <c r="AW34" i="9" s="1"/>
  <c r="AX19" i="9" a="1"/>
  <c r="AX19" i="9" s="1"/>
  <c r="AX15" i="9" a="1"/>
  <c r="AX15" i="9" s="1"/>
  <c r="AX35" i="9" a="1"/>
  <c r="AX35" i="9" s="1"/>
  <c r="AW15" i="9" a="1"/>
  <c r="AW15" i="9" s="1"/>
  <c r="AX18" i="9" a="1"/>
  <c r="AX18" i="9" s="1"/>
  <c r="AX13" i="9" a="1"/>
  <c r="AX13" i="9" s="1"/>
  <c r="AW11" i="9" a="1"/>
  <c r="AW11" i="9" s="1"/>
  <c r="AX14" i="9" a="1"/>
  <c r="AX14" i="9" s="1"/>
  <c r="AW12" i="9" a="1"/>
  <c r="AW12" i="9" s="1"/>
  <c r="AW18" i="9" a="1"/>
  <c r="AW18" i="9" s="1"/>
  <c r="AX21" i="9" a="1"/>
  <c r="AX21" i="9" s="1"/>
  <c r="AW14" i="9" a="1"/>
  <c r="AW14" i="9" s="1"/>
  <c r="AX38" i="9" a="1"/>
  <c r="AX38" i="9" s="1"/>
  <c r="AW21" i="9" a="1"/>
  <c r="AW21" i="9" s="1"/>
  <c r="AW20" i="9" a="1"/>
  <c r="AW20" i="9" s="1"/>
  <c r="AW16" i="9" a="1"/>
  <c r="AW16" i="9" s="1"/>
  <c r="AX33" i="9" a="1"/>
  <c r="AX33" i="9" s="1"/>
  <c r="AW33" i="9" a="1"/>
  <c r="AW33" i="9" s="1"/>
  <c r="AX12" i="9" a="1"/>
  <c r="AX12" i="9" s="1"/>
  <c r="AX17" i="9" a="1"/>
  <c r="AX17" i="9" s="1"/>
  <c r="AX37" i="7" a="1"/>
  <c r="AX37" i="7" s="1"/>
  <c r="AX35" i="7" a="1"/>
  <c r="AX35" i="7" s="1"/>
  <c r="AW37" i="7" a="1"/>
  <c r="AW37" i="7" s="1"/>
  <c r="AW31" i="7" a="1"/>
  <c r="AW31" i="7" s="1"/>
  <c r="AX32" i="9" a="1"/>
  <c r="AX32" i="9" s="1"/>
  <c r="AW32" i="9" a="1"/>
  <c r="AW32" i="9" s="1"/>
  <c r="AW38" i="7" a="1"/>
  <c r="AW38" i="7" s="1"/>
  <c r="AW36" i="7" a="1"/>
  <c r="AW36" i="7" s="1"/>
  <c r="AW35" i="7" a="1"/>
  <c r="AW35" i="7" s="1"/>
  <c r="AX34" i="7" a="1"/>
  <c r="AX34" i="7" s="1"/>
  <c r="AX31" i="7" a="1"/>
  <c r="AX31" i="7" s="1"/>
  <c r="AW22" i="7" a="1"/>
  <c r="AW22" i="7" s="1"/>
  <c r="AX16" i="9" a="1"/>
  <c r="AX16" i="9" s="1"/>
  <c r="AX38" i="7" a="1"/>
  <c r="AX38" i="7" s="1"/>
  <c r="AX15" i="7" a="1"/>
  <c r="AX15" i="7" s="1"/>
  <c r="AX12" i="7" a="1"/>
  <c r="AX12" i="7" s="1"/>
  <c r="AW18" i="7" a="1"/>
  <c r="AW18" i="7" s="1"/>
  <c r="AW15" i="7" a="1"/>
  <c r="AW15" i="7" s="1"/>
  <c r="AX32" i="7" a="1"/>
  <c r="AX32" i="7" s="1"/>
  <c r="AX11" i="9" a="1"/>
  <c r="AX11" i="9" s="1"/>
  <c r="AW32" i="7" a="1"/>
  <c r="AW32" i="7" s="1"/>
  <c r="AX17" i="7" a="1"/>
  <c r="AX17" i="7" s="1"/>
  <c r="AX14" i="7" a="1"/>
  <c r="AX14" i="7" s="1"/>
  <c r="AW20" i="7" a="1"/>
  <c r="AW20" i="7" s="1"/>
  <c r="AX13" i="7" a="1"/>
  <c r="AX13" i="7" s="1"/>
  <c r="AW16" i="7" a="1"/>
  <c r="AW16" i="7" s="1"/>
  <c r="AW22" i="9" a="1"/>
  <c r="AW22" i="9" s="1"/>
  <c r="AX11" i="7" a="1"/>
  <c r="AX11" i="7" s="1"/>
  <c r="AW17" i="7" a="1"/>
  <c r="AW17" i="7" s="1"/>
  <c r="AW11" i="7" a="1"/>
  <c r="AW11" i="7" s="1"/>
  <c r="AW38" i="6" a="1"/>
  <c r="AW38" i="6" s="1"/>
  <c r="AX21" i="7" a="1"/>
  <c r="AX21" i="7" s="1"/>
  <c r="AW14" i="7" a="1"/>
  <c r="AW14" i="7" s="1"/>
  <c r="AX18" i="7" a="1"/>
  <c r="AX18" i="7" s="1"/>
  <c r="AX22" i="7" a="1"/>
  <c r="AX22" i="7" s="1"/>
  <c r="AX16" i="7" a="1"/>
  <c r="AX16" i="7" s="1"/>
  <c r="AX36" i="6" a="1"/>
  <c r="AX36" i="6" s="1"/>
  <c r="AX36" i="7" a="1"/>
  <c r="AX36" i="7" s="1"/>
  <c r="AW36" i="6" a="1"/>
  <c r="AW36" i="6" s="1"/>
  <c r="AW21" i="7" a="1"/>
  <c r="AW21" i="7" s="1"/>
  <c r="AX78" i="6" a="1"/>
  <c r="AX78" i="6" s="1"/>
  <c r="AW21" i="6" a="1"/>
  <c r="AW21" i="6" s="1"/>
  <c r="AW78" i="6" a="1"/>
  <c r="AW78" i="6" s="1"/>
  <c r="AX19" i="7" a="1"/>
  <c r="AX19" i="7" s="1"/>
  <c r="AX38" i="6" a="1"/>
  <c r="AX38" i="6" s="1"/>
  <c r="AW34" i="6" a="1"/>
  <c r="AW34" i="6" s="1"/>
  <c r="AX33" i="6" a="1"/>
  <c r="AX33" i="6" s="1"/>
  <c r="AW19" i="7" a="1"/>
  <c r="AW19" i="7" s="1"/>
  <c r="AW35" i="6" a="1"/>
  <c r="AW35" i="6" s="1"/>
  <c r="AW33" i="6" a="1"/>
  <c r="AW33" i="6" s="1"/>
  <c r="AW32" i="6" a="1"/>
  <c r="AW32" i="6" s="1"/>
  <c r="AX31" i="6" a="1"/>
  <c r="AX31" i="6" s="1"/>
  <c r="AX21" i="6" a="1"/>
  <c r="AX21" i="6" s="1"/>
  <c r="AX11" i="6" a="1"/>
  <c r="AX11" i="6" s="1"/>
  <c r="AW31" i="6" a="1"/>
  <c r="AW31" i="6" s="1"/>
  <c r="AW11" i="6" a="1"/>
  <c r="AW11" i="6" s="1"/>
  <c r="AX18" i="6" a="1"/>
  <c r="AX18" i="6" s="1"/>
  <c r="AW17" i="6" a="1"/>
  <c r="AW17" i="6" s="1"/>
  <c r="AX16" i="6" a="1"/>
  <c r="AX16" i="6" s="1"/>
  <c r="AW13" i="7" a="1"/>
  <c r="AW13" i="7" s="1"/>
  <c r="AW37" i="6" a="1"/>
  <c r="AW37" i="6" s="1"/>
  <c r="AW12" i="6" a="1"/>
  <c r="AW12" i="6" s="1"/>
  <c r="AX22" i="6" a="1"/>
  <c r="AX22" i="6" s="1"/>
  <c r="AX19" i="6" a="1"/>
  <c r="AX19" i="6" s="1"/>
  <c r="AW12" i="7" a="1"/>
  <c r="AW12" i="7" s="1"/>
  <c r="AX79" i="6" a="1"/>
  <c r="AX79" i="6" s="1"/>
  <c r="AW79" i="6" a="1"/>
  <c r="AW79" i="6" s="1"/>
  <c r="AX34" i="6" a="1"/>
  <c r="AX34" i="6" s="1"/>
  <c r="AW19" i="6" a="1"/>
  <c r="AW19" i="6" s="1"/>
  <c r="AX15" i="6" a="1"/>
  <c r="AX15" i="6" s="1"/>
  <c r="AX14" i="6" a="1"/>
  <c r="AX14" i="6" s="1"/>
  <c r="AX33" i="7" a="1"/>
  <c r="AX33" i="7" s="1"/>
  <c r="AW22" i="6" a="1"/>
  <c r="AW22" i="6" s="1"/>
  <c r="AW16" i="6" a="1"/>
  <c r="AW16" i="6" s="1"/>
  <c r="AX13" i="6" a="1"/>
  <c r="AX13" i="6" s="1"/>
  <c r="AW33" i="7" a="1"/>
  <c r="AW33" i="7" s="1"/>
  <c r="AX32" i="6" a="1"/>
  <c r="AX32" i="6" s="1"/>
  <c r="AW15" i="6" a="1"/>
  <c r="AW15" i="6" s="1"/>
  <c r="AW14" i="6" a="1"/>
  <c r="AW14" i="6" s="1"/>
  <c r="AX20" i="7" a="1"/>
  <c r="AX20" i="7" s="1"/>
  <c r="AX35" i="6" a="1"/>
  <c r="AX35" i="6" s="1"/>
  <c r="AW34" i="7" a="1"/>
  <c r="AW34" i="7" s="1"/>
  <c r="AX37" i="6" a="1"/>
  <c r="AX37" i="6" s="1"/>
  <c r="AW18" i="6" a="1"/>
  <c r="AW18" i="6" s="1"/>
  <c r="AX20" i="6" a="1"/>
  <c r="AX20" i="6" s="1"/>
  <c r="AW20" i="6" a="1"/>
  <c r="AW20" i="6" s="1"/>
  <c r="AX17" i="6" a="1"/>
  <c r="AX17" i="6" s="1"/>
  <c r="AW13" i="6" a="1"/>
  <c r="AW13" i="6" s="1"/>
  <c r="AX12" i="6" a="1"/>
  <c r="AX12" i="6" s="1"/>
  <c r="E23" i="9"/>
  <c r="C51" i="9" a="1"/>
  <c r="C51" i="9" s="1"/>
  <c r="D97" i="7" a="1"/>
  <c r="D97" i="7" s="1"/>
  <c r="C90" i="7" a="1"/>
  <c r="C90" i="7" s="1"/>
  <c r="E67" i="5"/>
  <c r="BZ12" i="4"/>
  <c r="BR12" i="4" s="1"/>
  <c r="C59" i="6" a="1"/>
  <c r="C59" i="6" s="1"/>
  <c r="BF79" i="9" a="1"/>
  <c r="BF79" i="9" s="1"/>
  <c r="BF78" i="9" a="1"/>
  <c r="BF78" i="9" s="1"/>
  <c r="BE79" i="9" a="1"/>
  <c r="BE79" i="9" s="1"/>
  <c r="BE78" i="9" a="1"/>
  <c r="BE78" i="9" s="1"/>
  <c r="BF38" i="9" a="1"/>
  <c r="BF38" i="9" s="1"/>
  <c r="BF37" i="9" a="1"/>
  <c r="BF37" i="9" s="1"/>
  <c r="BE38" i="9" a="1"/>
  <c r="BE38" i="9" s="1"/>
  <c r="BE32" i="9" a="1"/>
  <c r="BE32" i="9" s="1"/>
  <c r="BE19" i="9" a="1"/>
  <c r="BE19" i="9" s="1"/>
  <c r="BF31" i="9" a="1"/>
  <c r="BF31" i="9" s="1"/>
  <c r="BF22" i="9" a="1"/>
  <c r="BF22" i="9" s="1"/>
  <c r="BF20" i="9" a="1"/>
  <c r="BF20" i="9" s="1"/>
  <c r="BE31" i="9" a="1"/>
  <c r="BE31" i="9" s="1"/>
  <c r="BF14" i="9" a="1"/>
  <c r="BF14" i="9" s="1"/>
  <c r="BE17" i="9" a="1"/>
  <c r="BE17" i="9" s="1"/>
  <c r="BF18" i="9" a="1"/>
  <c r="BF18" i="9" s="1"/>
  <c r="BE13" i="9" a="1"/>
  <c r="BE13" i="9" s="1"/>
  <c r="BE37" i="9" a="1"/>
  <c r="BE37" i="9" s="1"/>
  <c r="BF32" i="9" a="1"/>
  <c r="BF32" i="9" s="1"/>
  <c r="BF21" i="9" a="1"/>
  <c r="BF21" i="9" s="1"/>
  <c r="BE18" i="9" a="1"/>
  <c r="BE18" i="9" s="1"/>
  <c r="BF36" i="9" a="1"/>
  <c r="BF36" i="9" s="1"/>
  <c r="BE36" i="9" a="1"/>
  <c r="BE36" i="9" s="1"/>
  <c r="BE22" i="9" a="1"/>
  <c r="BE22" i="9" s="1"/>
  <c r="BE21" i="9" a="1"/>
  <c r="BE21" i="9" s="1"/>
  <c r="BE34" i="9" a="1"/>
  <c r="BE34" i="9" s="1"/>
  <c r="BE15" i="9" a="1"/>
  <c r="BE15" i="9" s="1"/>
  <c r="BE20" i="9" a="1"/>
  <c r="BE20" i="9" s="1"/>
  <c r="BF12" i="9" a="1"/>
  <c r="BF12" i="9" s="1"/>
  <c r="BF11" i="9" a="1"/>
  <c r="BF11" i="9" s="1"/>
  <c r="BE11" i="9" a="1"/>
  <c r="BE11" i="9" s="1"/>
  <c r="BF33" i="9" a="1"/>
  <c r="BF33" i="9" s="1"/>
  <c r="BE33" i="9" a="1"/>
  <c r="BE33" i="9" s="1"/>
  <c r="BF17" i="9" a="1"/>
  <c r="BF17" i="9" s="1"/>
  <c r="BF13" i="9" a="1"/>
  <c r="BF13" i="9" s="1"/>
  <c r="BF16" i="9" a="1"/>
  <c r="BF16" i="9" s="1"/>
  <c r="BE16" i="9" a="1"/>
  <c r="BE16" i="9" s="1"/>
  <c r="BF37" i="7" a="1"/>
  <c r="BF37" i="7" s="1"/>
  <c r="BF35" i="7" a="1"/>
  <c r="BF35" i="7" s="1"/>
  <c r="BE12" i="9" a="1"/>
  <c r="BE12" i="9" s="1"/>
  <c r="BE37" i="7" a="1"/>
  <c r="BE37" i="7" s="1"/>
  <c r="BE35" i="7" a="1"/>
  <c r="BE35" i="7" s="1"/>
  <c r="BF15" i="9" a="1"/>
  <c r="BF15" i="9" s="1"/>
  <c r="BE31" i="7" a="1"/>
  <c r="BE31" i="7" s="1"/>
  <c r="BE14" i="9" a="1"/>
  <c r="BE14" i="9" s="1"/>
  <c r="BE35" i="9" a="1"/>
  <c r="BE35" i="9" s="1"/>
  <c r="BF32" i="7" a="1"/>
  <c r="BF32" i="7" s="1"/>
  <c r="BF19" i="9" a="1"/>
  <c r="BF19" i="9" s="1"/>
  <c r="BE32" i="7" a="1"/>
  <c r="BE32" i="7" s="1"/>
  <c r="BF35" i="9" a="1"/>
  <c r="BF35" i="9" s="1"/>
  <c r="BF34" i="9" a="1"/>
  <c r="BF34" i="9" s="1"/>
  <c r="BF38" i="7" a="1"/>
  <c r="BF38" i="7" s="1"/>
  <c r="BE22" i="7" a="1"/>
  <c r="BE22" i="7" s="1"/>
  <c r="BE36" i="7" a="1"/>
  <c r="BE36" i="7" s="1"/>
  <c r="BF34" i="7" a="1"/>
  <c r="BF34" i="7" s="1"/>
  <c r="BF31" i="7" a="1"/>
  <c r="BF31" i="7" s="1"/>
  <c r="BF33" i="7" a="1"/>
  <c r="BF33" i="7" s="1"/>
  <c r="BF18" i="7" a="1"/>
  <c r="BF18" i="7" s="1"/>
  <c r="BF15" i="7" a="1"/>
  <c r="BF15" i="7" s="1"/>
  <c r="BF12" i="7" a="1"/>
  <c r="BF12" i="7" s="1"/>
  <c r="BE34" i="7" a="1"/>
  <c r="BE34" i="7" s="1"/>
  <c r="BE18" i="7" a="1"/>
  <c r="BE18" i="7" s="1"/>
  <c r="BE12" i="7" a="1"/>
  <c r="BE12" i="7" s="1"/>
  <c r="BF36" i="7" a="1"/>
  <c r="BF36" i="7" s="1"/>
  <c r="BE21" i="7" a="1"/>
  <c r="BE21" i="7" s="1"/>
  <c r="BF20" i="7" a="1"/>
  <c r="BF20" i="7" s="1"/>
  <c r="BF16" i="7" a="1"/>
  <c r="BF16" i="7" s="1"/>
  <c r="BE15" i="7" a="1"/>
  <c r="BE15" i="7" s="1"/>
  <c r="BE38" i="6" a="1"/>
  <c r="BE38" i="6" s="1"/>
  <c r="BE33" i="7" a="1"/>
  <c r="BE33" i="7" s="1"/>
  <c r="BE17" i="7" a="1"/>
  <c r="BE17" i="7" s="1"/>
  <c r="BE14" i="7" a="1"/>
  <c r="BE14" i="7" s="1"/>
  <c r="BF79" i="6" a="1"/>
  <c r="BF79" i="6" s="1"/>
  <c r="BF78" i="6" a="1"/>
  <c r="BF78" i="6" s="1"/>
  <c r="BF13" i="7" a="1"/>
  <c r="BF13" i="7" s="1"/>
  <c r="BF36" i="6" a="1"/>
  <c r="BF36" i="6" s="1"/>
  <c r="BF22" i="7" a="1"/>
  <c r="BF22" i="7" s="1"/>
  <c r="BF21" i="7" a="1"/>
  <c r="BF21" i="7" s="1"/>
  <c r="BE13" i="7" a="1"/>
  <c r="BE13" i="7" s="1"/>
  <c r="BE36" i="6" a="1"/>
  <c r="BE36" i="6" s="1"/>
  <c r="BE21" i="6" a="1"/>
  <c r="BE21" i="6" s="1"/>
  <c r="BE20" i="7" a="1"/>
  <c r="BE20" i="7" s="1"/>
  <c r="BF19" i="7" a="1"/>
  <c r="BF19" i="7" s="1"/>
  <c r="BE79" i="6" a="1"/>
  <c r="BE79" i="6" s="1"/>
  <c r="BE19" i="7" a="1"/>
  <c r="BE19" i="7" s="1"/>
  <c r="BF17" i="7" a="1"/>
  <c r="BF17" i="7" s="1"/>
  <c r="BF11" i="7" a="1"/>
  <c r="BF11" i="7" s="1"/>
  <c r="BE22" i="6" a="1"/>
  <c r="BE22" i="6" s="1"/>
  <c r="BE38" i="7" a="1"/>
  <c r="BE38" i="7" s="1"/>
  <c r="BE16" i="7" a="1"/>
  <c r="BE16" i="7" s="1"/>
  <c r="BF34" i="6" a="1"/>
  <c r="BF34" i="6" s="1"/>
  <c r="BF11" i="6" a="1"/>
  <c r="BF11" i="6" s="1"/>
  <c r="BF32" i="6" a="1"/>
  <c r="BF32" i="6" s="1"/>
  <c r="BE11" i="7" a="1"/>
  <c r="BE11" i="7" s="1"/>
  <c r="BF35" i="6" a="1"/>
  <c r="BF35" i="6" s="1"/>
  <c r="BE34" i="6" a="1"/>
  <c r="BE34" i="6" s="1"/>
  <c r="BF33" i="6" a="1"/>
  <c r="BF33" i="6" s="1"/>
  <c r="BF21" i="6" a="1"/>
  <c r="BF21" i="6" s="1"/>
  <c r="BE11" i="6" a="1"/>
  <c r="BE11" i="6" s="1"/>
  <c r="BE33" i="6" a="1"/>
  <c r="BE33" i="6" s="1"/>
  <c r="BE32" i="6" a="1"/>
  <c r="BE32" i="6" s="1"/>
  <c r="BF31" i="6" a="1"/>
  <c r="BF31" i="6" s="1"/>
  <c r="BF18" i="6" a="1"/>
  <c r="BF18" i="6" s="1"/>
  <c r="BE17" i="6" a="1"/>
  <c r="BE17" i="6" s="1"/>
  <c r="BF16" i="6" a="1"/>
  <c r="BF16" i="6" s="1"/>
  <c r="BE12" i="6" a="1"/>
  <c r="BE12" i="6" s="1"/>
  <c r="BE35" i="6" a="1"/>
  <c r="BE35" i="6" s="1"/>
  <c r="BF12" i="6" a="1"/>
  <c r="BF12" i="6" s="1"/>
  <c r="BE78" i="6" a="1"/>
  <c r="BE78" i="6" s="1"/>
  <c r="BF20" i="6" a="1"/>
  <c r="BF20" i="6" s="1"/>
  <c r="BE31" i="6" a="1"/>
  <c r="BE31" i="6" s="1"/>
  <c r="BE20" i="6" a="1"/>
  <c r="BE20" i="6" s="1"/>
  <c r="BF14" i="7" a="1"/>
  <c r="BF14" i="7" s="1"/>
  <c r="BE15" i="6" a="1"/>
  <c r="BE15" i="6" s="1"/>
  <c r="BE14" i="6" a="1"/>
  <c r="BE14" i="6" s="1"/>
  <c r="BF38" i="6" a="1"/>
  <c r="BF38" i="6" s="1"/>
  <c r="BE13" i="6" a="1"/>
  <c r="BE13" i="6" s="1"/>
  <c r="BF37" i="6" a="1"/>
  <c r="BF37" i="6" s="1"/>
  <c r="BE37" i="6" a="1"/>
  <c r="BE37" i="6" s="1"/>
  <c r="BE19" i="6" a="1"/>
  <c r="BE19" i="6" s="1"/>
  <c r="BF19" i="6" a="1"/>
  <c r="BF19" i="6" s="1"/>
  <c r="BF22" i="6" a="1"/>
  <c r="BF22" i="6" s="1"/>
  <c r="BF15" i="6" a="1"/>
  <c r="BF15" i="6" s="1"/>
  <c r="BF13" i="6" a="1"/>
  <c r="BF13" i="6" s="1"/>
  <c r="BF17" i="6" a="1"/>
  <c r="BF17" i="6" s="1"/>
  <c r="BF14" i="6" a="1"/>
  <c r="BF14" i="6" s="1"/>
  <c r="BE18" i="6" a="1"/>
  <c r="BE18" i="6" s="1"/>
  <c r="BE16" i="6" a="1"/>
  <c r="BE16" i="6" s="1"/>
  <c r="E62" i="6"/>
  <c r="C49" i="9" a="1"/>
  <c r="C49" i="9" s="1"/>
  <c r="C59" i="9" a="1"/>
  <c r="C59" i="9" s="1"/>
  <c r="E60" i="7"/>
  <c r="C103" i="7" a="1"/>
  <c r="C103" i="7" s="1"/>
  <c r="C50" i="6" a="1"/>
  <c r="C50" i="6" s="1"/>
  <c r="N12" i="4"/>
  <c r="M12" i="4"/>
  <c r="C28" i="7"/>
  <c r="C30" i="7"/>
  <c r="C29" i="7"/>
  <c r="C27" i="7"/>
  <c r="C26" i="7"/>
  <c r="C25" i="7"/>
  <c r="C23" i="7"/>
  <c r="C24" i="7"/>
  <c r="E48" i="7"/>
  <c r="E91" i="7" s="1" a="1"/>
  <c r="E91" i="7" s="1"/>
  <c r="D23" i="7" a="1"/>
  <c r="D95" i="7" a="1"/>
  <c r="D95" i="7" s="1"/>
  <c r="D87" i="7" a="1"/>
  <c r="D87" i="7" s="1"/>
  <c r="D2" i="7" a="1"/>
  <c r="D94" i="7" a="1"/>
  <c r="D94" i="7" s="1"/>
  <c r="F4" i="9"/>
  <c r="C54" i="6" a="1"/>
  <c r="C54" i="6" s="1"/>
  <c r="D99" i="7" a="1"/>
  <c r="D99" i="7" s="1"/>
  <c r="C55" i="9" a="1"/>
  <c r="C55" i="9" s="1"/>
  <c r="D101" i="7" a="1"/>
  <c r="D101" i="7" s="1"/>
  <c r="C98" i="7" a="1"/>
  <c r="C98" i="7" s="1"/>
  <c r="D59" i="6" a="1"/>
  <c r="D59" i="6" s="1"/>
  <c r="D49" i="6" a="1"/>
  <c r="D49" i="6" s="1"/>
  <c r="D57" i="6" a="1"/>
  <c r="D57" i="6" s="1"/>
  <c r="D46" i="6" a="1"/>
  <c r="D46" i="6" s="1"/>
  <c r="D58" i="6" a="1"/>
  <c r="D58" i="6" s="1"/>
  <c r="D48" i="6" a="1"/>
  <c r="D48" i="6" s="1"/>
  <c r="D44" i="6" a="1"/>
  <c r="D44" i="6" s="1"/>
  <c r="D54" i="6" a="1"/>
  <c r="D54" i="6" s="1"/>
  <c r="D47" i="6" a="1"/>
  <c r="D47" i="6" s="1"/>
  <c r="D43" i="6" a="1"/>
  <c r="D43" i="6" s="1"/>
  <c r="D50" i="6" a="1"/>
  <c r="D50" i="6" s="1"/>
  <c r="D53" i="6" a="1"/>
  <c r="D53" i="6" s="1"/>
  <c r="D45" i="6" a="1"/>
  <c r="D45" i="6" s="1"/>
  <c r="D51" i="6" a="1"/>
  <c r="D51" i="6" s="1"/>
  <c r="E41" i="6"/>
  <c r="D55" i="6" a="1"/>
  <c r="D55" i="6" s="1"/>
  <c r="BD79" i="9" a="1"/>
  <c r="BD79" i="9" s="1"/>
  <c r="BD78" i="9" a="1"/>
  <c r="BD78" i="9" s="1"/>
  <c r="BD38" i="9" a="1"/>
  <c r="BD38" i="9" s="1"/>
  <c r="BC38" i="9" a="1"/>
  <c r="BC38" i="9" s="1"/>
  <c r="BC33" i="9" a="1"/>
  <c r="BC33" i="9" s="1"/>
  <c r="BD15" i="9" a="1"/>
  <c r="BD15" i="9" s="1"/>
  <c r="BC21" i="9" a="1"/>
  <c r="BC21" i="9" s="1"/>
  <c r="BC79" i="9" a="1"/>
  <c r="BC79" i="9" s="1"/>
  <c r="BD32" i="9" a="1"/>
  <c r="BD32" i="9" s="1"/>
  <c r="BC15" i="9" a="1"/>
  <c r="BC15" i="9" s="1"/>
  <c r="BD19" i="9" a="1"/>
  <c r="BD19" i="9" s="1"/>
  <c r="BC78" i="9" a="1"/>
  <c r="BC78" i="9" s="1"/>
  <c r="BC32" i="9" a="1"/>
  <c r="BC32" i="9" s="1"/>
  <c r="BC36" i="9" a="1"/>
  <c r="BC36" i="9" s="1"/>
  <c r="BC22" i="9" a="1"/>
  <c r="BC22" i="9" s="1"/>
  <c r="BC20" i="9" a="1"/>
  <c r="BC20" i="9" s="1"/>
  <c r="BC16" i="9" a="1"/>
  <c r="BC16" i="9" s="1"/>
  <c r="BD20" i="9" a="1"/>
  <c r="BD20" i="9" s="1"/>
  <c r="BD33" i="9" a="1"/>
  <c r="BD33" i="9" s="1"/>
  <c r="BD17" i="9" a="1"/>
  <c r="BD17" i="9" s="1"/>
  <c r="BD37" i="9" a="1"/>
  <c r="BD37" i="9" s="1"/>
  <c r="BD13" i="9" a="1"/>
  <c r="BD13" i="9" s="1"/>
  <c r="BC17" i="9" a="1"/>
  <c r="BC17" i="9" s="1"/>
  <c r="BC37" i="9" a="1"/>
  <c r="BC37" i="9" s="1"/>
  <c r="BD18" i="9" a="1"/>
  <c r="BD18" i="9" s="1"/>
  <c r="BC13" i="9" a="1"/>
  <c r="BC13" i="9" s="1"/>
  <c r="BD36" i="9" a="1"/>
  <c r="BD36" i="9" s="1"/>
  <c r="BC18" i="9" a="1"/>
  <c r="BC18" i="9" s="1"/>
  <c r="BD34" i="9" a="1"/>
  <c r="BD34" i="9" s="1"/>
  <c r="BC34" i="9" a="1"/>
  <c r="BC34" i="9" s="1"/>
  <c r="BC19" i="9" a="1"/>
  <c r="BC19" i="9" s="1"/>
  <c r="BD14" i="9" a="1"/>
  <c r="BD14" i="9" s="1"/>
  <c r="BC14" i="9" a="1"/>
  <c r="BC14" i="9" s="1"/>
  <c r="BD31" i="9" a="1"/>
  <c r="BD31" i="9" s="1"/>
  <c r="BD11" i="9" a="1"/>
  <c r="BD11" i="9" s="1"/>
  <c r="BC31" i="9" a="1"/>
  <c r="BC31" i="9" s="1"/>
  <c r="BC11" i="9" a="1"/>
  <c r="BC11" i="9" s="1"/>
  <c r="BD12" i="9" a="1"/>
  <c r="BD12" i="9" s="1"/>
  <c r="BD22" i="9" a="1"/>
  <c r="BD22" i="9" s="1"/>
  <c r="BC12" i="9" a="1"/>
  <c r="BC12" i="9" s="1"/>
  <c r="BD21" i="9" a="1"/>
  <c r="BD21" i="9" s="1"/>
  <c r="BD16" i="9" a="1"/>
  <c r="BD16" i="9" s="1"/>
  <c r="BD37" i="7" a="1"/>
  <c r="BD37" i="7" s="1"/>
  <c r="BD35" i="7" a="1"/>
  <c r="BD35" i="7" s="1"/>
  <c r="BC33" i="7" a="1"/>
  <c r="BC33" i="7" s="1"/>
  <c r="BC21" i="7" a="1"/>
  <c r="BC21" i="7" s="1"/>
  <c r="BD35" i="9" a="1"/>
  <c r="BD35" i="9" s="1"/>
  <c r="BD32" i="7" a="1"/>
  <c r="BD32" i="7" s="1"/>
  <c r="BC34" i="7" a="1"/>
  <c r="BC34" i="7" s="1"/>
  <c r="BD33" i="7" a="1"/>
  <c r="BD33" i="7" s="1"/>
  <c r="BC20" i="7" a="1"/>
  <c r="BC20" i="7" s="1"/>
  <c r="BC31" i="7" a="1"/>
  <c r="BC31" i="7" s="1"/>
  <c r="BD19" i="7" a="1"/>
  <c r="BD19" i="7" s="1"/>
  <c r="BC16" i="7" a="1"/>
  <c r="BC16" i="7" s="1"/>
  <c r="BC13" i="7" a="1"/>
  <c r="BC13" i="7" s="1"/>
  <c r="BC19" i="7" a="1"/>
  <c r="BC19" i="7" s="1"/>
  <c r="BD18" i="7" a="1"/>
  <c r="BD18" i="7" s="1"/>
  <c r="BD15" i="7" a="1"/>
  <c r="BD15" i="7" s="1"/>
  <c r="BD34" i="7" a="1"/>
  <c r="BD34" i="7" s="1"/>
  <c r="BD12" i="7" a="1"/>
  <c r="BD12" i="7" s="1"/>
  <c r="BC17" i="7" a="1"/>
  <c r="BC17" i="7" s="1"/>
  <c r="BD38" i="7" a="1"/>
  <c r="BD38" i="7" s="1"/>
  <c r="BC37" i="7" a="1"/>
  <c r="BC37" i="7" s="1"/>
  <c r="BD21" i="7" a="1"/>
  <c r="BD21" i="7" s="1"/>
  <c r="BC12" i="7" a="1"/>
  <c r="BC12" i="7" s="1"/>
  <c r="BC78" i="6" a="1"/>
  <c r="BC78" i="6" s="1"/>
  <c r="BC38" i="7" a="1"/>
  <c r="BC38" i="7" s="1"/>
  <c r="BC36" i="7" a="1"/>
  <c r="BC36" i="7" s="1"/>
  <c r="BC15" i="7" a="1"/>
  <c r="BC15" i="7" s="1"/>
  <c r="BC79" i="6" a="1"/>
  <c r="BC79" i="6" s="1"/>
  <c r="BC35" i="9" a="1"/>
  <c r="BC35" i="9" s="1"/>
  <c r="BC35" i="7" a="1"/>
  <c r="BC35" i="7" s="1"/>
  <c r="BC18" i="7" a="1"/>
  <c r="BC18" i="7" s="1"/>
  <c r="BD11" i="7" a="1"/>
  <c r="BD11" i="7" s="1"/>
  <c r="BD36" i="7" a="1"/>
  <c r="BD36" i="7" s="1"/>
  <c r="BC14" i="7" a="1"/>
  <c r="BC14" i="7" s="1"/>
  <c r="BD22" i="7" a="1"/>
  <c r="BD22" i="7" s="1"/>
  <c r="BD38" i="6" a="1"/>
  <c r="BD38" i="6" s="1"/>
  <c r="BD31" i="7" a="1"/>
  <c r="BD31" i="7" s="1"/>
  <c r="BD13" i="7" a="1"/>
  <c r="BD13" i="7" s="1"/>
  <c r="BC22" i="7" a="1"/>
  <c r="BC22" i="7" s="1"/>
  <c r="BC38" i="6" a="1"/>
  <c r="BC38" i="6" s="1"/>
  <c r="BD21" i="6" a="1"/>
  <c r="BD21" i="6" s="1"/>
  <c r="BD20" i="7" a="1"/>
  <c r="BD20" i="7" s="1"/>
  <c r="BD37" i="6" a="1"/>
  <c r="BD37" i="6" s="1"/>
  <c r="BD15" i="6" a="1"/>
  <c r="BD15" i="6" s="1"/>
  <c r="BD13" i="6" a="1"/>
  <c r="BD13" i="6" s="1"/>
  <c r="BD22" i="6" a="1"/>
  <c r="BD22" i="6" s="1"/>
  <c r="BD16" i="7" a="1"/>
  <c r="BD16" i="7" s="1"/>
  <c r="BC37" i="6" a="1"/>
  <c r="BC37" i="6" s="1"/>
  <c r="BC15" i="6" a="1"/>
  <c r="BC15" i="6" s="1"/>
  <c r="BC13" i="6" a="1"/>
  <c r="BC13" i="6" s="1"/>
  <c r="BC11" i="7" a="1"/>
  <c r="BC11" i="7" s="1"/>
  <c r="BC22" i="6" a="1"/>
  <c r="BC22" i="6" s="1"/>
  <c r="BC35" i="6" a="1"/>
  <c r="BC35" i="6" s="1"/>
  <c r="BD14" i="6" a="1"/>
  <c r="BD14" i="6" s="1"/>
  <c r="BC14" i="6" a="1"/>
  <c r="BC14" i="6" s="1"/>
  <c r="BD12" i="6" a="1"/>
  <c r="BD12" i="6" s="1"/>
  <c r="BC32" i="7" a="1"/>
  <c r="BC32" i="7" s="1"/>
  <c r="BD79" i="6" a="1"/>
  <c r="BD79" i="6" s="1"/>
  <c r="BC32" i="6" a="1"/>
  <c r="BC32" i="6" s="1"/>
  <c r="BD17" i="6" a="1"/>
  <c r="BD17" i="6" s="1"/>
  <c r="BC17" i="6" a="1"/>
  <c r="BC17" i="6" s="1"/>
  <c r="BD36" i="6" a="1"/>
  <c r="BD36" i="6" s="1"/>
  <c r="BD33" i="6" a="1"/>
  <c r="BD33" i="6" s="1"/>
  <c r="BD78" i="6" a="1"/>
  <c r="BD78" i="6" s="1"/>
  <c r="BC36" i="6" a="1"/>
  <c r="BC36" i="6" s="1"/>
  <c r="BD35" i="6" a="1"/>
  <c r="BD35" i="6" s="1"/>
  <c r="BC33" i="6" a="1"/>
  <c r="BC33" i="6" s="1"/>
  <c r="BC19" i="6" a="1"/>
  <c r="BC19" i="6" s="1"/>
  <c r="BC34" i="6" a="1"/>
  <c r="BC34" i="6" s="1"/>
  <c r="DK12" i="4" a="1"/>
  <c r="DK12" i="4" s="1"/>
  <c r="BD14" i="7" a="1"/>
  <c r="BD14" i="7" s="1"/>
  <c r="BD32" i="6" a="1"/>
  <c r="BD32" i="6" s="1"/>
  <c r="BD20" i="6" a="1"/>
  <c r="BD20" i="6" s="1"/>
  <c r="BD11" i="6" a="1"/>
  <c r="BD11" i="6" s="1"/>
  <c r="BD17" i="7" a="1"/>
  <c r="BD17" i="7" s="1"/>
  <c r="BC20" i="6" a="1"/>
  <c r="BC20" i="6" s="1"/>
  <c r="BC12" i="6" a="1"/>
  <c r="BC12" i="6" s="1"/>
  <c r="BC11" i="6" a="1"/>
  <c r="BC11" i="6" s="1"/>
  <c r="BD18" i="6" a="1"/>
  <c r="BD18" i="6" s="1"/>
  <c r="BC21" i="6" a="1"/>
  <c r="BC21" i="6" s="1"/>
  <c r="BC18" i="6" a="1"/>
  <c r="BC18" i="6" s="1"/>
  <c r="BD31" i="6" a="1"/>
  <c r="BD31" i="6" s="1"/>
  <c r="BC31" i="6" a="1"/>
  <c r="BC31" i="6" s="1"/>
  <c r="BD34" i="6" a="1"/>
  <c r="BD34" i="6" s="1"/>
  <c r="BD19" i="6" a="1"/>
  <c r="BD19" i="6" s="1"/>
  <c r="BD16" i="6" a="1"/>
  <c r="BD16" i="6" s="1"/>
  <c r="BC16" i="6" a="1"/>
  <c r="BC16" i="6" s="1"/>
  <c r="E20" i="6" a="1"/>
  <c r="E20" i="6" s="1"/>
  <c r="E13" i="6" a="1"/>
  <c r="E13" i="6" s="1"/>
  <c r="F4" i="6"/>
  <c r="E9" i="6" a="1"/>
  <c r="E9" i="6" s="1"/>
  <c r="E12" i="6" a="1"/>
  <c r="E12" i="6" s="1"/>
  <c r="E7" i="6" a="1"/>
  <c r="E7" i="6" s="1"/>
  <c r="E10" i="6" a="1"/>
  <c r="E10" i="6" s="1"/>
  <c r="E19" i="6" a="1"/>
  <c r="E19" i="6" s="1"/>
  <c r="E17" i="6" a="1"/>
  <c r="E17" i="6" s="1"/>
  <c r="E8" i="6" a="1"/>
  <c r="E8" i="6" s="1"/>
  <c r="E18" i="6" a="1"/>
  <c r="E18" i="6" s="1"/>
  <c r="E5" i="6" a="1"/>
  <c r="E5" i="6" s="1"/>
  <c r="E11" i="6" a="1"/>
  <c r="E11" i="6" s="1"/>
  <c r="E6" i="6" a="1"/>
  <c r="E6" i="6" s="1"/>
  <c r="C6" i="5"/>
  <c r="C9" i="5"/>
  <c r="C8" i="5"/>
  <c r="C7" i="5"/>
  <c r="C5" i="5"/>
  <c r="C4" i="5"/>
  <c r="C2" i="5"/>
  <c r="C3" i="5"/>
  <c r="BW5" i="5" l="1"/>
  <c r="E6" i="5"/>
  <c r="E5" i="5"/>
  <c r="BW7" i="5"/>
  <c r="CD106" i="5"/>
  <c r="BZ60" i="5"/>
  <c r="BX6" i="5"/>
  <c r="BX5" i="5"/>
  <c r="BX4" i="5"/>
  <c r="BX2" i="5"/>
  <c r="BX8" i="5"/>
  <c r="BX7" i="5"/>
  <c r="BX9" i="5"/>
  <c r="BX3" i="5"/>
  <c r="BZ48" i="5"/>
  <c r="BY2" i="5" a="1"/>
  <c r="CA67" i="5"/>
  <c r="BZ110" i="5"/>
  <c r="BZ115" i="5"/>
  <c r="CA85" i="5"/>
  <c r="E3" i="5"/>
  <c r="E7" i="5"/>
  <c r="AP60" i="5"/>
  <c r="AP110" i="5"/>
  <c r="AP115" i="5"/>
  <c r="AP67" i="5"/>
  <c r="AP106" i="5"/>
  <c r="AQ85" i="5"/>
  <c r="AN9" i="5"/>
  <c r="AN8" i="5"/>
  <c r="AN5" i="5"/>
  <c r="AN4" i="5"/>
  <c r="AN3" i="5"/>
  <c r="AN2" i="5"/>
  <c r="AN6" i="5"/>
  <c r="AN7" i="5"/>
  <c r="AP48" i="5"/>
  <c r="AO2" i="5" a="1"/>
  <c r="E2" i="5"/>
  <c r="E4" i="5"/>
  <c r="AU11" i="5"/>
  <c r="CO12" i="4"/>
  <c r="C6" i="9" a="1"/>
  <c r="C6" i="9" s="1"/>
  <c r="D54" i="7" a="1"/>
  <c r="D54" i="7" s="1"/>
  <c r="D8" i="9" a="1"/>
  <c r="D8" i="9" s="1"/>
  <c r="E9" i="9" a="1"/>
  <c r="E9" i="9" s="1"/>
  <c r="D52" i="7" a="1"/>
  <c r="D52" i="7" s="1"/>
  <c r="D56" i="7" a="1"/>
  <c r="D56" i="7" s="1"/>
  <c r="D57" i="7" a="1"/>
  <c r="D57" i="7" s="1"/>
  <c r="E10" i="9" a="1"/>
  <c r="E10" i="9" s="1"/>
  <c r="C56" i="7" a="1"/>
  <c r="C56" i="7" s="1"/>
  <c r="C49" i="7" a="1"/>
  <c r="C49" i="7" s="1"/>
  <c r="C52" i="7" a="1"/>
  <c r="C52" i="7" s="1"/>
  <c r="C54" i="7" a="1"/>
  <c r="C54" i="7" s="1"/>
  <c r="C7" i="9" a="1"/>
  <c r="C7" i="9" s="1"/>
  <c r="E5" i="9" a="1"/>
  <c r="E5" i="9" s="1"/>
  <c r="C10" i="9" a="1"/>
  <c r="C10" i="9" s="1"/>
  <c r="D49" i="7" a="1"/>
  <c r="D49" i="7" s="1"/>
  <c r="D9" i="9" a="1"/>
  <c r="D9" i="9" s="1"/>
  <c r="E12" i="9" a="1"/>
  <c r="E12" i="9" s="1"/>
  <c r="D50" i="7" a="1"/>
  <c r="D50" i="7" s="1"/>
  <c r="D12" i="9" a="1"/>
  <c r="D12" i="9" s="1"/>
  <c r="D53" i="7" a="1"/>
  <c r="D53" i="7" s="1"/>
  <c r="C53" i="7" a="1"/>
  <c r="C53" i="7" s="1"/>
  <c r="D51" i="7" a="1"/>
  <c r="D51" i="7" s="1"/>
  <c r="C50" i="7" a="1"/>
  <c r="C50" i="7" s="1"/>
  <c r="D11" i="9" a="1"/>
  <c r="D11" i="9" s="1"/>
  <c r="C55" i="7" a="1"/>
  <c r="C55" i="7" s="1"/>
  <c r="D7" i="9" a="1"/>
  <c r="D7" i="9" s="1"/>
  <c r="C51" i="7" a="1"/>
  <c r="C51" i="7" s="1"/>
  <c r="C11" i="9" a="1"/>
  <c r="C11" i="9" s="1"/>
  <c r="C57" i="7" a="1"/>
  <c r="C57" i="7" s="1"/>
  <c r="D55" i="7" a="1"/>
  <c r="D55" i="7" s="1"/>
  <c r="C9" i="9" a="1"/>
  <c r="C9" i="9" s="1"/>
  <c r="C5" i="9" a="1"/>
  <c r="C5" i="9" s="1"/>
  <c r="E8" i="9" a="1"/>
  <c r="E8" i="9" s="1"/>
  <c r="E6" i="9" a="1"/>
  <c r="E6" i="9" s="1"/>
  <c r="E11" i="9" a="1"/>
  <c r="E11" i="9" s="1"/>
  <c r="D13" i="9" a="1"/>
  <c r="D13" i="9" s="1"/>
  <c r="D5" i="9" a="1"/>
  <c r="D5" i="9" s="1"/>
  <c r="D6" i="9" a="1"/>
  <c r="D6" i="9" s="1"/>
  <c r="E7" i="9" a="1"/>
  <c r="E7" i="9" s="1"/>
  <c r="C13" i="9" a="1"/>
  <c r="C13" i="9" s="1"/>
  <c r="D10" i="9" a="1"/>
  <c r="D10" i="9" s="1"/>
  <c r="C12" i="9" a="1"/>
  <c r="C12" i="9" s="1"/>
  <c r="C8" i="9" a="1"/>
  <c r="C8" i="9" s="1"/>
  <c r="E13" i="9" a="1"/>
  <c r="E13" i="9" s="1"/>
  <c r="C19" i="9" a="1"/>
  <c r="C19" i="9" s="1"/>
  <c r="C18" i="9" a="1"/>
  <c r="C18" i="9" s="1"/>
  <c r="D19" i="9" a="1"/>
  <c r="D19" i="9" s="1"/>
  <c r="C61" i="7" a="1"/>
  <c r="C61" i="7" s="1"/>
  <c r="C62" i="7" a="1"/>
  <c r="C62" i="7" s="1"/>
  <c r="C64" i="7" a="1"/>
  <c r="C64" i="7" s="1"/>
  <c r="D18" i="9" a="1"/>
  <c r="D18" i="9" s="1"/>
  <c r="E19" i="9" a="1"/>
  <c r="E19" i="9" s="1"/>
  <c r="F20" i="9" a="1"/>
  <c r="F20" i="9" s="1"/>
  <c r="D62" i="7" a="1"/>
  <c r="D62" i="7" s="1"/>
  <c r="D17" i="9" a="1"/>
  <c r="D17" i="9" s="1"/>
  <c r="C17" i="9" a="1"/>
  <c r="C17" i="9" s="1"/>
  <c r="D64" i="7" a="1"/>
  <c r="D64" i="7" s="1"/>
  <c r="D20" i="9" a="1"/>
  <c r="D20" i="9" s="1"/>
  <c r="E20" i="9" a="1"/>
  <c r="E20" i="9" s="1"/>
  <c r="E17" i="9" a="1"/>
  <c r="E17" i="9" s="1"/>
  <c r="E18" i="9" a="1"/>
  <c r="E18" i="9" s="1"/>
  <c r="D61" i="7" a="1"/>
  <c r="D61" i="7" s="1"/>
  <c r="D63" i="7" a="1"/>
  <c r="D63" i="7" s="1"/>
  <c r="C63" i="7" a="1"/>
  <c r="C63" i="7" s="1"/>
  <c r="C20" i="9" a="1"/>
  <c r="C20" i="9" s="1"/>
  <c r="D107" i="7" a="1"/>
  <c r="D107" i="7" s="1"/>
  <c r="E72" i="7" a="1"/>
  <c r="E72" i="7" s="1"/>
  <c r="D68" i="7" a="1"/>
  <c r="D68" i="7" s="1"/>
  <c r="E75" i="6" a="1"/>
  <c r="E75" i="6" s="1"/>
  <c r="D37" i="9" a="1"/>
  <c r="D37" i="9" s="1"/>
  <c r="D118" i="7" a="1"/>
  <c r="D118" i="7" s="1"/>
  <c r="BQ12" i="4"/>
  <c r="CF12" i="4" s="1"/>
  <c r="E83" i="6" a="1"/>
  <c r="E83" i="6" s="1"/>
  <c r="E63" i="9" a="1"/>
  <c r="E63" i="9" s="1"/>
  <c r="E72" i="6" a="1"/>
  <c r="E72" i="6" s="1"/>
  <c r="E38" i="6" a="1"/>
  <c r="E38" i="6" s="1"/>
  <c r="D67" i="9" a="1"/>
  <c r="D67" i="9" s="1"/>
  <c r="D79" i="9" a="1"/>
  <c r="D79" i="9" s="1"/>
  <c r="D72" i="9" a="1"/>
  <c r="D72" i="9" s="1"/>
  <c r="V12" i="4"/>
  <c r="CQ12" i="4"/>
  <c r="E111" i="7" a="1"/>
  <c r="E111" i="7" s="1"/>
  <c r="D63" i="6" a="1"/>
  <c r="D63" i="6" s="1"/>
  <c r="F62" i="6"/>
  <c r="E63" i="6" a="1"/>
  <c r="E63" i="6" s="1"/>
  <c r="C107" i="7" a="1"/>
  <c r="C107" i="7" s="1"/>
  <c r="F60" i="5"/>
  <c r="D70" i="7" a="1"/>
  <c r="D70" i="7" s="1"/>
  <c r="I85" i="5"/>
  <c r="D82" i="9" a="1"/>
  <c r="D82" i="9" s="1"/>
  <c r="E58" i="6" a="1"/>
  <c r="E58" i="6" s="1"/>
  <c r="E55" i="6" a="1"/>
  <c r="E55" i="6" s="1"/>
  <c r="E48" i="6" a="1"/>
  <c r="E48" i="6" s="1"/>
  <c r="E44" i="6" a="1"/>
  <c r="E44" i="6" s="1"/>
  <c r="E49" i="6" a="1"/>
  <c r="E49" i="6" s="1"/>
  <c r="E47" i="6" a="1"/>
  <c r="E47" i="6" s="1"/>
  <c r="E50" i="6" a="1"/>
  <c r="E50" i="6" s="1"/>
  <c r="E43" i="6" a="1"/>
  <c r="E43" i="6" s="1"/>
  <c r="F41" i="6"/>
  <c r="E53" i="6" a="1"/>
  <c r="E53" i="6" s="1"/>
  <c r="E59" i="6" a="1"/>
  <c r="E59" i="6" s="1"/>
  <c r="E45" i="6" a="1"/>
  <c r="E45" i="6" s="1"/>
  <c r="E51" i="6" a="1"/>
  <c r="E51" i="6" s="1"/>
  <c r="E54" i="6" a="1"/>
  <c r="E54" i="6" s="1"/>
  <c r="E57" i="6" a="1"/>
  <c r="E57" i="6" s="1"/>
  <c r="E46" i="6" a="1"/>
  <c r="E46" i="6" s="1"/>
  <c r="F89" i="7" a="1"/>
  <c r="F89" i="7" s="1"/>
  <c r="F95" i="7" a="1"/>
  <c r="F95" i="7" s="1"/>
  <c r="G85" i="7"/>
  <c r="F101" i="7" a="1"/>
  <c r="F101" i="7" s="1"/>
  <c r="F99" i="7" a="1"/>
  <c r="F99" i="7" s="1"/>
  <c r="D73" i="9" a="1"/>
  <c r="D73" i="9" s="1"/>
  <c r="E74" i="6" a="1"/>
  <c r="E74" i="6" s="1"/>
  <c r="E64" i="7" a="1"/>
  <c r="E64" i="7" s="1"/>
  <c r="F60" i="7"/>
  <c r="E61" i="7" a="1"/>
  <c r="E61" i="7" s="1"/>
  <c r="E62" i="7" a="1"/>
  <c r="E62" i="7" s="1"/>
  <c r="E63" i="7" a="1"/>
  <c r="E63" i="7" s="1"/>
  <c r="D34" i="9" a="1"/>
  <c r="D34" i="9" s="1"/>
  <c r="E36" i="6" a="1"/>
  <c r="E36" i="6" s="1"/>
  <c r="E77" i="7" a="1"/>
  <c r="E77" i="7" s="1"/>
  <c r="C63" i="9" a="1"/>
  <c r="C63" i="9" s="1"/>
  <c r="D63" i="9" a="1"/>
  <c r="D63" i="9" s="1"/>
  <c r="E88" i="7" a="1"/>
  <c r="E88" i="7" s="1"/>
  <c r="D81" i="9" a="1"/>
  <c r="D81" i="9" s="1"/>
  <c r="E73" i="6" a="1"/>
  <c r="E73" i="6" s="1"/>
  <c r="D78" i="7" a="1"/>
  <c r="D78" i="7" s="1"/>
  <c r="E71" i="7" a="1"/>
  <c r="E71" i="7" s="1"/>
  <c r="F75" i="6" a="1"/>
  <c r="F75" i="6" s="1"/>
  <c r="F73" i="6" a="1"/>
  <c r="F73" i="6" s="1"/>
  <c r="F74" i="6" a="1"/>
  <c r="F74" i="6" s="1"/>
  <c r="G71" i="6"/>
  <c r="F81" i="6" a="1"/>
  <c r="F81" i="6" s="1"/>
  <c r="F82" i="6" a="1"/>
  <c r="F82" i="6" s="1"/>
  <c r="F83" i="6" a="1"/>
  <c r="F83" i="6" s="1"/>
  <c r="C67" i="6" a="1"/>
  <c r="C67" i="6" s="1"/>
  <c r="E67" i="6" a="1"/>
  <c r="E67" i="6" s="1"/>
  <c r="C68" i="6" a="1"/>
  <c r="C68" i="6" s="1"/>
  <c r="E68" i="6" a="1"/>
  <c r="E68" i="6" s="1"/>
  <c r="D68" i="6" a="1"/>
  <c r="D68" i="6" s="1"/>
  <c r="D67" i="6" a="1"/>
  <c r="D67" i="6" s="1"/>
  <c r="D76" i="7" a="1"/>
  <c r="D76" i="7" s="1"/>
  <c r="E35" i="6" a="1"/>
  <c r="E35" i="6" s="1"/>
  <c r="E75" i="7" a="1"/>
  <c r="E75" i="7" s="1"/>
  <c r="C112" i="7" a="1"/>
  <c r="C112" i="7" s="1"/>
  <c r="C111" i="7" a="1"/>
  <c r="C111" i="7" s="1"/>
  <c r="D112" i="7" a="1"/>
  <c r="D112" i="7" s="1"/>
  <c r="D33" i="9" a="1"/>
  <c r="D33" i="9" s="1"/>
  <c r="E37" i="6" a="1"/>
  <c r="E37" i="6" s="1"/>
  <c r="E68" i="7" a="1"/>
  <c r="E68" i="7" s="1"/>
  <c r="E87" i="7" a="1"/>
  <c r="E87" i="7" s="1"/>
  <c r="I106" i="5"/>
  <c r="H115" i="5"/>
  <c r="E112" i="7" a="1"/>
  <c r="E112" i="7" s="1"/>
  <c r="F67" i="5"/>
  <c r="F73" i="7" a="1"/>
  <c r="F73" i="7" s="1"/>
  <c r="F72" i="7" a="1"/>
  <c r="F72" i="7" s="1"/>
  <c r="F68" i="7" a="1"/>
  <c r="F68" i="7" s="1"/>
  <c r="G67" i="7"/>
  <c r="F76" i="7" a="1"/>
  <c r="F76" i="7" s="1"/>
  <c r="F71" i="7" a="1"/>
  <c r="F71" i="7" s="1"/>
  <c r="E90" i="7" a="1"/>
  <c r="E90" i="7" s="1"/>
  <c r="F17" i="9" a="1"/>
  <c r="F17" i="9" s="1"/>
  <c r="D74" i="7" a="1"/>
  <c r="D74" i="7" s="1"/>
  <c r="E67" i="9" a="1"/>
  <c r="E67" i="9" s="1"/>
  <c r="F66" i="9"/>
  <c r="E68" i="9" a="1"/>
  <c r="E68" i="9" s="1"/>
  <c r="D71" i="7" a="1"/>
  <c r="D71" i="7" s="1"/>
  <c r="C71" i="7" a="1"/>
  <c r="C71" i="7" s="1"/>
  <c r="C73" i="7" a="1"/>
  <c r="C73" i="7" s="1"/>
  <c r="C69" i="7" a="1"/>
  <c r="C69" i="7" s="1"/>
  <c r="C75" i="7" a="1"/>
  <c r="C75" i="7" s="1"/>
  <c r="C78" i="7" a="1"/>
  <c r="C78" i="7" s="1"/>
  <c r="D73" i="7" a="1"/>
  <c r="D73" i="7" s="1"/>
  <c r="C79" i="7" a="1"/>
  <c r="C79" i="7" s="1"/>
  <c r="C72" i="7" a="1"/>
  <c r="C72" i="7" s="1"/>
  <c r="C74" i="7" a="1"/>
  <c r="C74" i="7" s="1"/>
  <c r="C70" i="7" a="1"/>
  <c r="C70" i="7" s="1"/>
  <c r="C77" i="7" a="1"/>
  <c r="C77" i="7" s="1"/>
  <c r="D72" i="7" a="1"/>
  <c r="D72" i="7" s="1"/>
  <c r="C82" i="7" a="1"/>
  <c r="C82" i="7" s="1"/>
  <c r="C81" i="7" a="1"/>
  <c r="C81" i="7" s="1"/>
  <c r="D82" i="7" a="1"/>
  <c r="D82" i="7" s="1"/>
  <c r="C76" i="7" a="1"/>
  <c r="C76" i="7" s="1"/>
  <c r="C80" i="7" a="1"/>
  <c r="C80" i="7" s="1"/>
  <c r="C68" i="7" a="1"/>
  <c r="C68" i="7" s="1"/>
  <c r="E80" i="7" a="1"/>
  <c r="E80" i="7" s="1"/>
  <c r="D36" i="9" a="1"/>
  <c r="D36" i="9" s="1"/>
  <c r="G2" i="5" a="1"/>
  <c r="H48" i="5"/>
  <c r="E81" i="7" a="1"/>
  <c r="E81" i="7" s="1"/>
  <c r="E38" i="9" a="1"/>
  <c r="E38" i="9" s="1"/>
  <c r="E35" i="9" a="1"/>
  <c r="E35" i="9" s="1"/>
  <c r="E37" i="9" a="1"/>
  <c r="E37" i="9" s="1"/>
  <c r="E36" i="9" a="1"/>
  <c r="E36" i="9" s="1"/>
  <c r="F23" i="9"/>
  <c r="E33" i="9" a="1"/>
  <c r="E33" i="9" s="1"/>
  <c r="E34" i="9" a="1"/>
  <c r="E34" i="9" s="1"/>
  <c r="D80" i="7" a="1"/>
  <c r="D80" i="7" s="1"/>
  <c r="D38" i="9" a="1"/>
  <c r="D38" i="9" s="1"/>
  <c r="D119" i="7" a="1"/>
  <c r="D119" i="7" s="1"/>
  <c r="E79" i="7" a="1"/>
  <c r="E79" i="7" s="1"/>
  <c r="E95" i="7" a="1"/>
  <c r="E95" i="7" s="1"/>
  <c r="H16" i="9"/>
  <c r="G20" i="9" a="1"/>
  <c r="G20" i="9" s="1"/>
  <c r="D77" i="7" a="1"/>
  <c r="D77" i="7" s="1"/>
  <c r="D80" i="9" a="1"/>
  <c r="D80" i="9" s="1"/>
  <c r="E58" i="9" a="1"/>
  <c r="E58" i="9" s="1"/>
  <c r="E53" i="9" a="1"/>
  <c r="E53" i="9" s="1"/>
  <c r="E51" i="9" a="1"/>
  <c r="E51" i="9" s="1"/>
  <c r="E57" i="9" a="1"/>
  <c r="E57" i="9" s="1"/>
  <c r="E50" i="9" a="1"/>
  <c r="E50" i="9" s="1"/>
  <c r="E46" i="9" a="1"/>
  <c r="E46" i="9" s="1"/>
  <c r="E49" i="9" a="1"/>
  <c r="E49" i="9" s="1"/>
  <c r="E54" i="9" a="1"/>
  <c r="E54" i="9" s="1"/>
  <c r="E47" i="9" a="1"/>
  <c r="E47" i="9" s="1"/>
  <c r="E59" i="9" a="1"/>
  <c r="E59" i="9" s="1"/>
  <c r="E55" i="9" a="1"/>
  <c r="E55" i="9" s="1"/>
  <c r="E48" i="9" a="1"/>
  <c r="E48" i="9" s="1"/>
  <c r="E45" i="9" a="1"/>
  <c r="E45" i="9" s="1"/>
  <c r="E43" i="9" a="1"/>
  <c r="E43" i="9" s="1"/>
  <c r="F41" i="9"/>
  <c r="E44" i="9" a="1"/>
  <c r="E44" i="9" s="1"/>
  <c r="D79" i="7" a="1"/>
  <c r="D79" i="7" s="1"/>
  <c r="E69" i="7" a="1"/>
  <c r="E69" i="7" s="1"/>
  <c r="D75" i="9" a="1"/>
  <c r="D75" i="9" s="1"/>
  <c r="F11" i="6" a="1"/>
  <c r="F11" i="6" s="1"/>
  <c r="F12" i="6" a="1"/>
  <c r="F12" i="6" s="1"/>
  <c r="F8" i="6" a="1"/>
  <c r="F8" i="6" s="1"/>
  <c r="F20" i="6" a="1"/>
  <c r="F20" i="6" s="1"/>
  <c r="F17" i="6" a="1"/>
  <c r="F17" i="6" s="1"/>
  <c r="F6" i="6" a="1"/>
  <c r="F6" i="6" s="1"/>
  <c r="F5" i="6" a="1"/>
  <c r="F5" i="6" s="1"/>
  <c r="F9" i="6" a="1"/>
  <c r="F9" i="6" s="1"/>
  <c r="F13" i="6" a="1"/>
  <c r="F13" i="6" s="1"/>
  <c r="F19" i="6" a="1"/>
  <c r="F19" i="6" s="1"/>
  <c r="F10" i="6" a="1"/>
  <c r="F10" i="6" s="1"/>
  <c r="F7" i="6" a="1"/>
  <c r="F7" i="6" s="1"/>
  <c r="F18" i="6" a="1"/>
  <c r="F18" i="6" s="1"/>
  <c r="G4" i="6"/>
  <c r="E73" i="7" a="1"/>
  <c r="E73" i="7" s="1"/>
  <c r="D30" i="7"/>
  <c r="D26" i="7"/>
  <c r="D25" i="7"/>
  <c r="D24" i="7"/>
  <c r="D23" i="7"/>
  <c r="D29" i="7"/>
  <c r="D28" i="7"/>
  <c r="D27" i="7"/>
  <c r="F19" i="9" a="1"/>
  <c r="F19" i="9" s="1"/>
  <c r="H66" i="6"/>
  <c r="G68" i="6" a="1"/>
  <c r="G68" i="6" s="1"/>
  <c r="D35" i="9" a="1"/>
  <c r="D35" i="9" s="1"/>
  <c r="D111" i="7" a="1"/>
  <c r="D111" i="7" s="1"/>
  <c r="C36" i="9" a="1"/>
  <c r="C36" i="9" s="1"/>
  <c r="C34" i="9" a="1"/>
  <c r="C34" i="9" s="1"/>
  <c r="C38" i="9" a="1"/>
  <c r="C38" i="9" s="1"/>
  <c r="C33" i="9" a="1"/>
  <c r="C33" i="9" s="1"/>
  <c r="C37" i="9" a="1"/>
  <c r="C37" i="9" s="1"/>
  <c r="C35" i="9" a="1"/>
  <c r="C35" i="9" s="1"/>
  <c r="G110" i="5"/>
  <c r="E116" i="7" a="1"/>
  <c r="E116" i="7" s="1"/>
  <c r="E118" i="7" a="1"/>
  <c r="E118" i="7" s="1"/>
  <c r="E117" i="7" a="1"/>
  <c r="E117" i="7" s="1"/>
  <c r="E119" i="7" a="1"/>
  <c r="E119" i="7" s="1"/>
  <c r="F115" i="7"/>
  <c r="E82" i="7" a="1"/>
  <c r="E82" i="7" s="1"/>
  <c r="E92" i="7" a="1"/>
  <c r="E92" i="7" s="1"/>
  <c r="E82" i="6" a="1"/>
  <c r="E82" i="6" s="1"/>
  <c r="F13" i="9" a="1"/>
  <c r="F13" i="9" s="1"/>
  <c r="F5" i="9" a="1"/>
  <c r="F5" i="9" s="1"/>
  <c r="F9" i="9" a="1"/>
  <c r="F9" i="9" s="1"/>
  <c r="F63" i="9" a="1"/>
  <c r="F63" i="9" s="1"/>
  <c r="F12" i="9" a="1"/>
  <c r="F12" i="9" s="1"/>
  <c r="F6" i="9" a="1"/>
  <c r="F6" i="9" s="1"/>
  <c r="F10" i="9" a="1"/>
  <c r="F10" i="9" s="1"/>
  <c r="G4" i="9"/>
  <c r="G18" i="9" s="1" a="1"/>
  <c r="G18" i="9" s="1"/>
  <c r="F8" i="9" a="1"/>
  <c r="F8" i="9" s="1"/>
  <c r="F7" i="9" a="1"/>
  <c r="F7" i="9" s="1"/>
  <c r="F11" i="9" a="1"/>
  <c r="F11" i="9" s="1"/>
  <c r="F67" i="6" a="1"/>
  <c r="F67" i="6" s="1"/>
  <c r="D69" i="7" a="1"/>
  <c r="D69" i="7" s="1"/>
  <c r="C75" i="6" a="1"/>
  <c r="C75" i="6" s="1"/>
  <c r="D83" i="6" a="1"/>
  <c r="D83" i="6" s="1"/>
  <c r="C83" i="6" a="1"/>
  <c r="C83" i="6" s="1"/>
  <c r="C73" i="6" a="1"/>
  <c r="C73" i="6" s="1"/>
  <c r="C79" i="6" a="1"/>
  <c r="C79" i="6" s="1"/>
  <c r="C74" i="6" a="1"/>
  <c r="C74" i="6" s="1"/>
  <c r="D73" i="6" a="1"/>
  <c r="D73" i="6" s="1"/>
  <c r="D74" i="6" a="1"/>
  <c r="D74" i="6" s="1"/>
  <c r="C81" i="6" a="1"/>
  <c r="C81" i="6" s="1"/>
  <c r="D75" i="6" a="1"/>
  <c r="D75" i="6" s="1"/>
  <c r="C82" i="6" a="1"/>
  <c r="C82" i="6" s="1"/>
  <c r="C72" i="6" a="1"/>
  <c r="C72" i="6" s="1"/>
  <c r="D72" i="6" a="1"/>
  <c r="D72" i="6" s="1"/>
  <c r="D82" i="6" a="1"/>
  <c r="D82" i="6" s="1"/>
  <c r="D81" i="6" a="1"/>
  <c r="D81" i="6" s="1"/>
  <c r="D117" i="7" a="1"/>
  <c r="D117" i="7" s="1"/>
  <c r="E76" i="7" a="1"/>
  <c r="E76" i="7" s="1"/>
  <c r="E89" i="7" a="1"/>
  <c r="E89" i="7" s="1"/>
  <c r="E81" i="6" a="1"/>
  <c r="E81" i="6" s="1"/>
  <c r="F36" i="6" a="1"/>
  <c r="F36" i="6" s="1"/>
  <c r="F38" i="6" a="1"/>
  <c r="F38" i="6" s="1"/>
  <c r="F37" i="6" a="1"/>
  <c r="F37" i="6" s="1"/>
  <c r="G23" i="6"/>
  <c r="F35" i="6" a="1"/>
  <c r="F35" i="6" s="1"/>
  <c r="D81" i="7" a="1"/>
  <c r="D81" i="7" s="1"/>
  <c r="F18" i="9" a="1"/>
  <c r="F18" i="9" s="1"/>
  <c r="C68" i="9" a="1"/>
  <c r="C68" i="9" s="1"/>
  <c r="C67" i="9" a="1"/>
  <c r="C67" i="9" s="1"/>
  <c r="C74" i="9" a="1"/>
  <c r="C74" i="9" s="1"/>
  <c r="C81" i="9" a="1"/>
  <c r="C81" i="9" s="1"/>
  <c r="C80" i="9" a="1"/>
  <c r="C80" i="9" s="1"/>
  <c r="C79" i="9" a="1"/>
  <c r="C79" i="9" s="1"/>
  <c r="C75" i="9" a="1"/>
  <c r="C75" i="9" s="1"/>
  <c r="C82" i="9" a="1"/>
  <c r="C82" i="9" s="1"/>
  <c r="C72" i="9" a="1"/>
  <c r="C72" i="9" s="1"/>
  <c r="C73" i="9" a="1"/>
  <c r="C73" i="9" s="1"/>
  <c r="E70" i="7" a="1"/>
  <c r="E70" i="7" s="1"/>
  <c r="D74" i="9" a="1"/>
  <c r="D74" i="9" s="1"/>
  <c r="D9" i="7"/>
  <c r="D8" i="7"/>
  <c r="D6" i="7"/>
  <c r="D5" i="7"/>
  <c r="D4" i="7"/>
  <c r="D7" i="7"/>
  <c r="D3" i="7"/>
  <c r="D2" i="7"/>
  <c r="D35" i="6" a="1"/>
  <c r="D35" i="6" s="1"/>
  <c r="C35" i="6" a="1"/>
  <c r="C35" i="6" s="1"/>
  <c r="D38" i="6" a="1"/>
  <c r="D38" i="6" s="1"/>
  <c r="C36" i="6" a="1"/>
  <c r="C36" i="6" s="1"/>
  <c r="D37" i="6" a="1"/>
  <c r="D37" i="6" s="1"/>
  <c r="D36" i="6" a="1"/>
  <c r="D36" i="6" s="1"/>
  <c r="C37" i="6" a="1"/>
  <c r="C37" i="6" s="1"/>
  <c r="C38" i="6" a="1"/>
  <c r="C38" i="6" s="1"/>
  <c r="F68" i="6" a="1"/>
  <c r="F68" i="6" s="1"/>
  <c r="E74" i="7" a="1"/>
  <c r="E74" i="7" s="1"/>
  <c r="D75" i="7" a="1"/>
  <c r="D75" i="7" s="1"/>
  <c r="F5" i="5"/>
  <c r="F9" i="5"/>
  <c r="F8" i="5"/>
  <c r="F4" i="5"/>
  <c r="F3" i="5"/>
  <c r="F7" i="5"/>
  <c r="F6" i="5"/>
  <c r="F2" i="5"/>
  <c r="E57" i="7" a="1"/>
  <c r="E57" i="7" s="1"/>
  <c r="E49" i="7" a="1"/>
  <c r="E49" i="7" s="1"/>
  <c r="E56" i="7" a="1"/>
  <c r="E56" i="7" s="1"/>
  <c r="F48" i="7"/>
  <c r="F94" i="7" s="1" a="1"/>
  <c r="F94" i="7" s="1"/>
  <c r="E51" i="7" a="1"/>
  <c r="E51" i="7" s="1"/>
  <c r="E52" i="7" a="1"/>
  <c r="E52" i="7" s="1"/>
  <c r="E53" i="7" a="1"/>
  <c r="E53" i="7" s="1"/>
  <c r="E50" i="7" a="1"/>
  <c r="E50" i="7" s="1"/>
  <c r="E23" i="7" a="1"/>
  <c r="E55" i="7" a="1"/>
  <c r="E55" i="7" s="1"/>
  <c r="E54" i="7" a="1"/>
  <c r="E54" i="7" s="1"/>
  <c r="E2" i="7" a="1"/>
  <c r="E107" i="7" a="1"/>
  <c r="E107" i="7" s="1"/>
  <c r="C119" i="7" a="1"/>
  <c r="C119" i="7" s="1"/>
  <c r="C118" i="7" a="1"/>
  <c r="C118" i="7" s="1"/>
  <c r="C117" i="7" a="1"/>
  <c r="C117" i="7" s="1"/>
  <c r="C116" i="7" a="1"/>
  <c r="C116" i="7" s="1"/>
  <c r="K106" i="7"/>
  <c r="D116" i="7" a="1"/>
  <c r="D116" i="7" s="1"/>
  <c r="E78" i="7" a="1"/>
  <c r="E78" i="7" s="1"/>
  <c r="C63" i="6" a="1"/>
  <c r="C63" i="6" s="1"/>
  <c r="E99" i="7" a="1"/>
  <c r="E99" i="7" s="1"/>
  <c r="J62" i="9"/>
  <c r="E73" i="9" a="1"/>
  <c r="E73" i="9" s="1"/>
  <c r="E82" i="9" a="1"/>
  <c r="E82" i="9" s="1"/>
  <c r="E74" i="9" a="1"/>
  <c r="E74" i="9" s="1"/>
  <c r="E80" i="9" a="1"/>
  <c r="E80" i="9" s="1"/>
  <c r="E81" i="9" a="1"/>
  <c r="E81" i="9" s="1"/>
  <c r="E79" i="9" a="1"/>
  <c r="E79" i="9" s="1"/>
  <c r="F71" i="9"/>
  <c r="E75" i="9" a="1"/>
  <c r="E75" i="9" s="1"/>
  <c r="E72" i="9" a="1"/>
  <c r="E72" i="9" s="1"/>
  <c r="D68" i="9" a="1"/>
  <c r="D68" i="9" s="1"/>
  <c r="F112" i="7" a="1"/>
  <c r="F112" i="7" s="1"/>
  <c r="F111" i="7" a="1"/>
  <c r="F111" i="7" s="1"/>
  <c r="G110" i="7"/>
  <c r="CA115" i="5" l="1"/>
  <c r="CA60" i="5"/>
  <c r="BZ2" i="5" a="1"/>
  <c r="CA48" i="5"/>
  <c r="CE106" i="5"/>
  <c r="CA110" i="5"/>
  <c r="CB85" i="5"/>
  <c r="CB67" i="5"/>
  <c r="BY7" i="5"/>
  <c r="BY5" i="5"/>
  <c r="BY9" i="5"/>
  <c r="BY8" i="5"/>
  <c r="BY4" i="5"/>
  <c r="BY6" i="5"/>
  <c r="BY3" i="5"/>
  <c r="BY2" i="5"/>
  <c r="AV11" i="5"/>
  <c r="AQ60" i="5"/>
  <c r="AQ110" i="5"/>
  <c r="AO2" i="5"/>
  <c r="AO3" i="5"/>
  <c r="AO4" i="5"/>
  <c r="AO9" i="5"/>
  <c r="AO8" i="5"/>
  <c r="AO7" i="5"/>
  <c r="AO6" i="5"/>
  <c r="AO5" i="5"/>
  <c r="AQ67" i="5"/>
  <c r="AR85" i="5"/>
  <c r="AQ115" i="5"/>
  <c r="AQ48" i="5"/>
  <c r="AP2" i="5" a="1"/>
  <c r="AQ106" i="5"/>
  <c r="J106" i="5"/>
  <c r="E26" i="7"/>
  <c r="E30" i="7"/>
  <c r="E28" i="7"/>
  <c r="E27" i="7"/>
  <c r="E24" i="7"/>
  <c r="E29" i="7"/>
  <c r="E25" i="7"/>
  <c r="E23" i="7"/>
  <c r="I66" i="6"/>
  <c r="H68" i="6" a="1"/>
  <c r="H68" i="6" s="1"/>
  <c r="F80" i="7" a="1"/>
  <c r="F80" i="7" s="1"/>
  <c r="G67" i="5"/>
  <c r="F88" i="7" a="1"/>
  <c r="F88" i="7" s="1"/>
  <c r="H85" i="7"/>
  <c r="H23" i="6"/>
  <c r="G38" i="6" a="1"/>
  <c r="G38" i="6" s="1"/>
  <c r="G36" i="6" a="1"/>
  <c r="G36" i="6" s="1"/>
  <c r="G37" i="6" a="1"/>
  <c r="G37" i="6" s="1"/>
  <c r="G35" i="6" a="1"/>
  <c r="G35" i="6" s="1"/>
  <c r="I115" i="5"/>
  <c r="F79" i="7" a="1"/>
  <c r="F79" i="7" s="1"/>
  <c r="F87" i="7" a="1"/>
  <c r="F87" i="7" s="1"/>
  <c r="F118" i="7" a="1"/>
  <c r="F118" i="7" s="1"/>
  <c r="F117" i="7" a="1"/>
  <c r="F117" i="7" s="1"/>
  <c r="F119" i="7" a="1"/>
  <c r="F119" i="7" s="1"/>
  <c r="G115" i="7"/>
  <c r="F116" i="7" a="1"/>
  <c r="F116" i="7" s="1"/>
  <c r="H110" i="7"/>
  <c r="I48" i="5"/>
  <c r="H2" i="5" a="1"/>
  <c r="H67" i="7"/>
  <c r="G7" i="5"/>
  <c r="G6" i="5"/>
  <c r="G5" i="5"/>
  <c r="G4" i="5"/>
  <c r="G3" i="5"/>
  <c r="G2" i="5"/>
  <c r="G9" i="5"/>
  <c r="G8" i="5"/>
  <c r="G74" i="6" a="1"/>
  <c r="G74" i="6" s="1"/>
  <c r="G81" i="6" a="1"/>
  <c r="G81" i="6" s="1"/>
  <c r="H71" i="6"/>
  <c r="G73" i="6" a="1"/>
  <c r="G73" i="6" s="1"/>
  <c r="G82" i="6" a="1"/>
  <c r="G82" i="6" s="1"/>
  <c r="G75" i="6" a="1"/>
  <c r="G75" i="6" s="1"/>
  <c r="G83" i="6" a="1"/>
  <c r="G83" i="6" s="1"/>
  <c r="L106" i="7"/>
  <c r="F56" i="7" a="1"/>
  <c r="F56" i="7" s="1"/>
  <c r="F55" i="7" a="1"/>
  <c r="F55" i="7" s="1"/>
  <c r="G48" i="7"/>
  <c r="G88" i="7" s="1" a="1"/>
  <c r="G88" i="7" s="1"/>
  <c r="F52" i="7" a="1"/>
  <c r="F52" i="7" s="1"/>
  <c r="F53" i="7" a="1"/>
  <c r="F53" i="7" s="1"/>
  <c r="F54" i="7" a="1"/>
  <c r="F54" i="7" s="1"/>
  <c r="F23" i="7" a="1"/>
  <c r="F2" i="7" a="1"/>
  <c r="F57" i="7" a="1"/>
  <c r="F57" i="7" s="1"/>
  <c r="F51" i="7" a="1"/>
  <c r="F51" i="7" s="1"/>
  <c r="F49" i="7" a="1"/>
  <c r="F49" i="7" s="1"/>
  <c r="F50" i="7" a="1"/>
  <c r="F50" i="7" s="1"/>
  <c r="F107" i="7" a="1"/>
  <c r="F107" i="7" s="1"/>
  <c r="F70" i="7" a="1"/>
  <c r="F70" i="7" s="1"/>
  <c r="F103" i="7" a="1"/>
  <c r="F103" i="7" s="1"/>
  <c r="J85" i="5"/>
  <c r="F82" i="9" a="1"/>
  <c r="F82" i="9" s="1"/>
  <c r="F75" i="9" a="1"/>
  <c r="F75" i="9" s="1"/>
  <c r="F79" i="9" a="1"/>
  <c r="F79" i="9" s="1"/>
  <c r="G71" i="9"/>
  <c r="F81" i="9" a="1"/>
  <c r="F81" i="9" s="1"/>
  <c r="F73" i="9" a="1"/>
  <c r="F73" i="9" s="1"/>
  <c r="F74" i="9" a="1"/>
  <c r="F74" i="9" s="1"/>
  <c r="F80" i="9" a="1"/>
  <c r="F80" i="9" s="1"/>
  <c r="F77" i="7" a="1"/>
  <c r="F77" i="7" s="1"/>
  <c r="F98" i="7" a="1"/>
  <c r="F98" i="7" s="1"/>
  <c r="F74" i="7" a="1"/>
  <c r="F74" i="7" s="1"/>
  <c r="F92" i="7" a="1"/>
  <c r="F92" i="7" s="1"/>
  <c r="G60" i="5"/>
  <c r="G66" i="9"/>
  <c r="F68" i="9" a="1"/>
  <c r="F68" i="9" s="1"/>
  <c r="F67" i="9" a="1"/>
  <c r="F67" i="9" s="1"/>
  <c r="F81" i="7" a="1"/>
  <c r="F81" i="7" s="1"/>
  <c r="F91" i="7" a="1"/>
  <c r="F91" i="7" s="1"/>
  <c r="F57" i="6" a="1"/>
  <c r="F57" i="6" s="1"/>
  <c r="F54" i="6" a="1"/>
  <c r="F54" i="6" s="1"/>
  <c r="F48" i="6" a="1"/>
  <c r="F48" i="6" s="1"/>
  <c r="F58" i="6" a="1"/>
  <c r="F58" i="6" s="1"/>
  <c r="F44" i="6" a="1"/>
  <c r="F44" i="6" s="1"/>
  <c r="F59" i="6" a="1"/>
  <c r="F59" i="6" s="1"/>
  <c r="F53" i="6" a="1"/>
  <c r="F53" i="6" s="1"/>
  <c r="F43" i="6" a="1"/>
  <c r="F43" i="6" s="1"/>
  <c r="F50" i="6" a="1"/>
  <c r="F50" i="6" s="1"/>
  <c r="G41" i="6"/>
  <c r="F51" i="6" a="1"/>
  <c r="F51" i="6" s="1"/>
  <c r="F45" i="6" a="1"/>
  <c r="F45" i="6" s="1"/>
  <c r="F49" i="6" a="1"/>
  <c r="F49" i="6" s="1"/>
  <c r="F47" i="6" a="1"/>
  <c r="F47" i="6" s="1"/>
  <c r="F55" i="6" a="1"/>
  <c r="F55" i="6" s="1"/>
  <c r="F46" i="6" a="1"/>
  <c r="F46" i="6" s="1"/>
  <c r="G10" i="6" a="1"/>
  <c r="G10" i="6" s="1"/>
  <c r="G7" i="6" a="1"/>
  <c r="G7" i="6" s="1"/>
  <c r="G20" i="6" a="1"/>
  <c r="G20" i="6" s="1"/>
  <c r="G17" i="6" a="1"/>
  <c r="G17" i="6" s="1"/>
  <c r="G6" i="6" a="1"/>
  <c r="G6" i="6" s="1"/>
  <c r="G12" i="6" a="1"/>
  <c r="G12" i="6" s="1"/>
  <c r="G19" i="6" a="1"/>
  <c r="G19" i="6" s="1"/>
  <c r="G11" i="6" a="1"/>
  <c r="G11" i="6" s="1"/>
  <c r="G9" i="6" a="1"/>
  <c r="G9" i="6" s="1"/>
  <c r="G5" i="6" a="1"/>
  <c r="G5" i="6" s="1"/>
  <c r="H4" i="6"/>
  <c r="H67" i="6" s="1" a="1"/>
  <c r="H67" i="6" s="1"/>
  <c r="G13" i="6" a="1"/>
  <c r="G13" i="6" s="1"/>
  <c r="G18" i="6" a="1"/>
  <c r="G18" i="6" s="1"/>
  <c r="G8" i="6" a="1"/>
  <c r="G8" i="6" s="1"/>
  <c r="G19" i="9" a="1"/>
  <c r="G19" i="9" s="1"/>
  <c r="F36" i="9" a="1"/>
  <c r="F36" i="9" s="1"/>
  <c r="F34" i="9" a="1"/>
  <c r="F34" i="9" s="1"/>
  <c r="F37" i="9" a="1"/>
  <c r="F37" i="9" s="1"/>
  <c r="G23" i="9"/>
  <c r="F35" i="9" a="1"/>
  <c r="F35" i="9" s="1"/>
  <c r="F33" i="9" a="1"/>
  <c r="F33" i="9" s="1"/>
  <c r="F38" i="9" a="1"/>
  <c r="F38" i="9" s="1"/>
  <c r="F82" i="7" a="1"/>
  <c r="F82" i="7" s="1"/>
  <c r="F63" i="7" a="1"/>
  <c r="F63" i="7" s="1"/>
  <c r="F61" i="7" a="1"/>
  <c r="F61" i="7" s="1"/>
  <c r="G60" i="7"/>
  <c r="F64" i="7" a="1"/>
  <c r="F64" i="7" s="1"/>
  <c r="F62" i="7" a="1"/>
  <c r="F62" i="7" s="1"/>
  <c r="F90" i="7" a="1"/>
  <c r="F90" i="7" s="1"/>
  <c r="E5" i="7"/>
  <c r="E8" i="7"/>
  <c r="E7" i="7"/>
  <c r="E6" i="7"/>
  <c r="E4" i="7"/>
  <c r="E3" i="7"/>
  <c r="E9" i="7"/>
  <c r="E2" i="7"/>
  <c r="F75" i="7" a="1"/>
  <c r="F75" i="7" s="1"/>
  <c r="F102" i="7" a="1"/>
  <c r="F102" i="7" s="1"/>
  <c r="K62" i="9"/>
  <c r="H110" i="5"/>
  <c r="G67" i="6" a="1"/>
  <c r="G67" i="6" s="1"/>
  <c r="F57" i="9" a="1"/>
  <c r="F57" i="9" s="1"/>
  <c r="F59" i="9" a="1"/>
  <c r="F59" i="9" s="1"/>
  <c r="F55" i="9" a="1"/>
  <c r="F55" i="9" s="1"/>
  <c r="F51" i="9" a="1"/>
  <c r="F51" i="9" s="1"/>
  <c r="F53" i="9" a="1"/>
  <c r="F53" i="9" s="1"/>
  <c r="F49" i="9" a="1"/>
  <c r="F49" i="9" s="1"/>
  <c r="F47" i="9" a="1"/>
  <c r="F47" i="9" s="1"/>
  <c r="F46" i="9" a="1"/>
  <c r="F46" i="9" s="1"/>
  <c r="F58" i="9" a="1"/>
  <c r="F58" i="9" s="1"/>
  <c r="F54" i="9" a="1"/>
  <c r="F54" i="9" s="1"/>
  <c r="F43" i="9" a="1"/>
  <c r="F43" i="9" s="1"/>
  <c r="F45" i="9" a="1"/>
  <c r="F45" i="9" s="1"/>
  <c r="F48" i="9" a="1"/>
  <c r="F48" i="9" s="1"/>
  <c r="F50" i="9" a="1"/>
  <c r="F50" i="9" s="1"/>
  <c r="G41" i="9"/>
  <c r="F44" i="9" a="1"/>
  <c r="F44" i="9" s="1"/>
  <c r="H20" i="9" a="1"/>
  <c r="H20" i="9" s="1"/>
  <c r="H17" i="9" a="1"/>
  <c r="H17" i="9" s="1"/>
  <c r="H18" i="9" a="1"/>
  <c r="H18" i="9" s="1"/>
  <c r="H19" i="9" a="1"/>
  <c r="H19" i="9" s="1"/>
  <c r="I16" i="9"/>
  <c r="F69" i="7" a="1"/>
  <c r="F69" i="7" s="1"/>
  <c r="F93" i="7" a="1"/>
  <c r="F93" i="7" s="1"/>
  <c r="H4" i="9"/>
  <c r="G8" i="9" a="1"/>
  <c r="G8" i="9" s="1"/>
  <c r="G9" i="9" a="1"/>
  <c r="G9" i="9" s="1"/>
  <c r="G6" i="9" a="1"/>
  <c r="G6" i="9" s="1"/>
  <c r="G7" i="9" a="1"/>
  <c r="G7" i="9" s="1"/>
  <c r="G12" i="9" a="1"/>
  <c r="G12" i="9" s="1"/>
  <c r="G5" i="9" a="1"/>
  <c r="G5" i="9" s="1"/>
  <c r="G11" i="9" a="1"/>
  <c r="G11" i="9" s="1"/>
  <c r="G10" i="9" a="1"/>
  <c r="G10" i="9" s="1"/>
  <c r="G13" i="9" a="1"/>
  <c r="G13" i="9" s="1"/>
  <c r="G63" i="9" a="1"/>
  <c r="G63" i="9" s="1"/>
  <c r="G17" i="9" a="1"/>
  <c r="G17" i="9" s="1"/>
  <c r="F78" i="7" a="1"/>
  <c r="F78" i="7" s="1"/>
  <c r="F97" i="7" a="1"/>
  <c r="F97" i="7" s="1"/>
  <c r="F63" i="6" a="1"/>
  <c r="F63" i="6" s="1"/>
  <c r="G62" i="6"/>
  <c r="BZ6" i="5" l="1"/>
  <c r="BZ5" i="5"/>
  <c r="BZ4" i="5"/>
  <c r="BZ2" i="5"/>
  <c r="BZ3" i="5"/>
  <c r="BZ9" i="5"/>
  <c r="BZ8" i="5"/>
  <c r="BZ7" i="5"/>
  <c r="CF106" i="5"/>
  <c r="CA2" i="5" a="1"/>
  <c r="CB48" i="5"/>
  <c r="CC85" i="5"/>
  <c r="CB115" i="5"/>
  <c r="CC67" i="5"/>
  <c r="CB110" i="5"/>
  <c r="CB60" i="5"/>
  <c r="AR110" i="5"/>
  <c r="AR115" i="5"/>
  <c r="AW11" i="5"/>
  <c r="AP9" i="5"/>
  <c r="AP8" i="5"/>
  <c r="AP7" i="5"/>
  <c r="AP6" i="5"/>
  <c r="AP5" i="5"/>
  <c r="AP4" i="5"/>
  <c r="AP3" i="5"/>
  <c r="AP2" i="5"/>
  <c r="AR67" i="5"/>
  <c r="AR60" i="5"/>
  <c r="AR106" i="5"/>
  <c r="AQ2" i="5" a="1"/>
  <c r="AR48" i="5"/>
  <c r="AS85" i="5"/>
  <c r="M106" i="7"/>
  <c r="G74" i="7" a="1"/>
  <c r="G74" i="7" s="1"/>
  <c r="G112" i="7" a="1"/>
  <c r="G112" i="7" s="1"/>
  <c r="G102" i="7" a="1"/>
  <c r="G102" i="7" s="1"/>
  <c r="J66" i="6"/>
  <c r="I20" i="9" a="1"/>
  <c r="I20" i="9" s="1"/>
  <c r="J16" i="9"/>
  <c r="I18" i="9" a="1"/>
  <c r="I18" i="9" s="1"/>
  <c r="I19" i="9" a="1"/>
  <c r="I19" i="9" s="1"/>
  <c r="G82" i="7" a="1"/>
  <c r="G82" i="7" s="1"/>
  <c r="G55" i="7" a="1"/>
  <c r="G55" i="7" s="1"/>
  <c r="H48" i="7"/>
  <c r="G54" i="7" a="1"/>
  <c r="G54" i="7" s="1"/>
  <c r="G53" i="7" a="1"/>
  <c r="G53" i="7" s="1"/>
  <c r="G56" i="7" a="1"/>
  <c r="G56" i="7" s="1"/>
  <c r="G51" i="7" a="1"/>
  <c r="G51" i="7" s="1"/>
  <c r="G52" i="7" a="1"/>
  <c r="G52" i="7" s="1"/>
  <c r="G57" i="7" a="1"/>
  <c r="G57" i="7" s="1"/>
  <c r="G49" i="7" a="1"/>
  <c r="G49" i="7" s="1"/>
  <c r="G2" i="7" a="1"/>
  <c r="G23" i="7" a="1"/>
  <c r="G50" i="7" a="1"/>
  <c r="G50" i="7" s="1"/>
  <c r="G107" i="7" a="1"/>
  <c r="G107" i="7" s="1"/>
  <c r="H75" i="7" a="1"/>
  <c r="H75" i="7" s="1"/>
  <c r="I67" i="7"/>
  <c r="H37" i="6" a="1"/>
  <c r="H37" i="6" s="1"/>
  <c r="I23" i="6"/>
  <c r="H36" i="6" a="1"/>
  <c r="H36" i="6" s="1"/>
  <c r="H38" i="6" a="1"/>
  <c r="H38" i="6" s="1"/>
  <c r="H35" i="6" a="1"/>
  <c r="H35" i="6" s="1"/>
  <c r="G55" i="9" a="1"/>
  <c r="G55" i="9" s="1"/>
  <c r="G57" i="9" a="1"/>
  <c r="G57" i="9" s="1"/>
  <c r="G58" i="9" a="1"/>
  <c r="G58" i="9" s="1"/>
  <c r="G53" i="9" a="1"/>
  <c r="G53" i="9" s="1"/>
  <c r="G48" i="9" a="1"/>
  <c r="G48" i="9" s="1"/>
  <c r="G59" i="9" a="1"/>
  <c r="G59" i="9" s="1"/>
  <c r="G47" i="9" a="1"/>
  <c r="G47" i="9" s="1"/>
  <c r="G49" i="9" a="1"/>
  <c r="G49" i="9" s="1"/>
  <c r="G44" i="9" a="1"/>
  <c r="G44" i="9" s="1"/>
  <c r="G54" i="9" a="1"/>
  <c r="G54" i="9" s="1"/>
  <c r="G45" i="9" a="1"/>
  <c r="G45" i="9" s="1"/>
  <c r="G46" i="9" a="1"/>
  <c r="G46" i="9" s="1"/>
  <c r="G43" i="9" a="1"/>
  <c r="G43" i="9" s="1"/>
  <c r="G50" i="9" a="1"/>
  <c r="G50" i="9" s="1"/>
  <c r="G51" i="9" a="1"/>
  <c r="G51" i="9" s="1"/>
  <c r="H41" i="9"/>
  <c r="I110" i="5"/>
  <c r="G75" i="7" a="1"/>
  <c r="G75" i="7" s="1"/>
  <c r="G103" i="7" a="1"/>
  <c r="G103" i="7" s="1"/>
  <c r="H60" i="5"/>
  <c r="G111" i="7" a="1"/>
  <c r="G111" i="7" s="1"/>
  <c r="H9" i="5"/>
  <c r="H3" i="5"/>
  <c r="H4" i="5"/>
  <c r="H2" i="5"/>
  <c r="H8" i="5"/>
  <c r="H5" i="5"/>
  <c r="H7" i="5"/>
  <c r="H6" i="5"/>
  <c r="G78" i="7" a="1"/>
  <c r="G78" i="7" s="1"/>
  <c r="G79" i="7" a="1"/>
  <c r="G79" i="7" s="1"/>
  <c r="F7" i="7"/>
  <c r="F6" i="7"/>
  <c r="F4" i="7"/>
  <c r="F3" i="7"/>
  <c r="F9" i="7"/>
  <c r="F8" i="7"/>
  <c r="F5" i="7"/>
  <c r="F2" i="7"/>
  <c r="G70" i="7" a="1"/>
  <c r="G70" i="7" s="1"/>
  <c r="G87" i="7" a="1"/>
  <c r="G87" i="7" s="1"/>
  <c r="G89" i="7" a="1"/>
  <c r="G89" i="7" s="1"/>
  <c r="H115" i="7"/>
  <c r="G119" i="7" a="1"/>
  <c r="G119" i="7" s="1"/>
  <c r="G118" i="7" a="1"/>
  <c r="G118" i="7" s="1"/>
  <c r="G117" i="7" a="1"/>
  <c r="G117" i="7" s="1"/>
  <c r="G116" i="7" a="1"/>
  <c r="G116" i="7" s="1"/>
  <c r="F28" i="7"/>
  <c r="F24" i="7"/>
  <c r="F29" i="7"/>
  <c r="F27" i="7"/>
  <c r="F26" i="7"/>
  <c r="F25" i="7"/>
  <c r="F23" i="7"/>
  <c r="F30" i="7"/>
  <c r="G77" i="7" a="1"/>
  <c r="G77" i="7" s="1"/>
  <c r="J115" i="5"/>
  <c r="G101" i="7" a="1"/>
  <c r="G101" i="7" s="1"/>
  <c r="G81" i="7" a="1"/>
  <c r="G81" i="7" s="1"/>
  <c r="G36" i="9" a="1"/>
  <c r="G36" i="9" s="1"/>
  <c r="G34" i="9" a="1"/>
  <c r="G34" i="9" s="1"/>
  <c r="G38" i="9" a="1"/>
  <c r="G38" i="9" s="1"/>
  <c r="H23" i="9"/>
  <c r="G35" i="9" a="1"/>
  <c r="G35" i="9" s="1"/>
  <c r="G33" i="9" a="1"/>
  <c r="G33" i="9" s="1"/>
  <c r="G37" i="9" a="1"/>
  <c r="G37" i="9" s="1"/>
  <c r="G92" i="7" a="1"/>
  <c r="G92" i="7" s="1"/>
  <c r="K85" i="5"/>
  <c r="G91" i="7" a="1"/>
  <c r="G91" i="7" s="1"/>
  <c r="G76" i="7" a="1"/>
  <c r="G76" i="7" s="1"/>
  <c r="H67" i="5"/>
  <c r="G68" i="7" a="1"/>
  <c r="G68" i="7" s="1"/>
  <c r="L62" i="9"/>
  <c r="H9" i="6" a="1"/>
  <c r="H9" i="6" s="1"/>
  <c r="H6" i="6" a="1"/>
  <c r="H6" i="6" s="1"/>
  <c r="H13" i="6" a="1"/>
  <c r="H13" i="6" s="1"/>
  <c r="H20" i="6" a="1"/>
  <c r="H20" i="6" s="1"/>
  <c r="H17" i="6" a="1"/>
  <c r="H17" i="6" s="1"/>
  <c r="H12" i="6" a="1"/>
  <c r="H12" i="6" s="1"/>
  <c r="H19" i="6" a="1"/>
  <c r="H19" i="6" s="1"/>
  <c r="H18" i="6" a="1"/>
  <c r="H18" i="6" s="1"/>
  <c r="H10" i="6" a="1"/>
  <c r="H10" i="6" s="1"/>
  <c r="H5" i="6" a="1"/>
  <c r="H5" i="6" s="1"/>
  <c r="I4" i="6"/>
  <c r="I67" i="6" s="1" a="1"/>
  <c r="I67" i="6" s="1"/>
  <c r="H8" i="6" a="1"/>
  <c r="H8" i="6" s="1"/>
  <c r="H11" i="6" a="1"/>
  <c r="H11" i="6" s="1"/>
  <c r="H7" i="6" a="1"/>
  <c r="H7" i="6" s="1"/>
  <c r="G71" i="7" a="1"/>
  <c r="G71" i="7" s="1"/>
  <c r="J48" i="5"/>
  <c r="I2" i="5" a="1"/>
  <c r="G98" i="7" a="1"/>
  <c r="G98" i="7" s="1"/>
  <c r="G80" i="7" a="1"/>
  <c r="G80" i="7" s="1"/>
  <c r="I110" i="7"/>
  <c r="H103" i="7" a="1"/>
  <c r="H103" i="7" s="1"/>
  <c r="I85" i="7"/>
  <c r="I71" i="6"/>
  <c r="H81" i="6" a="1"/>
  <c r="H81" i="6" s="1"/>
  <c r="H75" i="6" a="1"/>
  <c r="H75" i="6" s="1"/>
  <c r="H73" i="6" a="1"/>
  <c r="H73" i="6" s="1"/>
  <c r="H82" i="6" a="1"/>
  <c r="H82" i="6" s="1"/>
  <c r="H74" i="6" a="1"/>
  <c r="H74" i="6" s="1"/>
  <c r="H83" i="6" a="1"/>
  <c r="H83" i="6" s="1"/>
  <c r="G62" i="7" a="1"/>
  <c r="G62" i="7" s="1"/>
  <c r="G64" i="7" a="1"/>
  <c r="G64" i="7" s="1"/>
  <c r="H60" i="7"/>
  <c r="G61" i="7" a="1"/>
  <c r="G61" i="7" s="1"/>
  <c r="G63" i="7" a="1"/>
  <c r="G63" i="7" s="1"/>
  <c r="H66" i="9"/>
  <c r="G68" i="9" a="1"/>
  <c r="G68" i="9" s="1"/>
  <c r="G67" i="9" a="1"/>
  <c r="G67" i="9" s="1"/>
  <c r="G75" i="9" a="1"/>
  <c r="G75" i="9" s="1"/>
  <c r="G74" i="9" a="1"/>
  <c r="G74" i="9" s="1"/>
  <c r="H71" i="9"/>
  <c r="G79" i="9" a="1"/>
  <c r="G79" i="9" s="1"/>
  <c r="G82" i="9" a="1"/>
  <c r="G82" i="9" s="1"/>
  <c r="G81" i="9" a="1"/>
  <c r="G81" i="9" s="1"/>
  <c r="G80" i="9" a="1"/>
  <c r="G80" i="9" s="1"/>
  <c r="G73" i="9" a="1"/>
  <c r="G73" i="9" s="1"/>
  <c r="G72" i="7" a="1"/>
  <c r="G72" i="7" s="1"/>
  <c r="G93" i="7" a="1"/>
  <c r="G93" i="7" s="1"/>
  <c r="K106" i="5"/>
  <c r="G90" i="7" a="1"/>
  <c r="G90" i="7" s="1"/>
  <c r="G69" i="7" a="1"/>
  <c r="G69" i="7" s="1"/>
  <c r="G97" i="7" a="1"/>
  <c r="G97" i="7" s="1"/>
  <c r="G95" i="7" a="1"/>
  <c r="G95" i="7" s="1"/>
  <c r="G94" i="7" a="1"/>
  <c r="G94" i="7" s="1"/>
  <c r="G63" i="6" a="1"/>
  <c r="G63" i="6" s="1"/>
  <c r="H62" i="6"/>
  <c r="H11" i="9" a="1"/>
  <c r="H11" i="9" s="1"/>
  <c r="H5" i="9" a="1"/>
  <c r="H5" i="9" s="1"/>
  <c r="H6" i="9" a="1"/>
  <c r="H6" i="9" s="1"/>
  <c r="H9" i="9" a="1"/>
  <c r="H9" i="9" s="1"/>
  <c r="H7" i="9" a="1"/>
  <c r="H7" i="9" s="1"/>
  <c r="H13" i="9" a="1"/>
  <c r="H13" i="9" s="1"/>
  <c r="I4" i="9"/>
  <c r="I17" i="9" s="1" a="1"/>
  <c r="I17" i="9" s="1"/>
  <c r="H12" i="9" a="1"/>
  <c r="H12" i="9" s="1"/>
  <c r="H8" i="9" a="1"/>
  <c r="H8" i="9" s="1"/>
  <c r="H10" i="9" a="1"/>
  <c r="H10" i="9" s="1"/>
  <c r="H63" i="9" a="1"/>
  <c r="H63" i="9" s="1"/>
  <c r="G55" i="6" a="1"/>
  <c r="G55" i="6" s="1"/>
  <c r="H41" i="6"/>
  <c r="G53" i="6" a="1"/>
  <c r="G53" i="6" s="1"/>
  <c r="G47" i="6" a="1"/>
  <c r="G47" i="6" s="1"/>
  <c r="G59" i="6" a="1"/>
  <c r="G59" i="6" s="1"/>
  <c r="G51" i="6" a="1"/>
  <c r="G51" i="6" s="1"/>
  <c r="G46" i="6" a="1"/>
  <c r="G46" i="6" s="1"/>
  <c r="G58" i="6" a="1"/>
  <c r="G58" i="6" s="1"/>
  <c r="G50" i="6" a="1"/>
  <c r="G50" i="6" s="1"/>
  <c r="G49" i="6" a="1"/>
  <c r="G49" i="6" s="1"/>
  <c r="G54" i="6" a="1"/>
  <c r="G54" i="6" s="1"/>
  <c r="G48" i="6" a="1"/>
  <c r="G48" i="6" s="1"/>
  <c r="G45" i="6" a="1"/>
  <c r="G45" i="6" s="1"/>
  <c r="G57" i="6" a="1"/>
  <c r="G57" i="6" s="1"/>
  <c r="G44" i="6" a="1"/>
  <c r="G44" i="6" s="1"/>
  <c r="G43" i="6" a="1"/>
  <c r="G43" i="6" s="1"/>
  <c r="G73" i="7" a="1"/>
  <c r="G73" i="7" s="1"/>
  <c r="G99" i="7" a="1"/>
  <c r="G99" i="7" s="1"/>
  <c r="CD85" i="5" l="1"/>
  <c r="CD67" i="5"/>
  <c r="CC115" i="5"/>
  <c r="CC110" i="5"/>
  <c r="CB2" i="5" a="1"/>
  <c r="CC48" i="5"/>
  <c r="CG106" i="5"/>
  <c r="CC60" i="5"/>
  <c r="CA5" i="5"/>
  <c r="CA3" i="5"/>
  <c r="CA9" i="5"/>
  <c r="CA8" i="5"/>
  <c r="CA6" i="5"/>
  <c r="CA4" i="5"/>
  <c r="CA7" i="5"/>
  <c r="CA2" i="5"/>
  <c r="AS106" i="5"/>
  <c r="AS60" i="5"/>
  <c r="AS67" i="5"/>
  <c r="AS110" i="5"/>
  <c r="AS115" i="5"/>
  <c r="AT85" i="5"/>
  <c r="AS48" i="5"/>
  <c r="AR2" i="5" a="1"/>
  <c r="AX11" i="5"/>
  <c r="AQ2" i="5"/>
  <c r="AQ8" i="5"/>
  <c r="AQ7" i="5"/>
  <c r="AQ6" i="5"/>
  <c r="AQ4" i="5"/>
  <c r="AQ3" i="5"/>
  <c r="AQ5" i="5"/>
  <c r="AQ9" i="5"/>
  <c r="H54" i="9" a="1"/>
  <c r="H54" i="9" s="1"/>
  <c r="H57" i="9" a="1"/>
  <c r="H57" i="9" s="1"/>
  <c r="H53" i="9" a="1"/>
  <c r="H53" i="9" s="1"/>
  <c r="H45" i="9" a="1"/>
  <c r="H45" i="9" s="1"/>
  <c r="H44" i="9" a="1"/>
  <c r="H44" i="9" s="1"/>
  <c r="H59" i="9" a="1"/>
  <c r="H59" i="9" s="1"/>
  <c r="H55" i="9" a="1"/>
  <c r="H55" i="9" s="1"/>
  <c r="H47" i="9" a="1"/>
  <c r="H47" i="9" s="1"/>
  <c r="H49" i="9" a="1"/>
  <c r="H49" i="9" s="1"/>
  <c r="H58" i="9" a="1"/>
  <c r="H58" i="9" s="1"/>
  <c r="I41" i="9"/>
  <c r="H48" i="9" a="1"/>
  <c r="H48" i="9" s="1"/>
  <c r="H46" i="9" a="1"/>
  <c r="H46" i="9" s="1"/>
  <c r="H50" i="9" a="1"/>
  <c r="H50" i="9" s="1"/>
  <c r="H51" i="9" a="1"/>
  <c r="H51" i="9" s="1"/>
  <c r="H43" i="9" a="1"/>
  <c r="H43" i="9" s="1"/>
  <c r="H54" i="7" a="1"/>
  <c r="H54" i="7" s="1"/>
  <c r="I48" i="7"/>
  <c r="H53" i="7" a="1"/>
  <c r="H53" i="7" s="1"/>
  <c r="H57" i="7" a="1"/>
  <c r="H57" i="7" s="1"/>
  <c r="H51" i="7" a="1"/>
  <c r="H51" i="7" s="1"/>
  <c r="H2" i="7" a="1"/>
  <c r="H56" i="7" a="1"/>
  <c r="H56" i="7" s="1"/>
  <c r="H49" i="7" a="1"/>
  <c r="H49" i="7" s="1"/>
  <c r="H23" i="7" a="1"/>
  <c r="H55" i="7" a="1"/>
  <c r="H55" i="7" s="1"/>
  <c r="H52" i="7" a="1"/>
  <c r="H52" i="7" s="1"/>
  <c r="H50" i="7" a="1"/>
  <c r="H50" i="7" s="1"/>
  <c r="H107" i="7" a="1"/>
  <c r="H107" i="7" s="1"/>
  <c r="H93" i="7" a="1"/>
  <c r="H93" i="7" s="1"/>
  <c r="J23" i="6"/>
  <c r="I37" i="6" a="1"/>
  <c r="I37" i="6" s="1"/>
  <c r="I36" i="6" a="1"/>
  <c r="I36" i="6" s="1"/>
  <c r="I38" i="6" a="1"/>
  <c r="I38" i="6" s="1"/>
  <c r="I35" i="6" a="1"/>
  <c r="I35" i="6" s="1"/>
  <c r="H80" i="7" a="1"/>
  <c r="H80" i="7" s="1"/>
  <c r="H63" i="6" a="1"/>
  <c r="H63" i="6" s="1"/>
  <c r="I62" i="6"/>
  <c r="H74" i="9" a="1"/>
  <c r="H74" i="9" s="1"/>
  <c r="H80" i="9" a="1"/>
  <c r="H80" i="9" s="1"/>
  <c r="H79" i="9" a="1"/>
  <c r="H79" i="9" s="1"/>
  <c r="I71" i="9"/>
  <c r="H73" i="9" a="1"/>
  <c r="H73" i="9" s="1"/>
  <c r="H75" i="9" a="1"/>
  <c r="H75" i="9" s="1"/>
  <c r="H82" i="9" a="1"/>
  <c r="H82" i="9" s="1"/>
  <c r="H90" i="7" a="1"/>
  <c r="H90" i="7" s="1"/>
  <c r="K48" i="5"/>
  <c r="J2" i="5" a="1"/>
  <c r="H81" i="7" a="1"/>
  <c r="H81" i="7" s="1"/>
  <c r="H72" i="7" a="1"/>
  <c r="H72" i="7" s="1"/>
  <c r="I75" i="6" a="1"/>
  <c r="I75" i="6" s="1"/>
  <c r="I73" i="6" a="1"/>
  <c r="I73" i="6" s="1"/>
  <c r="J71" i="6"/>
  <c r="I83" i="6" a="1"/>
  <c r="I83" i="6" s="1"/>
  <c r="I82" i="6" a="1"/>
  <c r="I82" i="6" s="1"/>
  <c r="I74" i="6" a="1"/>
  <c r="I74" i="6" s="1"/>
  <c r="I81" i="6" a="1"/>
  <c r="I81" i="6" s="1"/>
  <c r="H89" i="7" a="1"/>
  <c r="H89" i="7" s="1"/>
  <c r="K115" i="5"/>
  <c r="I80" i="7" a="1"/>
  <c r="I80" i="7" s="1"/>
  <c r="I79" i="7" a="1"/>
  <c r="I79" i="7" s="1"/>
  <c r="I75" i="7" a="1"/>
  <c r="I75" i="7" s="1"/>
  <c r="I71" i="7" a="1"/>
  <c r="I71" i="7" s="1"/>
  <c r="I76" i="7" a="1"/>
  <c r="I76" i="7" s="1"/>
  <c r="I70" i="7" a="1"/>
  <c r="I70" i="7" s="1"/>
  <c r="I81" i="7" a="1"/>
  <c r="I81" i="7" s="1"/>
  <c r="I78" i="7" a="1"/>
  <c r="I78" i="7" s="1"/>
  <c r="I69" i="7" a="1"/>
  <c r="I69" i="7" s="1"/>
  <c r="I77" i="7" a="1"/>
  <c r="I77" i="7" s="1"/>
  <c r="I73" i="7" a="1"/>
  <c r="I73" i="7" s="1"/>
  <c r="I82" i="7" a="1"/>
  <c r="I82" i="7" s="1"/>
  <c r="I68" i="7" a="1"/>
  <c r="I68" i="7" s="1"/>
  <c r="I72" i="7" a="1"/>
  <c r="I72" i="7" s="1"/>
  <c r="I74" i="7" a="1"/>
  <c r="I74" i="7" s="1"/>
  <c r="J67" i="7"/>
  <c r="I90" i="7" a="1"/>
  <c r="I90" i="7" s="1"/>
  <c r="J85" i="7"/>
  <c r="I99" i="7" a="1"/>
  <c r="I99" i="7" s="1"/>
  <c r="I103" i="7" a="1"/>
  <c r="I103" i="7" s="1"/>
  <c r="I97" i="7" a="1"/>
  <c r="I97" i="7" s="1"/>
  <c r="I102" i="7" a="1"/>
  <c r="I102" i="7" s="1"/>
  <c r="I98" i="7" a="1"/>
  <c r="I98" i="7" s="1"/>
  <c r="I94" i="7" a="1"/>
  <c r="I94" i="7" s="1"/>
  <c r="I91" i="7" a="1"/>
  <c r="I91" i="7" s="1"/>
  <c r="I88" i="7" a="1"/>
  <c r="I88" i="7" s="1"/>
  <c r="I92" i="7" a="1"/>
  <c r="I92" i="7" s="1"/>
  <c r="I101" i="7" a="1"/>
  <c r="I101" i="7" s="1"/>
  <c r="I87" i="7" a="1"/>
  <c r="I87" i="7" s="1"/>
  <c r="I93" i="7" a="1"/>
  <c r="I93" i="7" s="1"/>
  <c r="I95" i="7" a="1"/>
  <c r="I95" i="7" s="1"/>
  <c r="I89" i="7" a="1"/>
  <c r="I89" i="7" s="1"/>
  <c r="I112" i="7" a="1"/>
  <c r="I112" i="7" s="1"/>
  <c r="I111" i="7" a="1"/>
  <c r="I111" i="7" s="1"/>
  <c r="J110" i="7"/>
  <c r="H68" i="7" a="1"/>
  <c r="H68" i="7" s="1"/>
  <c r="J17" i="9" a="1"/>
  <c r="J17" i="9" s="1"/>
  <c r="K16" i="9"/>
  <c r="H102" i="7" a="1"/>
  <c r="H102" i="7" s="1"/>
  <c r="H91" i="7" a="1"/>
  <c r="H91" i="7" s="1"/>
  <c r="H95" i="7" a="1"/>
  <c r="H95" i="7" s="1"/>
  <c r="G9" i="7"/>
  <c r="G3" i="7"/>
  <c r="G8" i="7"/>
  <c r="G2" i="7"/>
  <c r="G5" i="7"/>
  <c r="G4" i="7"/>
  <c r="G7" i="7"/>
  <c r="G6" i="7"/>
  <c r="J67" i="6" a="1"/>
  <c r="J67" i="6" s="1"/>
  <c r="K66" i="6"/>
  <c r="I66" i="9"/>
  <c r="H67" i="9" a="1"/>
  <c r="H67" i="9" s="1"/>
  <c r="H68" i="9" a="1"/>
  <c r="H68" i="9" s="1"/>
  <c r="H97" i="7" a="1"/>
  <c r="H97" i="7" s="1"/>
  <c r="H82" i="7" a="1"/>
  <c r="H82" i="7" s="1"/>
  <c r="I68" i="6" a="1"/>
  <c r="I68" i="6" s="1"/>
  <c r="H54" i="6" a="1"/>
  <c r="H54" i="6" s="1"/>
  <c r="H47" i="6" a="1"/>
  <c r="H47" i="6" s="1"/>
  <c r="H59" i="6" a="1"/>
  <c r="H59" i="6" s="1"/>
  <c r="H53" i="6" a="1"/>
  <c r="H53" i="6" s="1"/>
  <c r="H51" i="6" a="1"/>
  <c r="H51" i="6" s="1"/>
  <c r="H45" i="6" a="1"/>
  <c r="H45" i="6" s="1"/>
  <c r="H50" i="6" a="1"/>
  <c r="H50" i="6" s="1"/>
  <c r="H46" i="6" a="1"/>
  <c r="H46" i="6" s="1"/>
  <c r="I41" i="6"/>
  <c r="H58" i="6" a="1"/>
  <c r="H58" i="6" s="1"/>
  <c r="H55" i="6" a="1"/>
  <c r="H55" i="6" s="1"/>
  <c r="H57" i="6" a="1"/>
  <c r="H57" i="6" s="1"/>
  <c r="H49" i="6" a="1"/>
  <c r="H49" i="6" s="1"/>
  <c r="H44" i="6" a="1"/>
  <c r="H44" i="6" s="1"/>
  <c r="H48" i="6" a="1"/>
  <c r="H48" i="6" s="1"/>
  <c r="H43" i="6" a="1"/>
  <c r="H43" i="6" s="1"/>
  <c r="H69" i="7" a="1"/>
  <c r="H69" i="7" s="1"/>
  <c r="H99" i="7" a="1"/>
  <c r="H99" i="7" s="1"/>
  <c r="H73" i="7" a="1"/>
  <c r="H73" i="7" s="1"/>
  <c r="H74" i="7" a="1"/>
  <c r="H74" i="7" s="1"/>
  <c r="H116" i="7" a="1"/>
  <c r="H116" i="7" s="1"/>
  <c r="H119" i="7" a="1"/>
  <c r="H119" i="7" s="1"/>
  <c r="H118" i="7" a="1"/>
  <c r="H118" i="7" s="1"/>
  <c r="I115" i="7"/>
  <c r="H117" i="7" a="1"/>
  <c r="H117" i="7" s="1"/>
  <c r="L106" i="5"/>
  <c r="H87" i="7" a="1"/>
  <c r="H87" i="7" s="1"/>
  <c r="J4" i="6"/>
  <c r="I12" i="6" a="1"/>
  <c r="I12" i="6" s="1"/>
  <c r="I8" i="6" a="1"/>
  <c r="I8" i="6" s="1"/>
  <c r="I18" i="6" a="1"/>
  <c r="I18" i="6" s="1"/>
  <c r="I13" i="6" a="1"/>
  <c r="I13" i="6" s="1"/>
  <c r="I5" i="6" a="1"/>
  <c r="I5" i="6" s="1"/>
  <c r="I17" i="6" a="1"/>
  <c r="I17" i="6" s="1"/>
  <c r="I6" i="6" a="1"/>
  <c r="I6" i="6" s="1"/>
  <c r="I19" i="6" a="1"/>
  <c r="I19" i="6" s="1"/>
  <c r="I20" i="6" a="1"/>
  <c r="I20" i="6" s="1"/>
  <c r="I10" i="6" a="1"/>
  <c r="I10" i="6" s="1"/>
  <c r="I9" i="6" a="1"/>
  <c r="I9" i="6" s="1"/>
  <c r="I7" i="6" a="1"/>
  <c r="I7" i="6" s="1"/>
  <c r="I11" i="6" a="1"/>
  <c r="I11" i="6" s="1"/>
  <c r="I67" i="5"/>
  <c r="H77" i="7" a="1"/>
  <c r="H77" i="7" s="1"/>
  <c r="H98" i="7" a="1"/>
  <c r="H98" i="7" s="1"/>
  <c r="H61" i="7" a="1"/>
  <c r="H61" i="7" s="1"/>
  <c r="H64" i="7" a="1"/>
  <c r="H64" i="7" s="1"/>
  <c r="H62" i="7" a="1"/>
  <c r="H62" i="7" s="1"/>
  <c r="I60" i="7"/>
  <c r="H63" i="7" a="1"/>
  <c r="H63" i="7" s="1"/>
  <c r="H92" i="7" a="1"/>
  <c r="H92" i="7" s="1"/>
  <c r="H79" i="7" a="1"/>
  <c r="H79" i="7" s="1"/>
  <c r="I5" i="5"/>
  <c r="I4" i="5"/>
  <c r="I3" i="5"/>
  <c r="I2" i="5"/>
  <c r="I7" i="5"/>
  <c r="I9" i="5"/>
  <c r="I6" i="5"/>
  <c r="I8" i="5"/>
  <c r="I60" i="5"/>
  <c r="H112" i="7" a="1"/>
  <c r="H112" i="7" s="1"/>
  <c r="I10" i="9" a="1"/>
  <c r="I10" i="9" s="1"/>
  <c r="J4" i="9"/>
  <c r="I9" i="9" a="1"/>
  <c r="I9" i="9" s="1"/>
  <c r="I7" i="9" a="1"/>
  <c r="I7" i="9" s="1"/>
  <c r="I13" i="9" a="1"/>
  <c r="I13" i="9" s="1"/>
  <c r="I11" i="9" a="1"/>
  <c r="I11" i="9" s="1"/>
  <c r="I5" i="9" a="1"/>
  <c r="I5" i="9" s="1"/>
  <c r="I8" i="9" a="1"/>
  <c r="I8" i="9" s="1"/>
  <c r="I6" i="9" a="1"/>
  <c r="I6" i="9" s="1"/>
  <c r="I12" i="9" a="1"/>
  <c r="I12" i="9" s="1"/>
  <c r="I63" i="9" a="1"/>
  <c r="I63" i="9" s="1"/>
  <c r="H101" i="7" a="1"/>
  <c r="H101" i="7" s="1"/>
  <c r="J110" i="5"/>
  <c r="H78" i="7" a="1"/>
  <c r="H78" i="7" s="1"/>
  <c r="L85" i="5"/>
  <c r="H111" i="7" a="1"/>
  <c r="H111" i="7" s="1"/>
  <c r="M62" i="9"/>
  <c r="H76" i="7" a="1"/>
  <c r="H76" i="7" s="1"/>
  <c r="H88" i="7" a="1"/>
  <c r="H88" i="7" s="1"/>
  <c r="H70" i="7" a="1"/>
  <c r="H70" i="7" s="1"/>
  <c r="N106" i="7"/>
  <c r="G30" i="7"/>
  <c r="G24" i="7"/>
  <c r="G26" i="7"/>
  <c r="G29" i="7"/>
  <c r="G28" i="7"/>
  <c r="G27" i="7"/>
  <c r="G25" i="7"/>
  <c r="G23" i="7"/>
  <c r="H94" i="7" a="1"/>
  <c r="H94" i="7" s="1"/>
  <c r="H34" i="9" a="1"/>
  <c r="H34" i="9" s="1"/>
  <c r="H38" i="9" a="1"/>
  <c r="H38" i="9" s="1"/>
  <c r="H33" i="9" a="1"/>
  <c r="H33" i="9" s="1"/>
  <c r="H35" i="9" a="1"/>
  <c r="H35" i="9" s="1"/>
  <c r="H36" i="9" a="1"/>
  <c r="H36" i="9" s="1"/>
  <c r="I23" i="9"/>
  <c r="H37" i="9" a="1"/>
  <c r="H37" i="9" s="1"/>
  <c r="H71" i="7" a="1"/>
  <c r="H71" i="7" s="1"/>
  <c r="CE67" i="5" l="1"/>
  <c r="CH106" i="5"/>
  <c r="CE85" i="5"/>
  <c r="CD60" i="5"/>
  <c r="CD110" i="5"/>
  <c r="CC2" i="5" a="1"/>
  <c r="CD48" i="5"/>
  <c r="CB6" i="5"/>
  <c r="CB5" i="5"/>
  <c r="CB4" i="5"/>
  <c r="CB2" i="5"/>
  <c r="CB9" i="5"/>
  <c r="CB8" i="5"/>
  <c r="CB7" i="5"/>
  <c r="CB3" i="5"/>
  <c r="CD115" i="5"/>
  <c r="AT60" i="5"/>
  <c r="AU85" i="5"/>
  <c r="AT67" i="5"/>
  <c r="AT115" i="5"/>
  <c r="AT106" i="5"/>
  <c r="AY11" i="5"/>
  <c r="AR7" i="5"/>
  <c r="AR6" i="5"/>
  <c r="AR5" i="5"/>
  <c r="AR4" i="5"/>
  <c r="AR9" i="5"/>
  <c r="AR8" i="5"/>
  <c r="AR3" i="5"/>
  <c r="AR2" i="5"/>
  <c r="AT110" i="5"/>
  <c r="AS2" i="5" a="1"/>
  <c r="AT48" i="5"/>
  <c r="K110" i="7"/>
  <c r="J90" i="7" a="1"/>
  <c r="J90" i="7" s="1"/>
  <c r="J89" i="7" a="1"/>
  <c r="J89" i="7" s="1"/>
  <c r="J103" i="7" a="1"/>
  <c r="J103" i="7" s="1"/>
  <c r="J87" i="7" a="1"/>
  <c r="J87" i="7" s="1"/>
  <c r="J88" i="7" a="1"/>
  <c r="J88" i="7" s="1"/>
  <c r="J99" i="7" a="1"/>
  <c r="J99" i="7" s="1"/>
  <c r="J97" i="7" a="1"/>
  <c r="J97" i="7" s="1"/>
  <c r="K85" i="7"/>
  <c r="J74" i="6" a="1"/>
  <c r="J74" i="6" s="1"/>
  <c r="K71" i="6"/>
  <c r="J83" i="6" a="1"/>
  <c r="J83" i="6" s="1"/>
  <c r="J82" i="6" a="1"/>
  <c r="J82" i="6" s="1"/>
  <c r="J75" i="6" a="1"/>
  <c r="J75" i="6" s="1"/>
  <c r="J73" i="6" a="1"/>
  <c r="J73" i="6" s="1"/>
  <c r="I53" i="9" a="1"/>
  <c r="I53" i="9" s="1"/>
  <c r="I58" i="9" a="1"/>
  <c r="I58" i="9" s="1"/>
  <c r="I59" i="9" a="1"/>
  <c r="I59" i="9" s="1"/>
  <c r="I50" i="9" a="1"/>
  <c r="I50" i="9" s="1"/>
  <c r="I54" i="9" a="1"/>
  <c r="I54" i="9" s="1"/>
  <c r="I43" i="9" a="1"/>
  <c r="I43" i="9" s="1"/>
  <c r="I47" i="9" a="1"/>
  <c r="I47" i="9" s="1"/>
  <c r="I57" i="9" a="1"/>
  <c r="I57" i="9" s="1"/>
  <c r="I44" i="9" a="1"/>
  <c r="I44" i="9" s="1"/>
  <c r="I49" i="9" a="1"/>
  <c r="I49" i="9" s="1"/>
  <c r="I55" i="9" a="1"/>
  <c r="I55" i="9" s="1"/>
  <c r="I48" i="9" a="1"/>
  <c r="I48" i="9" s="1"/>
  <c r="I46" i="9" a="1"/>
  <c r="I46" i="9" s="1"/>
  <c r="I45" i="9" a="1"/>
  <c r="I45" i="9" s="1"/>
  <c r="I51" i="9" a="1"/>
  <c r="I51" i="9" s="1"/>
  <c r="J41" i="9"/>
  <c r="J76" i="7" a="1"/>
  <c r="J76" i="7" s="1"/>
  <c r="J77" i="7" a="1"/>
  <c r="J77" i="7" s="1"/>
  <c r="J69" i="7" a="1"/>
  <c r="J69" i="7" s="1"/>
  <c r="J78" i="7" a="1"/>
  <c r="J78" i="7" s="1"/>
  <c r="K67" i="7"/>
  <c r="J73" i="7" a="1"/>
  <c r="J73" i="7" s="1"/>
  <c r="J72" i="7" a="1"/>
  <c r="J72" i="7" s="1"/>
  <c r="L115" i="5"/>
  <c r="I80" i="9" a="1"/>
  <c r="I80" i="9" s="1"/>
  <c r="I79" i="9" a="1"/>
  <c r="I79" i="9" s="1"/>
  <c r="I75" i="9" a="1"/>
  <c r="I75" i="9" s="1"/>
  <c r="I82" i="9" a="1"/>
  <c r="I82" i="9" s="1"/>
  <c r="I73" i="9" a="1"/>
  <c r="I73" i="9" s="1"/>
  <c r="I74" i="9" a="1"/>
  <c r="I74" i="9" s="1"/>
  <c r="J71" i="9"/>
  <c r="J9" i="9" a="1"/>
  <c r="J9" i="9" s="1"/>
  <c r="K4" i="9"/>
  <c r="K19" i="9" s="1" a="1"/>
  <c r="K19" i="9" s="1"/>
  <c r="J7" i="9" a="1"/>
  <c r="J7" i="9" s="1"/>
  <c r="J13" i="9" a="1"/>
  <c r="J13" i="9" s="1"/>
  <c r="J11" i="9" a="1"/>
  <c r="J11" i="9" s="1"/>
  <c r="J6" i="9" a="1"/>
  <c r="J6" i="9" s="1"/>
  <c r="J10" i="9" a="1"/>
  <c r="J10" i="9" s="1"/>
  <c r="J5" i="9" a="1"/>
  <c r="J5" i="9" s="1"/>
  <c r="J12" i="9" a="1"/>
  <c r="J12" i="9" s="1"/>
  <c r="J8" i="9" a="1"/>
  <c r="J8" i="9" s="1"/>
  <c r="J63" i="9" a="1"/>
  <c r="J63" i="9" s="1"/>
  <c r="O106" i="7"/>
  <c r="J12" i="6" a="1"/>
  <c r="J12" i="6" s="1"/>
  <c r="J19" i="6" a="1"/>
  <c r="J19" i="6" s="1"/>
  <c r="J17" i="6" a="1"/>
  <c r="J17" i="6" s="1"/>
  <c r="J11" i="6" a="1"/>
  <c r="J11" i="6" s="1"/>
  <c r="J18" i="6" a="1"/>
  <c r="J18" i="6" s="1"/>
  <c r="J10" i="6" a="1"/>
  <c r="J10" i="6" s="1"/>
  <c r="J5" i="6" a="1"/>
  <c r="J5" i="6" s="1"/>
  <c r="J9" i="6" a="1"/>
  <c r="J9" i="6" s="1"/>
  <c r="K4" i="6"/>
  <c r="K68" i="6" s="1" a="1"/>
  <c r="K68" i="6" s="1"/>
  <c r="J20" i="6" a="1"/>
  <c r="J20" i="6" s="1"/>
  <c r="J6" i="6" a="1"/>
  <c r="J6" i="6" s="1"/>
  <c r="J13" i="6" a="1"/>
  <c r="J13" i="6" s="1"/>
  <c r="J8" i="6" a="1"/>
  <c r="J8" i="6" s="1"/>
  <c r="J7" i="6" a="1"/>
  <c r="J7" i="6" s="1"/>
  <c r="J37" i="6" a="1"/>
  <c r="J37" i="6" s="1"/>
  <c r="J38" i="6" a="1"/>
  <c r="J38" i="6" s="1"/>
  <c r="J35" i="6" a="1"/>
  <c r="J35" i="6" s="1"/>
  <c r="K23" i="6"/>
  <c r="J36" i="6" a="1"/>
  <c r="J36" i="6" s="1"/>
  <c r="J62" i="6"/>
  <c r="I63" i="6" a="1"/>
  <c r="I63" i="6" s="1"/>
  <c r="H5" i="7"/>
  <c r="H4" i="7"/>
  <c r="H2" i="7"/>
  <c r="H8" i="7"/>
  <c r="H7" i="7"/>
  <c r="H6" i="7"/>
  <c r="H3" i="7"/>
  <c r="H9" i="7"/>
  <c r="H26" i="7"/>
  <c r="H23" i="7"/>
  <c r="H30" i="7"/>
  <c r="H29" i="7"/>
  <c r="H28" i="7"/>
  <c r="H27" i="7"/>
  <c r="H25" i="7"/>
  <c r="H24" i="7"/>
  <c r="N62" i="9"/>
  <c r="K110" i="5"/>
  <c r="I38" i="9" a="1"/>
  <c r="I38" i="9" s="1"/>
  <c r="I33" i="9" a="1"/>
  <c r="I33" i="9" s="1"/>
  <c r="I35" i="9" a="1"/>
  <c r="I35" i="9" s="1"/>
  <c r="I36" i="9" a="1"/>
  <c r="I36" i="9" s="1"/>
  <c r="J23" i="9"/>
  <c r="I34" i="9" a="1"/>
  <c r="I34" i="9" s="1"/>
  <c r="I37" i="9" a="1"/>
  <c r="I37" i="9" s="1"/>
  <c r="J60" i="5"/>
  <c r="M106" i="5"/>
  <c r="J20" i="9" a="1"/>
  <c r="J20" i="9" s="1"/>
  <c r="I62" i="7" a="1"/>
  <c r="I62" i="7" s="1"/>
  <c r="J60" i="7"/>
  <c r="I64" i="7" a="1"/>
  <c r="I64" i="7" s="1"/>
  <c r="I61" i="7" a="1"/>
  <c r="I61" i="7" s="1"/>
  <c r="I63" i="7" a="1"/>
  <c r="I63" i="7" s="1"/>
  <c r="I68" i="9" a="1"/>
  <c r="I68" i="9" s="1"/>
  <c r="J66" i="9"/>
  <c r="I67" i="9" a="1"/>
  <c r="I67" i="9" s="1"/>
  <c r="L16" i="9"/>
  <c r="K18" i="9" a="1"/>
  <c r="K18" i="9" s="1"/>
  <c r="K17" i="9" a="1"/>
  <c r="K17" i="9" s="1"/>
  <c r="K20" i="9" a="1"/>
  <c r="K20" i="9" s="1"/>
  <c r="M85" i="5"/>
  <c r="J67" i="5"/>
  <c r="J7" i="5"/>
  <c r="J9" i="5"/>
  <c r="J8" i="5"/>
  <c r="J2" i="5"/>
  <c r="J4" i="5"/>
  <c r="J3" i="5"/>
  <c r="J6" i="5"/>
  <c r="J5" i="5"/>
  <c r="J115" i="7"/>
  <c r="I116" i="7" a="1"/>
  <c r="I116" i="7" s="1"/>
  <c r="I119" i="7" a="1"/>
  <c r="I119" i="7" s="1"/>
  <c r="I117" i="7" a="1"/>
  <c r="I117" i="7" s="1"/>
  <c r="I118" i="7" a="1"/>
  <c r="I118" i="7" s="1"/>
  <c r="I53" i="6" a="1"/>
  <c r="I53" i="6" s="1"/>
  <c r="I59" i="6" a="1"/>
  <c r="I59" i="6" s="1"/>
  <c r="I47" i="6" a="1"/>
  <c r="I47" i="6" s="1"/>
  <c r="I45" i="6" a="1"/>
  <c r="I45" i="6" s="1"/>
  <c r="I51" i="6" a="1"/>
  <c r="I51" i="6" s="1"/>
  <c r="I50" i="6" a="1"/>
  <c r="I50" i="6" s="1"/>
  <c r="I54" i="6" a="1"/>
  <c r="I54" i="6" s="1"/>
  <c r="I58" i="6" a="1"/>
  <c r="I58" i="6" s="1"/>
  <c r="J41" i="6"/>
  <c r="I55" i="6" a="1"/>
  <c r="I55" i="6" s="1"/>
  <c r="I49" i="6" a="1"/>
  <c r="I49" i="6" s="1"/>
  <c r="I44" i="6" a="1"/>
  <c r="I44" i="6" s="1"/>
  <c r="I43" i="6" a="1"/>
  <c r="I43" i="6" s="1"/>
  <c r="I48" i="6" a="1"/>
  <c r="I48" i="6" s="1"/>
  <c r="I46" i="6" a="1"/>
  <c r="I46" i="6" s="1"/>
  <c r="I57" i="6" a="1"/>
  <c r="I57" i="6" s="1"/>
  <c r="K67" i="6" a="1"/>
  <c r="K67" i="6" s="1"/>
  <c r="L66" i="6"/>
  <c r="J19" i="9" a="1"/>
  <c r="J19" i="9" s="1"/>
  <c r="J48" i="7"/>
  <c r="J92" i="7" s="1" a="1"/>
  <c r="J92" i="7" s="1"/>
  <c r="I53" i="7" a="1"/>
  <c r="I53" i="7" s="1"/>
  <c r="I52" i="7" a="1"/>
  <c r="I52" i="7" s="1"/>
  <c r="I54" i="7" a="1"/>
  <c r="I54" i="7" s="1"/>
  <c r="I49" i="7" a="1"/>
  <c r="I49" i="7" s="1"/>
  <c r="I55" i="7" a="1"/>
  <c r="I55" i="7" s="1"/>
  <c r="I23" i="7" a="1"/>
  <c r="I51" i="7" a="1"/>
  <c r="I51" i="7" s="1"/>
  <c r="I56" i="7" a="1"/>
  <c r="I56" i="7" s="1"/>
  <c r="I57" i="7" a="1"/>
  <c r="I57" i="7" s="1"/>
  <c r="I2" i="7" a="1"/>
  <c r="I50" i="7" a="1"/>
  <c r="I50" i="7" s="1"/>
  <c r="I107" i="7" a="1"/>
  <c r="I107" i="7" s="1"/>
  <c r="J68" i="6" a="1"/>
  <c r="J68" i="6" s="1"/>
  <c r="J18" i="9" a="1"/>
  <c r="J18" i="9" s="1"/>
  <c r="L48" i="5"/>
  <c r="K2" i="5" a="1"/>
  <c r="CD89" i="5" l="1" a="1"/>
  <c r="CD89" i="5" s="1"/>
  <c r="CD94" i="5" a="1"/>
  <c r="CD94" i="5" s="1"/>
  <c r="BW88" i="5" a="1"/>
  <c r="BW88" i="5" s="1"/>
  <c r="BW103" i="5" a="1"/>
  <c r="BW103" i="5" s="1"/>
  <c r="BW90" i="5" a="1"/>
  <c r="BW90" i="5" s="1"/>
  <c r="BW98" i="5" a="1"/>
  <c r="BW98" i="5" s="1"/>
  <c r="BX98" i="5" a="1"/>
  <c r="BX98" i="5" s="1"/>
  <c r="BW94" i="5" a="1"/>
  <c r="BW94" i="5" s="1"/>
  <c r="BW102" i="5" a="1"/>
  <c r="BW102" i="5" s="1"/>
  <c r="BW91" i="5" a="1"/>
  <c r="BW91" i="5" s="1"/>
  <c r="BX89" i="5" a="1"/>
  <c r="BX89" i="5" s="1"/>
  <c r="BW92" i="5" a="1"/>
  <c r="BW92" i="5" s="1"/>
  <c r="BW101" i="5" a="1"/>
  <c r="BW101" i="5" s="1"/>
  <c r="BW97" i="5" a="1"/>
  <c r="BW97" i="5" s="1"/>
  <c r="BX91" i="5" a="1"/>
  <c r="BX91" i="5" s="1"/>
  <c r="BX90" i="5" a="1"/>
  <c r="BX90" i="5" s="1"/>
  <c r="BW99" i="5" a="1"/>
  <c r="BW99" i="5" s="1"/>
  <c r="BX94" i="5" a="1"/>
  <c r="BX94" i="5" s="1"/>
  <c r="BX99" i="5" a="1"/>
  <c r="BX99" i="5" s="1"/>
  <c r="BX95" i="5" a="1"/>
  <c r="BX95" i="5" s="1"/>
  <c r="BY89" i="5" a="1"/>
  <c r="BY89" i="5" s="1"/>
  <c r="BX93" i="5" a="1"/>
  <c r="BX93" i="5" s="1"/>
  <c r="BZ102" i="5" a="1"/>
  <c r="BZ102" i="5" s="1"/>
  <c r="BY90" i="5" a="1"/>
  <c r="BY90" i="5" s="1"/>
  <c r="BZ91" i="5" a="1"/>
  <c r="BZ91" i="5" s="1"/>
  <c r="BY103" i="5" a="1"/>
  <c r="BY103" i="5" s="1"/>
  <c r="BZ99" i="5" a="1"/>
  <c r="BZ99" i="5" s="1"/>
  <c r="BY99" i="5" a="1"/>
  <c r="BY99" i="5" s="1"/>
  <c r="BZ92" i="5" a="1"/>
  <c r="BZ92" i="5" s="1"/>
  <c r="BY91" i="5" a="1"/>
  <c r="BY91" i="5" s="1"/>
  <c r="BZ93" i="5" a="1"/>
  <c r="BZ93" i="5" s="1"/>
  <c r="BY87" i="5" a="1"/>
  <c r="BY87" i="5" s="1"/>
  <c r="BY93" i="5" a="1"/>
  <c r="BY93" i="5" s="1"/>
  <c r="BZ101" i="5" a="1"/>
  <c r="BZ101" i="5" s="1"/>
  <c r="BZ89" i="5" a="1"/>
  <c r="BZ89" i="5" s="1"/>
  <c r="BY97" i="5" a="1"/>
  <c r="BY97" i="5" s="1"/>
  <c r="BY98" i="5" a="1"/>
  <c r="BY98" i="5" s="1"/>
  <c r="BZ90" i="5" a="1"/>
  <c r="BZ90" i="5" s="1"/>
  <c r="BZ94" i="5" a="1"/>
  <c r="BZ94" i="5" s="1"/>
  <c r="BZ95" i="5" a="1"/>
  <c r="BZ95" i="5" s="1"/>
  <c r="CA95" i="5" a="1"/>
  <c r="CA95" i="5" s="1"/>
  <c r="CA102" i="5" a="1"/>
  <c r="CA102" i="5" s="1"/>
  <c r="CA91" i="5" a="1"/>
  <c r="CA91" i="5" s="1"/>
  <c r="CB94" i="5" a="1"/>
  <c r="CB94" i="5" s="1"/>
  <c r="CB93" i="5" a="1"/>
  <c r="CB93" i="5" s="1"/>
  <c r="CB101" i="5" a="1"/>
  <c r="CB101" i="5" s="1"/>
  <c r="CA93" i="5" a="1"/>
  <c r="CA93" i="5" s="1"/>
  <c r="CA89" i="5" a="1"/>
  <c r="CA89" i="5" s="1"/>
  <c r="CA94" i="5" a="1"/>
  <c r="CA94" i="5" s="1"/>
  <c r="CA101" i="5" a="1"/>
  <c r="CA101" i="5" s="1"/>
  <c r="CA90" i="5" a="1"/>
  <c r="CA90" i="5" s="1"/>
  <c r="CB87" i="5" a="1"/>
  <c r="CB87" i="5" s="1"/>
  <c r="CB91" i="5" a="1"/>
  <c r="CB91" i="5" s="1"/>
  <c r="CA88" i="5" a="1"/>
  <c r="CA88" i="5" s="1"/>
  <c r="CA87" i="5" a="1"/>
  <c r="CA87" i="5" s="1"/>
  <c r="CA97" i="5" a="1"/>
  <c r="CA97" i="5" s="1"/>
  <c r="CB103" i="5" a="1"/>
  <c r="CB103" i="5" s="1"/>
  <c r="CB102" i="5" a="1"/>
  <c r="CB102" i="5" s="1"/>
  <c r="CB88" i="5" a="1"/>
  <c r="CB88" i="5" s="1"/>
  <c r="CB90" i="5" a="1"/>
  <c r="CB90" i="5" s="1"/>
  <c r="CB97" i="5" a="1"/>
  <c r="CB97" i="5" s="1"/>
  <c r="CB89" i="5" a="1"/>
  <c r="CB89" i="5" s="1"/>
  <c r="CC90" i="5" a="1"/>
  <c r="CC90" i="5" s="1"/>
  <c r="CC95" i="5" a="1"/>
  <c r="CC95" i="5" s="1"/>
  <c r="CC97" i="5" a="1"/>
  <c r="CC97" i="5" s="1"/>
  <c r="CD101" i="5" a="1"/>
  <c r="CD101" i="5" s="1"/>
  <c r="CC88" i="5" a="1"/>
  <c r="CC88" i="5" s="1"/>
  <c r="CC93" i="5" a="1"/>
  <c r="CC93" i="5" s="1"/>
  <c r="CC101" i="5" a="1"/>
  <c r="CC101" i="5" s="1"/>
  <c r="CD87" i="5" a="1"/>
  <c r="CD87" i="5" s="1"/>
  <c r="CC98" i="5" a="1"/>
  <c r="CC98" i="5" s="1"/>
  <c r="CD92" i="5" a="1"/>
  <c r="CD92" i="5" s="1"/>
  <c r="CC99" i="5" a="1"/>
  <c r="CC99" i="5" s="1"/>
  <c r="CC102" i="5" a="1"/>
  <c r="CC102" i="5" s="1"/>
  <c r="CE94" i="5" a="1"/>
  <c r="CE94" i="5" s="1"/>
  <c r="CF85" i="5"/>
  <c r="CD95" i="5" a="1"/>
  <c r="CD95" i="5" s="1"/>
  <c r="CC3" i="5"/>
  <c r="CC2" i="5"/>
  <c r="CC6" i="5"/>
  <c r="CC9" i="5"/>
  <c r="CC8" i="5"/>
  <c r="CC7" i="5"/>
  <c r="CC5" i="5"/>
  <c r="CC4" i="5"/>
  <c r="CE110" i="5"/>
  <c r="CE60" i="5"/>
  <c r="CE48" i="5"/>
  <c r="CE97" i="5" s="1" a="1"/>
  <c r="CE97" i="5" s="1"/>
  <c r="CD2" i="5" a="1"/>
  <c r="CD91" i="5" a="1"/>
  <c r="CD91" i="5" s="1"/>
  <c r="CF67" i="5"/>
  <c r="CE115" i="5"/>
  <c r="CD103" i="5" a="1"/>
  <c r="CD103" i="5" s="1"/>
  <c r="CI106" i="5"/>
  <c r="AS4" i="5"/>
  <c r="AS3" i="5"/>
  <c r="AS2" i="5"/>
  <c r="AS7" i="5"/>
  <c r="AS9" i="5"/>
  <c r="AS6" i="5"/>
  <c r="AS8" i="5"/>
  <c r="AS5" i="5"/>
  <c r="AZ11" i="5"/>
  <c r="CC87" i="5" s="1" a="1"/>
  <c r="CC87" i="5" s="1"/>
  <c r="AM88" i="5" a="1"/>
  <c r="AM88" i="5" s="1"/>
  <c r="AM102" i="5" a="1"/>
  <c r="AM102" i="5" s="1"/>
  <c r="AN93" i="5" a="1"/>
  <c r="AN93" i="5" s="1"/>
  <c r="AM103" i="5" a="1"/>
  <c r="AM103" i="5" s="1"/>
  <c r="AM93" i="5" a="1"/>
  <c r="AM93" i="5" s="1"/>
  <c r="AN87" i="5" a="1"/>
  <c r="AN87" i="5" s="1"/>
  <c r="AM98" i="5" a="1"/>
  <c r="AM98" i="5" s="1"/>
  <c r="E92" i="5" a="1"/>
  <c r="E92" i="5" s="1"/>
  <c r="F97" i="5" a="1"/>
  <c r="F97" i="5" s="1"/>
  <c r="E91" i="5" a="1"/>
  <c r="E91" i="5" s="1"/>
  <c r="D99" i="5" a="1"/>
  <c r="D99" i="5" s="1"/>
  <c r="C92" i="5" a="1"/>
  <c r="C92" i="5" s="1"/>
  <c r="F92" i="5" a="1"/>
  <c r="F92" i="5" s="1"/>
  <c r="F101" i="5" a="1"/>
  <c r="F101" i="5" s="1"/>
  <c r="F95" i="5" a="1"/>
  <c r="F95" i="5" s="1"/>
  <c r="E90" i="5" a="1"/>
  <c r="E90" i="5" s="1"/>
  <c r="F93" i="5" a="1"/>
  <c r="F93" i="5" s="1"/>
  <c r="C98" i="5" a="1"/>
  <c r="C98" i="5" s="1"/>
  <c r="AO101" i="5" a="1"/>
  <c r="AO101" i="5" s="1"/>
  <c r="F94" i="5" a="1"/>
  <c r="F94" i="5" s="1"/>
  <c r="C101" i="5" a="1"/>
  <c r="C101" i="5" s="1"/>
  <c r="C87" i="5" a="1"/>
  <c r="C87" i="5" s="1"/>
  <c r="E99" i="5" a="1"/>
  <c r="E99" i="5" s="1"/>
  <c r="AO103" i="5" a="1"/>
  <c r="AO103" i="5" s="1"/>
  <c r="G95" i="5" a="1"/>
  <c r="G95" i="5" s="1"/>
  <c r="AO99" i="5" a="1"/>
  <c r="AO99" i="5" s="1"/>
  <c r="AO90" i="5" a="1"/>
  <c r="AO90" i="5" s="1"/>
  <c r="G91" i="5" a="1"/>
  <c r="G91" i="5" s="1"/>
  <c r="AO93" i="5" a="1"/>
  <c r="AO93" i="5" s="1"/>
  <c r="AP103" i="5" a="1"/>
  <c r="AP103" i="5" s="1"/>
  <c r="G99" i="5" a="1"/>
  <c r="G99" i="5" s="1"/>
  <c r="AP99" i="5" a="1"/>
  <c r="AP99" i="5" s="1"/>
  <c r="AP102" i="5" a="1"/>
  <c r="AP102" i="5" s="1"/>
  <c r="H97" i="5" a="1"/>
  <c r="H97" i="5" s="1"/>
  <c r="H92" i="5" a="1"/>
  <c r="H92" i="5" s="1"/>
  <c r="AP93" i="5" a="1"/>
  <c r="AP93" i="5" s="1"/>
  <c r="AQ99" i="5" a="1"/>
  <c r="AQ99" i="5" s="1"/>
  <c r="H102" i="5" a="1"/>
  <c r="H102" i="5" s="1"/>
  <c r="AQ92" i="5" a="1"/>
  <c r="AQ92" i="5" s="1"/>
  <c r="I101" i="5" a="1"/>
  <c r="I101" i="5" s="1"/>
  <c r="I93" i="5" a="1"/>
  <c r="I93" i="5" s="1"/>
  <c r="I87" i="5" a="1"/>
  <c r="I87" i="5" s="1"/>
  <c r="I94" i="5" a="1"/>
  <c r="I94" i="5" s="1"/>
  <c r="AR101" i="5" a="1"/>
  <c r="AR101" i="5" s="1"/>
  <c r="AR91" i="5" a="1"/>
  <c r="AR91" i="5" s="1"/>
  <c r="I99" i="5" a="1"/>
  <c r="I99" i="5" s="1"/>
  <c r="AR93" i="5" a="1"/>
  <c r="AR93" i="5" s="1"/>
  <c r="J95" i="5" a="1"/>
  <c r="J95" i="5" s="1"/>
  <c r="AS91" i="5" a="1"/>
  <c r="AS91" i="5" s="1"/>
  <c r="AS89" i="5" a="1"/>
  <c r="AS89" i="5" s="1"/>
  <c r="J101" i="5" a="1"/>
  <c r="J101" i="5" s="1"/>
  <c r="AR94" i="5" a="1"/>
  <c r="AR94" i="5" s="1"/>
  <c r="AR89" i="5" a="1"/>
  <c r="AR89" i="5" s="1"/>
  <c r="K89" i="5" a="1"/>
  <c r="K89" i="5" s="1"/>
  <c r="J103" i="5" a="1"/>
  <c r="J103" i="5" s="1"/>
  <c r="AU67" i="5"/>
  <c r="AU60" i="5"/>
  <c r="AU48" i="5"/>
  <c r="AU102" i="5" s="1" a="1"/>
  <c r="AU102" i="5" s="1"/>
  <c r="AT2" i="5" a="1"/>
  <c r="AT93" i="5" a="1"/>
  <c r="AT93" i="5" s="1"/>
  <c r="AU115" i="5"/>
  <c r="AU110" i="5"/>
  <c r="AU91" i="5" a="1"/>
  <c r="AU91" i="5" s="1"/>
  <c r="AV85" i="5"/>
  <c r="AU106" i="5"/>
  <c r="K98" i="5" a="1"/>
  <c r="K98" i="5" s="1"/>
  <c r="AT92" i="5" a="1"/>
  <c r="AT92" i="5" s="1"/>
  <c r="AS97" i="5" a="1"/>
  <c r="AS97" i="5" s="1"/>
  <c r="L88" i="5" a="1"/>
  <c r="L88" i="5" s="1"/>
  <c r="L90" i="5" a="1"/>
  <c r="L90" i="5" s="1"/>
  <c r="L94" i="5" a="1"/>
  <c r="L94" i="5" s="1"/>
  <c r="L97" i="5" a="1"/>
  <c r="L97" i="5" s="1"/>
  <c r="J80" i="7" a="1"/>
  <c r="J80" i="7" s="1"/>
  <c r="J95" i="7" a="1"/>
  <c r="J95" i="7" s="1"/>
  <c r="I9" i="7"/>
  <c r="I8" i="7"/>
  <c r="I7" i="7"/>
  <c r="I2" i="7"/>
  <c r="I5" i="7"/>
  <c r="I4" i="7"/>
  <c r="I3" i="7"/>
  <c r="I6" i="7"/>
  <c r="L19" i="9" a="1"/>
  <c r="L19" i="9" s="1"/>
  <c r="M16" i="9"/>
  <c r="N16" i="9" s="1"/>
  <c r="O16" i="9" s="1"/>
  <c r="P16" i="9" s="1"/>
  <c r="Q16" i="9" s="1"/>
  <c r="R16" i="9" s="1"/>
  <c r="S16" i="9" s="1"/>
  <c r="T16" i="9" s="1"/>
  <c r="U16" i="9" s="1"/>
  <c r="V16" i="9" s="1"/>
  <c r="W16" i="9" s="1"/>
  <c r="X16" i="9" s="1"/>
  <c r="Y16" i="9" s="1"/>
  <c r="Z16" i="9" s="1"/>
  <c r="AA16" i="9" s="1"/>
  <c r="AB16" i="9" s="1"/>
  <c r="AC16" i="9" s="1"/>
  <c r="AD16" i="9" s="1"/>
  <c r="AE16" i="9" s="1"/>
  <c r="AF16" i="9" s="1"/>
  <c r="AG16" i="9" s="1"/>
  <c r="AH16" i="9" s="1"/>
  <c r="AI16" i="9" s="1"/>
  <c r="L17" i="9" a="1"/>
  <c r="L17" i="9" s="1"/>
  <c r="L18" i="9" a="1"/>
  <c r="L18" i="9" s="1"/>
  <c r="K60" i="5"/>
  <c r="J70" i="7" a="1"/>
  <c r="J70" i="7" s="1"/>
  <c r="J93" i="7" a="1"/>
  <c r="J93" i="7" s="1"/>
  <c r="M66" i="6"/>
  <c r="L67" i="6" a="1"/>
  <c r="L67" i="6" s="1"/>
  <c r="L68" i="6" a="1"/>
  <c r="L68" i="6" s="1"/>
  <c r="K67" i="5"/>
  <c r="L110" i="5"/>
  <c r="K18" i="6" a="1"/>
  <c r="K18" i="6" s="1"/>
  <c r="K20" i="6" a="1"/>
  <c r="K20" i="6" s="1"/>
  <c r="K11" i="6" a="1"/>
  <c r="K11" i="6" s="1"/>
  <c r="K10" i="6" a="1"/>
  <c r="K10" i="6" s="1"/>
  <c r="K19" i="6" a="1"/>
  <c r="K19" i="6" s="1"/>
  <c r="K12" i="6" a="1"/>
  <c r="K12" i="6" s="1"/>
  <c r="K5" i="6" a="1"/>
  <c r="K5" i="6" s="1"/>
  <c r="K9" i="6" a="1"/>
  <c r="K9" i="6" s="1"/>
  <c r="L4" i="6"/>
  <c r="K8" i="6" a="1"/>
  <c r="K8" i="6" s="1"/>
  <c r="K17" i="6" a="1"/>
  <c r="K17" i="6" s="1"/>
  <c r="K7" i="6" a="1"/>
  <c r="K7" i="6" s="1"/>
  <c r="K6" i="6" a="1"/>
  <c r="K6" i="6" s="1"/>
  <c r="K13" i="6" a="1"/>
  <c r="K13" i="6" s="1"/>
  <c r="M115" i="5"/>
  <c r="K66" i="9"/>
  <c r="J68" i="9" a="1"/>
  <c r="J68" i="9" s="1"/>
  <c r="J67" i="9" a="1"/>
  <c r="J67" i="9" s="1"/>
  <c r="J79" i="7" a="1"/>
  <c r="J79" i="7" s="1"/>
  <c r="J101" i="7" a="1"/>
  <c r="J101" i="7" s="1"/>
  <c r="K12" i="9" a="1"/>
  <c r="K12" i="9" s="1"/>
  <c r="K8" i="9" a="1"/>
  <c r="K8" i="9" s="1"/>
  <c r="K11" i="9" a="1"/>
  <c r="K11" i="9" s="1"/>
  <c r="K7" i="9" a="1"/>
  <c r="K7" i="9" s="1"/>
  <c r="L4" i="9"/>
  <c r="L20" i="9" s="1" a="1"/>
  <c r="L20" i="9" s="1"/>
  <c r="K6" i="9" a="1"/>
  <c r="K6" i="9" s="1"/>
  <c r="K5" i="9" a="1"/>
  <c r="K5" i="9" s="1"/>
  <c r="K9" i="9" a="1"/>
  <c r="K9" i="9" s="1"/>
  <c r="K13" i="9" a="1"/>
  <c r="K13" i="9" s="1"/>
  <c r="K10" i="9" a="1"/>
  <c r="K10" i="9" s="1"/>
  <c r="K63" i="9" a="1"/>
  <c r="K63" i="9" s="1"/>
  <c r="K78" i="7" a="1"/>
  <c r="K78" i="7" s="1"/>
  <c r="K80" i="7" a="1"/>
  <c r="K80" i="7" s="1"/>
  <c r="K68" i="7" a="1"/>
  <c r="K68" i="7" s="1"/>
  <c r="K71" i="7" a="1"/>
  <c r="K71" i="7" s="1"/>
  <c r="K69" i="7" a="1"/>
  <c r="K69" i="7" s="1"/>
  <c r="K72" i="7" a="1"/>
  <c r="K72" i="7" s="1"/>
  <c r="L67" i="7"/>
  <c r="K3" i="5"/>
  <c r="K2" i="5"/>
  <c r="K8" i="5"/>
  <c r="K6" i="5"/>
  <c r="K4" i="5"/>
  <c r="K5" i="5"/>
  <c r="K9" i="5"/>
  <c r="K7" i="5"/>
  <c r="J51" i="6" a="1"/>
  <c r="J51" i="6" s="1"/>
  <c r="J59" i="6" a="1"/>
  <c r="J59" i="6" s="1"/>
  <c r="J45" i="6" a="1"/>
  <c r="J45" i="6" s="1"/>
  <c r="J53" i="6" a="1"/>
  <c r="J53" i="6" s="1"/>
  <c r="J54" i="6" a="1"/>
  <c r="J54" i="6" s="1"/>
  <c r="J50" i="6" a="1"/>
  <c r="J50" i="6" s="1"/>
  <c r="J49" i="6" a="1"/>
  <c r="J49" i="6" s="1"/>
  <c r="J43" i="6" a="1"/>
  <c r="J43" i="6" s="1"/>
  <c r="J55" i="6" a="1"/>
  <c r="J55" i="6" s="1"/>
  <c r="K41" i="6"/>
  <c r="J44" i="6" a="1"/>
  <c r="J44" i="6" s="1"/>
  <c r="J48" i="6" a="1"/>
  <c r="J48" i="6" s="1"/>
  <c r="J46" i="6" a="1"/>
  <c r="J46" i="6" s="1"/>
  <c r="J57" i="6" a="1"/>
  <c r="J57" i="6" s="1"/>
  <c r="J58" i="6" a="1"/>
  <c r="J58" i="6" s="1"/>
  <c r="J47" i="6" a="1"/>
  <c r="J47" i="6" s="1"/>
  <c r="J63" i="6" a="1"/>
  <c r="J63" i="6" s="1"/>
  <c r="K62" i="6"/>
  <c r="J74" i="7" a="1"/>
  <c r="J74" i="7" s="1"/>
  <c r="J94" i="7" a="1"/>
  <c r="J94" i="7" s="1"/>
  <c r="N85" i="5"/>
  <c r="J33" i="9" a="1"/>
  <c r="J33" i="9" s="1"/>
  <c r="J37" i="9" a="1"/>
  <c r="J37" i="9" s="1"/>
  <c r="J36" i="9" a="1"/>
  <c r="J36" i="9" s="1"/>
  <c r="J34" i="9" a="1"/>
  <c r="J34" i="9" s="1"/>
  <c r="K23" i="9"/>
  <c r="J38" i="9" a="1"/>
  <c r="J38" i="9" s="1"/>
  <c r="J35" i="9" a="1"/>
  <c r="J35" i="9" s="1"/>
  <c r="I29" i="7"/>
  <c r="I28" i="7"/>
  <c r="I23" i="7"/>
  <c r="I30" i="7"/>
  <c r="I24" i="7"/>
  <c r="I27" i="7"/>
  <c r="I26" i="7"/>
  <c r="I25" i="7"/>
  <c r="J62" i="7" a="1"/>
  <c r="J62" i="7" s="1"/>
  <c r="J64" i="7" a="1"/>
  <c r="J64" i="7" s="1"/>
  <c r="J61" i="7" a="1"/>
  <c r="J61" i="7" s="1"/>
  <c r="K60" i="7"/>
  <c r="J63" i="7" a="1"/>
  <c r="J63" i="7" s="1"/>
  <c r="J82" i="9" a="1"/>
  <c r="J82" i="9" s="1"/>
  <c r="J75" i="9" a="1"/>
  <c r="J75" i="9" s="1"/>
  <c r="K71" i="9"/>
  <c r="J74" i="9" a="1"/>
  <c r="J74" i="9" s="1"/>
  <c r="J81" i="7" a="1"/>
  <c r="J81" i="7" s="1"/>
  <c r="L71" i="6"/>
  <c r="K83" i="6" a="1"/>
  <c r="K83" i="6" s="1"/>
  <c r="K82" i="6" a="1"/>
  <c r="K82" i="6" s="1"/>
  <c r="K74" i="6" a="1"/>
  <c r="K74" i="6" s="1"/>
  <c r="K75" i="6" a="1"/>
  <c r="K75" i="6" s="1"/>
  <c r="K73" i="6" a="1"/>
  <c r="K73" i="6" s="1"/>
  <c r="J98" i="7" a="1"/>
  <c r="J98" i="7" s="1"/>
  <c r="J51" i="9" a="1"/>
  <c r="J51" i="9" s="1"/>
  <c r="J54" i="9" a="1"/>
  <c r="J54" i="9" s="1"/>
  <c r="J59" i="9" a="1"/>
  <c r="J59" i="9" s="1"/>
  <c r="J55" i="9" a="1"/>
  <c r="J55" i="9" s="1"/>
  <c r="J46" i="9" a="1"/>
  <c r="J46" i="9" s="1"/>
  <c r="J47" i="9" a="1"/>
  <c r="J47" i="9" s="1"/>
  <c r="J43" i="9" a="1"/>
  <c r="J43" i="9" s="1"/>
  <c r="J58" i="9" a="1"/>
  <c r="J58" i="9" s="1"/>
  <c r="J49" i="9" a="1"/>
  <c r="J49" i="9" s="1"/>
  <c r="J57" i="9" a="1"/>
  <c r="J57" i="9" s="1"/>
  <c r="J53" i="9" a="1"/>
  <c r="J53" i="9" s="1"/>
  <c r="J44" i="9" a="1"/>
  <c r="J44" i="9" s="1"/>
  <c r="J50" i="9" a="1"/>
  <c r="J50" i="9" s="1"/>
  <c r="J48" i="9" a="1"/>
  <c r="J48" i="9" s="1"/>
  <c r="J45" i="9" a="1"/>
  <c r="J45" i="9" s="1"/>
  <c r="K41" i="9"/>
  <c r="K38" i="6" a="1"/>
  <c r="K38" i="6" s="1"/>
  <c r="K35" i="6" a="1"/>
  <c r="K35" i="6" s="1"/>
  <c r="L23" i="6"/>
  <c r="K36" i="6" a="1"/>
  <c r="K36" i="6" s="1"/>
  <c r="K37" i="6" a="1"/>
  <c r="K37" i="6" s="1"/>
  <c r="J68" i="7" a="1"/>
  <c r="J68" i="7" s="1"/>
  <c r="J91" i="7" a="1"/>
  <c r="J91" i="7" s="1"/>
  <c r="J119" i="7" a="1"/>
  <c r="J119" i="7" s="1"/>
  <c r="K115" i="7"/>
  <c r="J116" i="7" a="1"/>
  <c r="J116" i="7" s="1"/>
  <c r="J117" i="7" a="1"/>
  <c r="J117" i="7" s="1"/>
  <c r="J118" i="7" a="1"/>
  <c r="J118" i="7" s="1"/>
  <c r="O62" i="9"/>
  <c r="J82" i="7" a="1"/>
  <c r="J82" i="7" s="1"/>
  <c r="K112" i="7" a="1"/>
  <c r="K112" i="7" s="1"/>
  <c r="L110" i="7"/>
  <c r="M48" i="5"/>
  <c r="L2" i="5" a="1"/>
  <c r="J52" i="7" a="1"/>
  <c r="J52" i="7" s="1"/>
  <c r="J51" i="7" a="1"/>
  <c r="J51" i="7" s="1"/>
  <c r="K48" i="7"/>
  <c r="K81" i="7" s="1" a="1"/>
  <c r="K81" i="7" s="1"/>
  <c r="J54" i="7" a="1"/>
  <c r="J54" i="7" s="1"/>
  <c r="J49" i="7" a="1"/>
  <c r="J49" i="7" s="1"/>
  <c r="J55" i="7" a="1"/>
  <c r="J55" i="7" s="1"/>
  <c r="J50" i="7" a="1"/>
  <c r="J50" i="7" s="1"/>
  <c r="J56" i="7" a="1"/>
  <c r="J56" i="7" s="1"/>
  <c r="J53" i="7" a="1"/>
  <c r="J53" i="7" s="1"/>
  <c r="J2" i="7" a="1"/>
  <c r="J23" i="7" a="1"/>
  <c r="J57" i="7" a="1"/>
  <c r="J57" i="7" s="1"/>
  <c r="J107" i="7" a="1"/>
  <c r="J107" i="7" s="1"/>
  <c r="L93" i="5" a="1"/>
  <c r="L93" i="5" s="1"/>
  <c r="P106" i="7"/>
  <c r="J71" i="7" a="1"/>
  <c r="J71" i="7" s="1"/>
  <c r="K97" i="7" a="1"/>
  <c r="K97" i="7" s="1"/>
  <c r="K101" i="7" a="1"/>
  <c r="K101" i="7" s="1"/>
  <c r="K94" i="7" a="1"/>
  <c r="K94" i="7" s="1"/>
  <c r="K89" i="7" a="1"/>
  <c r="K89" i="7" s="1"/>
  <c r="K103" i="7" a="1"/>
  <c r="K103" i="7" s="1"/>
  <c r="K88" i="7" a="1"/>
  <c r="K88" i="7" s="1"/>
  <c r="K91" i="7" a="1"/>
  <c r="K91" i="7" s="1"/>
  <c r="K99" i="7" a="1"/>
  <c r="K99" i="7" s="1"/>
  <c r="K95" i="7" a="1"/>
  <c r="K95" i="7" s="1"/>
  <c r="K87" i="7" a="1"/>
  <c r="K87" i="7" s="1"/>
  <c r="K93" i="7" a="1"/>
  <c r="K93" i="7" s="1"/>
  <c r="K98" i="7" a="1"/>
  <c r="K98" i="7" s="1"/>
  <c r="K102" i="7" a="1"/>
  <c r="K102" i="7" s="1"/>
  <c r="K90" i="7" a="1"/>
  <c r="K90" i="7" s="1"/>
  <c r="K92" i="7" a="1"/>
  <c r="K92" i="7" s="1"/>
  <c r="L85" i="7"/>
  <c r="J111" i="7" a="1"/>
  <c r="J111" i="7" s="1"/>
  <c r="N106" i="5"/>
  <c r="J75" i="7" a="1"/>
  <c r="J75" i="7" s="1"/>
  <c r="J102" i="7" a="1"/>
  <c r="J102" i="7" s="1"/>
  <c r="J112" i="7" a="1"/>
  <c r="J112" i="7" s="1"/>
  <c r="CA98" i="5" l="1" a="1"/>
  <c r="CA98" i="5" s="1"/>
  <c r="BY95" i="5" a="1"/>
  <c r="BY95" i="5" s="1"/>
  <c r="BY88" i="5" a="1"/>
  <c r="BY88" i="5" s="1"/>
  <c r="BW95" i="5" a="1"/>
  <c r="BW95" i="5" s="1"/>
  <c r="BW93" i="5" a="1"/>
  <c r="BW93" i="5" s="1"/>
  <c r="CB92" i="5" a="1"/>
  <c r="CB92" i="5" s="1"/>
  <c r="CB99" i="5" a="1"/>
  <c r="CB99" i="5" s="1"/>
  <c r="BZ87" i="5" a="1"/>
  <c r="BZ87" i="5" s="1"/>
  <c r="BX97" i="5" a="1"/>
  <c r="BX97" i="5" s="1"/>
  <c r="BW89" i="5" a="1"/>
  <c r="BW89" i="5" s="1"/>
  <c r="CC89" i="5" a="1"/>
  <c r="CC89" i="5" s="1"/>
  <c r="CB98" i="5" a="1"/>
  <c r="CB98" i="5" s="1"/>
  <c r="CA103" i="5" a="1"/>
  <c r="CA103" i="5" s="1"/>
  <c r="BZ98" i="5" a="1"/>
  <c r="BZ98" i="5" s="1"/>
  <c r="BY94" i="5" a="1"/>
  <c r="BY94" i="5" s="1"/>
  <c r="BX92" i="5" a="1"/>
  <c r="BX92" i="5" s="1"/>
  <c r="CD93" i="5" a="1"/>
  <c r="CD93" i="5" s="1"/>
  <c r="AU97" i="5" a="1"/>
  <c r="AU97" i="5" s="1"/>
  <c r="CA99" i="5" a="1"/>
  <c r="CA99" i="5" s="1"/>
  <c r="BZ97" i="5" a="1"/>
  <c r="BZ97" i="5" s="1"/>
  <c r="BY92" i="5" a="1"/>
  <c r="BY92" i="5" s="1"/>
  <c r="BX103" i="5" a="1"/>
  <c r="BX103" i="5" s="1"/>
  <c r="BX87" i="5" a="1"/>
  <c r="BX87" i="5" s="1"/>
  <c r="CC94" i="5" a="1"/>
  <c r="CC94" i="5" s="1"/>
  <c r="AU99" i="5" a="1"/>
  <c r="AU99" i="5" s="1"/>
  <c r="BZ103" i="5" a="1"/>
  <c r="BZ103" i="5" s="1"/>
  <c r="BY101" i="5" a="1"/>
  <c r="BY101" i="5" s="1"/>
  <c r="BX101" i="5" a="1"/>
  <c r="BX101" i="5" s="1"/>
  <c r="BX88" i="5" a="1"/>
  <c r="BX88" i="5" s="1"/>
  <c r="AN95" i="5" a="1"/>
  <c r="AN95" i="5" s="1"/>
  <c r="CD97" i="5" a="1"/>
  <c r="CD97" i="5" s="1"/>
  <c r="CD88" i="5" a="1"/>
  <c r="CD88" i="5" s="1"/>
  <c r="CC91" i="5" a="1"/>
  <c r="CC91" i="5" s="1"/>
  <c r="CD99" i="5" a="1"/>
  <c r="CD99" i="5" s="1"/>
  <c r="CD98" i="5" a="1"/>
  <c r="CD98" i="5" s="1"/>
  <c r="CC92" i="5" a="1"/>
  <c r="CC92" i="5" s="1"/>
  <c r="CC103" i="5" a="1"/>
  <c r="CC103" i="5" s="1"/>
  <c r="CD90" i="5" a="1"/>
  <c r="CD90" i="5" s="1"/>
  <c r="CB95" i="5" a="1"/>
  <c r="CB95" i="5" s="1"/>
  <c r="CA92" i="5" a="1"/>
  <c r="CA92" i="5" s="1"/>
  <c r="BZ88" i="5" a="1"/>
  <c r="BZ88" i="5" s="1"/>
  <c r="BY102" i="5" a="1"/>
  <c r="BY102" i="5" s="1"/>
  <c r="BX102" i="5" a="1"/>
  <c r="BX102" i="5" s="1"/>
  <c r="BW87" i="5" a="1"/>
  <c r="BW87" i="5" s="1"/>
  <c r="CD102" i="5" a="1"/>
  <c r="CD102" i="5" s="1"/>
  <c r="CE93" i="5" a="1"/>
  <c r="CE93" i="5" s="1"/>
  <c r="CD8" i="5"/>
  <c r="CD6" i="5"/>
  <c r="CD5" i="5"/>
  <c r="CD4" i="5"/>
  <c r="CD2" i="5"/>
  <c r="CD9" i="5"/>
  <c r="CD7" i="5"/>
  <c r="CD3" i="5"/>
  <c r="CF110" i="5"/>
  <c r="CE91" i="5" a="1"/>
  <c r="CE91" i="5" s="1"/>
  <c r="CG67" i="5"/>
  <c r="CE102" i="5" a="1"/>
  <c r="CE102" i="5" s="1"/>
  <c r="CE89" i="5" a="1"/>
  <c r="CE89" i="5" s="1"/>
  <c r="CE88" i="5" a="1"/>
  <c r="CE88" i="5" s="1"/>
  <c r="CE87" i="5" a="1"/>
  <c r="CE87" i="5" s="1"/>
  <c r="CE90" i="5" a="1"/>
  <c r="CE90" i="5" s="1"/>
  <c r="CE2" i="5" a="1"/>
  <c r="CF48" i="5"/>
  <c r="CE98" i="5" a="1"/>
  <c r="CE98" i="5" s="1"/>
  <c r="CE92" i="5" a="1"/>
  <c r="CE92" i="5" s="1"/>
  <c r="CF115" i="5"/>
  <c r="CE95" i="5" a="1"/>
  <c r="CE95" i="5" s="1"/>
  <c r="CJ106" i="5"/>
  <c r="CE103" i="5" a="1"/>
  <c r="CE103" i="5" s="1"/>
  <c r="CE99" i="5" a="1"/>
  <c r="CE99" i="5" s="1"/>
  <c r="CE101" i="5" a="1"/>
  <c r="CE101" i="5" s="1"/>
  <c r="CF60" i="5"/>
  <c r="CF103" i="5" a="1"/>
  <c r="CF103" i="5" s="1"/>
  <c r="CF90" i="5" a="1"/>
  <c r="CF90" i="5" s="1"/>
  <c r="CF89" i="5" a="1"/>
  <c r="CF89" i="5" s="1"/>
  <c r="CG85" i="5"/>
  <c r="I89" i="5" a="1"/>
  <c r="I89" i="5" s="1"/>
  <c r="G103" i="5" a="1"/>
  <c r="G103" i="5" s="1"/>
  <c r="AM97" i="5" a="1"/>
  <c r="AM97" i="5" s="1"/>
  <c r="L101" i="5" a="1"/>
  <c r="L101" i="5" s="1"/>
  <c r="AS90" i="5" a="1"/>
  <c r="AS90" i="5" s="1"/>
  <c r="AQ103" i="5" a="1"/>
  <c r="AQ103" i="5" s="1"/>
  <c r="G90" i="5" a="1"/>
  <c r="G90" i="5" s="1"/>
  <c r="AO88" i="5" a="1"/>
  <c r="AO88" i="5" s="1"/>
  <c r="AM90" i="5" a="1"/>
  <c r="AM90" i="5" s="1"/>
  <c r="AU95" i="5" a="1"/>
  <c r="AU95" i="5" s="1"/>
  <c r="J102" i="5" a="1"/>
  <c r="J102" i="5" s="1"/>
  <c r="G88" i="5" a="1"/>
  <c r="G88" i="5" s="1"/>
  <c r="D93" i="5" a="1"/>
  <c r="D93" i="5" s="1"/>
  <c r="AM91" i="5" a="1"/>
  <c r="AM91" i="5" s="1"/>
  <c r="AR88" i="5" a="1"/>
  <c r="AR88" i="5" s="1"/>
  <c r="F99" i="5" a="1"/>
  <c r="F99" i="5" s="1"/>
  <c r="AV60" i="5"/>
  <c r="I97" i="5" a="1"/>
  <c r="I97" i="5" s="1"/>
  <c r="D91" i="5" a="1"/>
  <c r="D91" i="5" s="1"/>
  <c r="AN102" i="5" a="1"/>
  <c r="AN102" i="5" s="1"/>
  <c r="M98" i="5" a="1"/>
  <c r="M98" i="5" s="1"/>
  <c r="AT89" i="5" a="1"/>
  <c r="AT89" i="5" s="1"/>
  <c r="J94" i="5" a="1"/>
  <c r="J94" i="5" s="1"/>
  <c r="C99" i="5" a="1"/>
  <c r="C99" i="5" s="1"/>
  <c r="AR87" i="5" a="1"/>
  <c r="AR87" i="5" s="1"/>
  <c r="H91" i="5" a="1"/>
  <c r="H91" i="5" s="1"/>
  <c r="C94" i="5" a="1"/>
  <c r="C94" i="5" s="1"/>
  <c r="I92" i="5" a="1"/>
  <c r="I92" i="5" s="1"/>
  <c r="E87" i="5" a="1"/>
  <c r="E87" i="5" s="1"/>
  <c r="AN91" i="5" a="1"/>
  <c r="AN91" i="5" s="1"/>
  <c r="AS98" i="5" a="1"/>
  <c r="AS98" i="5" s="1"/>
  <c r="AQ97" i="5" a="1"/>
  <c r="AQ97" i="5" s="1"/>
  <c r="G102" i="5" a="1"/>
  <c r="G102" i="5" s="1"/>
  <c r="AN98" i="5" a="1"/>
  <c r="AN98" i="5" s="1"/>
  <c r="AP94" i="5" a="1"/>
  <c r="AP94" i="5" s="1"/>
  <c r="F103" i="5" a="1"/>
  <c r="F103" i="5" s="1"/>
  <c r="AM87" i="5" a="1"/>
  <c r="AM87" i="5" s="1"/>
  <c r="I95" i="5" a="1"/>
  <c r="I95" i="5" s="1"/>
  <c r="AO102" i="5" a="1"/>
  <c r="AO102" i="5" s="1"/>
  <c r="AP98" i="5" a="1"/>
  <c r="AP98" i="5" s="1"/>
  <c r="D101" i="5" a="1"/>
  <c r="D101" i="5" s="1"/>
  <c r="AS99" i="5" a="1"/>
  <c r="AS99" i="5" s="1"/>
  <c r="AR98" i="5" a="1"/>
  <c r="AR98" i="5" s="1"/>
  <c r="AQ88" i="5" a="1"/>
  <c r="AQ88" i="5" s="1"/>
  <c r="G101" i="5" a="1"/>
  <c r="G101" i="5" s="1"/>
  <c r="E101" i="5" a="1"/>
  <c r="E101" i="5" s="1"/>
  <c r="F88" i="5" a="1"/>
  <c r="F88" i="5" s="1"/>
  <c r="AN94" i="5" a="1"/>
  <c r="AN94" i="5" s="1"/>
  <c r="C90" i="5" a="1"/>
  <c r="C90" i="5" s="1"/>
  <c r="AM95" i="5" a="1"/>
  <c r="AM95" i="5" s="1"/>
  <c r="L92" i="5" a="1"/>
  <c r="L92" i="5" s="1"/>
  <c r="AU88" i="5" a="1"/>
  <c r="AU88" i="5" s="1"/>
  <c r="K99" i="5" a="1"/>
  <c r="K99" i="5" s="1"/>
  <c r="J89" i="5" a="1"/>
  <c r="J89" i="5" s="1"/>
  <c r="J88" i="5" a="1"/>
  <c r="J88" i="5" s="1"/>
  <c r="I103" i="5" a="1"/>
  <c r="I103" i="5" s="1"/>
  <c r="AP101" i="5" a="1"/>
  <c r="AP101" i="5" s="1"/>
  <c r="AQ91" i="5" a="1"/>
  <c r="AQ91" i="5" s="1"/>
  <c r="AO98" i="5" a="1"/>
  <c r="AO98" i="5" s="1"/>
  <c r="H95" i="5" a="1"/>
  <c r="H95" i="5" s="1"/>
  <c r="F87" i="5" a="1"/>
  <c r="F87" i="5" s="1"/>
  <c r="AN103" i="5" a="1"/>
  <c r="AN103" i="5" s="1"/>
  <c r="C102" i="5" a="1"/>
  <c r="C102" i="5" s="1"/>
  <c r="C93" i="5" a="1"/>
  <c r="C93" i="5" s="1"/>
  <c r="E95" i="5" a="1"/>
  <c r="E95" i="5" s="1"/>
  <c r="AV67" i="5"/>
  <c r="BA11" i="5"/>
  <c r="AT102" i="5" a="1"/>
  <c r="AT102" i="5" s="1"/>
  <c r="K102" i="5" a="1"/>
  <c r="K102" i="5" s="1"/>
  <c r="AS94" i="5" a="1"/>
  <c r="AS94" i="5" s="1"/>
  <c r="K101" i="5" a="1"/>
  <c r="K101" i="5" s="1"/>
  <c r="AT91" i="5" a="1"/>
  <c r="AT91" i="5" s="1"/>
  <c r="K103" i="5" a="1"/>
  <c r="K103" i="5" s="1"/>
  <c r="K97" i="5" a="1"/>
  <c r="K97" i="5" s="1"/>
  <c r="K92" i="5" a="1"/>
  <c r="K92" i="5" s="1"/>
  <c r="K88" i="5" a="1"/>
  <c r="K88" i="5" s="1"/>
  <c r="AT94" i="5" a="1"/>
  <c r="AT94" i="5" s="1"/>
  <c r="K91" i="5" a="1"/>
  <c r="K91" i="5" s="1"/>
  <c r="AT97" i="5" a="1"/>
  <c r="AT97" i="5" s="1"/>
  <c r="AS95" i="5" a="1"/>
  <c r="AS95" i="5" s="1"/>
  <c r="AS102" i="5" a="1"/>
  <c r="AS102" i="5" s="1"/>
  <c r="K93" i="5" a="1"/>
  <c r="K93" i="5" s="1"/>
  <c r="AT99" i="5" a="1"/>
  <c r="AT99" i="5" s="1"/>
  <c r="AT101" i="5" a="1"/>
  <c r="AT101" i="5" s="1"/>
  <c r="L87" i="5" a="1"/>
  <c r="L87" i="5" s="1"/>
  <c r="AT103" i="5" a="1"/>
  <c r="AT103" i="5" s="1"/>
  <c r="AQ98" i="5" a="1"/>
  <c r="AQ98" i="5" s="1"/>
  <c r="E98" i="5" a="1"/>
  <c r="E98" i="5" s="1"/>
  <c r="AO97" i="5" a="1"/>
  <c r="AO97" i="5" s="1"/>
  <c r="L91" i="5" a="1"/>
  <c r="L91" i="5" s="1"/>
  <c r="AS88" i="5" a="1"/>
  <c r="AS88" i="5" s="1"/>
  <c r="I90" i="5" a="1"/>
  <c r="I90" i="5" s="1"/>
  <c r="AO92" i="5" a="1"/>
  <c r="AO92" i="5" s="1"/>
  <c r="I102" i="5" a="1"/>
  <c r="I102" i="5" s="1"/>
  <c r="D98" i="5" a="1"/>
  <c r="D98" i="5" s="1"/>
  <c r="H87" i="5" a="1"/>
  <c r="H87" i="5" s="1"/>
  <c r="AN88" i="5" a="1"/>
  <c r="AN88" i="5" s="1"/>
  <c r="I91" i="5" a="1"/>
  <c r="I91" i="5" s="1"/>
  <c r="G94" i="5" a="1"/>
  <c r="G94" i="5" s="1"/>
  <c r="AN90" i="5" a="1"/>
  <c r="AN90" i="5" s="1"/>
  <c r="AQ87" i="5" a="1"/>
  <c r="AQ87" i="5" s="1"/>
  <c r="D87" i="5" a="1"/>
  <c r="D87" i="5" s="1"/>
  <c r="AT5" i="5"/>
  <c r="AT4" i="5"/>
  <c r="AT3" i="5"/>
  <c r="AT2" i="5"/>
  <c r="AT9" i="5"/>
  <c r="AT8" i="5"/>
  <c r="AT6" i="5"/>
  <c r="AT7" i="5"/>
  <c r="AR97" i="5" a="1"/>
  <c r="AR97" i="5" s="1"/>
  <c r="AQ95" i="5" a="1"/>
  <c r="AQ95" i="5" s="1"/>
  <c r="AO91" i="5" a="1"/>
  <c r="AO91" i="5" s="1"/>
  <c r="E94" i="5" a="1"/>
  <c r="E94" i="5" s="1"/>
  <c r="D92" i="5" a="1"/>
  <c r="D92" i="5" s="1"/>
  <c r="AM92" i="5" a="1"/>
  <c r="AM92" i="5" s="1"/>
  <c r="L103" i="5" a="1"/>
  <c r="L103" i="5" s="1"/>
  <c r="L99" i="5" a="1"/>
  <c r="L99" i="5" s="1"/>
  <c r="AU90" i="5" a="1"/>
  <c r="AU90" i="5" s="1"/>
  <c r="L102" i="5" a="1"/>
  <c r="L102" i="5" s="1"/>
  <c r="AU2" i="5" a="1"/>
  <c r="AV48" i="5"/>
  <c r="AV90" i="5" s="1" a="1"/>
  <c r="AV90" i="5" s="1"/>
  <c r="AT98" i="5" a="1"/>
  <c r="AT98" i="5" s="1"/>
  <c r="J91" i="5" a="1"/>
  <c r="J91" i="5" s="1"/>
  <c r="J92" i="5" a="1"/>
  <c r="J92" i="5" s="1"/>
  <c r="AQ89" i="5" a="1"/>
  <c r="AQ89" i="5" s="1"/>
  <c r="AP89" i="5" a="1"/>
  <c r="AP89" i="5" s="1"/>
  <c r="H98" i="5" a="1"/>
  <c r="H98" i="5" s="1"/>
  <c r="G89" i="5" a="1"/>
  <c r="G89" i="5" s="1"/>
  <c r="AP91" i="5" a="1"/>
  <c r="AP91" i="5" s="1"/>
  <c r="F91" i="5" a="1"/>
  <c r="F91" i="5" s="1"/>
  <c r="E103" i="5" a="1"/>
  <c r="E103" i="5" s="1"/>
  <c r="E88" i="5" a="1"/>
  <c r="E88" i="5" s="1"/>
  <c r="D97" i="5" a="1"/>
  <c r="D97" i="5" s="1"/>
  <c r="AN97" i="5" a="1"/>
  <c r="AN97" i="5" s="1"/>
  <c r="AN92" i="5" a="1"/>
  <c r="AN92" i="5" s="1"/>
  <c r="AV115" i="5"/>
  <c r="AU98" i="5" a="1"/>
  <c r="AU98" i="5" s="1"/>
  <c r="AR90" i="5" a="1"/>
  <c r="AR90" i="5" s="1"/>
  <c r="AP88" i="5" a="1"/>
  <c r="AP88" i="5" s="1"/>
  <c r="D88" i="5" a="1"/>
  <c r="D88" i="5" s="1"/>
  <c r="AT87" i="5" a="1"/>
  <c r="AT87" i="5" s="1"/>
  <c r="AR102" i="5" a="1"/>
  <c r="AR102" i="5" s="1"/>
  <c r="AQ101" i="5" a="1"/>
  <c r="AQ101" i="5" s="1"/>
  <c r="D95" i="5" a="1"/>
  <c r="D95" i="5" s="1"/>
  <c r="AP87" i="5" a="1"/>
  <c r="AP87" i="5" s="1"/>
  <c r="C89" i="5" a="1"/>
  <c r="C89" i="5" s="1"/>
  <c r="AU87" i="5" a="1"/>
  <c r="AU87" i="5" s="1"/>
  <c r="AR103" i="5" a="1"/>
  <c r="AR103" i="5" s="1"/>
  <c r="H99" i="5" a="1"/>
  <c r="H99" i="5" s="1"/>
  <c r="F90" i="5" a="1"/>
  <c r="F90" i="5" s="1"/>
  <c r="AS103" i="5" a="1"/>
  <c r="AS103" i="5" s="1"/>
  <c r="J87" i="5" a="1"/>
  <c r="J87" i="5" s="1"/>
  <c r="AP90" i="5" a="1"/>
  <c r="AP90" i="5" s="1"/>
  <c r="C97" i="5" a="1"/>
  <c r="C97" i="5" s="1"/>
  <c r="AU103" i="5" a="1"/>
  <c r="AU103" i="5" s="1"/>
  <c r="AV110" i="5"/>
  <c r="J98" i="5" a="1"/>
  <c r="J98" i="5" s="1"/>
  <c r="AP92" i="5" a="1"/>
  <c r="AP92" i="5" s="1"/>
  <c r="F102" i="5" a="1"/>
  <c r="F102" i="5" s="1"/>
  <c r="AU93" i="5" a="1"/>
  <c r="AU93" i="5" s="1"/>
  <c r="AP97" i="5" a="1"/>
  <c r="AP97" i="5" s="1"/>
  <c r="AV103" i="5" a="1"/>
  <c r="AV103" i="5" s="1"/>
  <c r="AV91" i="5" a="1"/>
  <c r="AV91" i="5" s="1"/>
  <c r="AW85" i="5"/>
  <c r="AV93" i="5" a="1"/>
  <c r="AV93" i="5" s="1"/>
  <c r="AV92" i="5" a="1"/>
  <c r="AV92" i="5" s="1"/>
  <c r="AV97" i="5" a="1"/>
  <c r="AV97" i="5" s="1"/>
  <c r="AV95" i="5" a="1"/>
  <c r="AV95" i="5" s="1"/>
  <c r="I98" i="5" a="1"/>
  <c r="I98" i="5" s="1"/>
  <c r="AO87" i="5" a="1"/>
  <c r="AO87" i="5" s="1"/>
  <c r="AN101" i="5" a="1"/>
  <c r="AN101" i="5" s="1"/>
  <c r="L95" i="5" a="1"/>
  <c r="L95" i="5" s="1"/>
  <c r="K95" i="5" a="1"/>
  <c r="K95" i="5" s="1"/>
  <c r="AU92" i="5" a="1"/>
  <c r="AU92" i="5" s="1"/>
  <c r="AS87" i="5" a="1"/>
  <c r="AS87" i="5" s="1"/>
  <c r="J90" i="5" a="1"/>
  <c r="J90" i="5" s="1"/>
  <c r="AR99" i="5" a="1"/>
  <c r="AR99" i="5" s="1"/>
  <c r="AQ90" i="5" a="1"/>
  <c r="AQ90" i="5" s="1"/>
  <c r="H94" i="5" a="1"/>
  <c r="H94" i="5" s="1"/>
  <c r="H89" i="5" a="1"/>
  <c r="H89" i="5" s="1"/>
  <c r="AO95" i="5" a="1"/>
  <c r="AO95" i="5" s="1"/>
  <c r="G87" i="5" a="1"/>
  <c r="G87" i="5" s="1"/>
  <c r="C91" i="5" a="1"/>
  <c r="C91" i="5" s="1"/>
  <c r="AO89" i="5" a="1"/>
  <c r="AO89" i="5" s="1"/>
  <c r="D89" i="5" a="1"/>
  <c r="D89" i="5" s="1"/>
  <c r="D103" i="5" a="1"/>
  <c r="D103" i="5" s="1"/>
  <c r="AN89" i="5" a="1"/>
  <c r="AN89" i="5" s="1"/>
  <c r="AN99" i="5" a="1"/>
  <c r="AN99" i="5" s="1"/>
  <c r="AV106" i="5"/>
  <c r="AR92" i="5" a="1"/>
  <c r="AR92" i="5" s="1"/>
  <c r="AP95" i="5" a="1"/>
  <c r="AP95" i="5" s="1"/>
  <c r="E89" i="5" a="1"/>
  <c r="E89" i="5" s="1"/>
  <c r="AM89" i="5" a="1"/>
  <c r="AM89" i="5" s="1"/>
  <c r="AU94" i="5" a="1"/>
  <c r="AU94" i="5" s="1"/>
  <c r="J97" i="5" a="1"/>
  <c r="J97" i="5" s="1"/>
  <c r="H93" i="5" a="1"/>
  <c r="H93" i="5" s="1"/>
  <c r="E93" i="5" a="1"/>
  <c r="E93" i="5" s="1"/>
  <c r="AS92" i="5" a="1"/>
  <c r="AS92" i="5" s="1"/>
  <c r="J99" i="5" a="1"/>
  <c r="J99" i="5" s="1"/>
  <c r="H103" i="5" a="1"/>
  <c r="H103" i="5" s="1"/>
  <c r="D102" i="5" a="1"/>
  <c r="D102" i="5" s="1"/>
  <c r="L89" i="5" a="1"/>
  <c r="L89" i="5" s="1"/>
  <c r="AT90" i="5" a="1"/>
  <c r="AT90" i="5" s="1"/>
  <c r="AS93" i="5" a="1"/>
  <c r="AS93" i="5" s="1"/>
  <c r="G92" i="5" a="1"/>
  <c r="G92" i="5" s="1"/>
  <c r="E97" i="5" a="1"/>
  <c r="E97" i="5" s="1"/>
  <c r="AM94" i="5" a="1"/>
  <c r="AM94" i="5" s="1"/>
  <c r="AU101" i="5" a="1"/>
  <c r="AU101" i="5" s="1"/>
  <c r="K94" i="5" a="1"/>
  <c r="K94" i="5" s="1"/>
  <c r="G93" i="5" a="1"/>
  <c r="G93" i="5" s="1"/>
  <c r="C103" i="5" a="1"/>
  <c r="C103" i="5" s="1"/>
  <c r="AQ93" i="5" a="1"/>
  <c r="AQ93" i="5" s="1"/>
  <c r="D94" i="5" a="1"/>
  <c r="D94" i="5" s="1"/>
  <c r="E102" i="5" a="1"/>
  <c r="E102" i="5" s="1"/>
  <c r="AQ94" i="5" a="1"/>
  <c r="AQ94" i="5" s="1"/>
  <c r="K90" i="5" a="1"/>
  <c r="K90" i="5" s="1"/>
  <c r="K87" i="5" a="1"/>
  <c r="K87" i="5" s="1"/>
  <c r="AT95" i="5" a="1"/>
  <c r="AT95" i="5" s="1"/>
  <c r="J93" i="5" a="1"/>
  <c r="J93" i="5" s="1"/>
  <c r="H90" i="5" a="1"/>
  <c r="H90" i="5" s="1"/>
  <c r="C88" i="5" a="1"/>
  <c r="C88" i="5" s="1"/>
  <c r="D90" i="5" a="1"/>
  <c r="D90" i="5" s="1"/>
  <c r="L98" i="5" a="1"/>
  <c r="L98" i="5" s="1"/>
  <c r="AT88" i="5" a="1"/>
  <c r="AT88" i="5" s="1"/>
  <c r="AU89" i="5" a="1"/>
  <c r="AU89" i="5" s="1"/>
  <c r="AS101" i="5" a="1"/>
  <c r="AS101" i="5" s="1"/>
  <c r="AR95" i="5" a="1"/>
  <c r="AR95" i="5" s="1"/>
  <c r="AQ102" i="5" a="1"/>
  <c r="AQ102" i="5" s="1"/>
  <c r="I88" i="5" a="1"/>
  <c r="I88" i="5" s="1"/>
  <c r="H101" i="5" a="1"/>
  <c r="H101" i="5" s="1"/>
  <c r="H88" i="5" a="1"/>
  <c r="H88" i="5" s="1"/>
  <c r="G98" i="5" a="1"/>
  <c r="G98" i="5" s="1"/>
  <c r="G97" i="5" a="1"/>
  <c r="G97" i="5" s="1"/>
  <c r="F89" i="5" a="1"/>
  <c r="F89" i="5" s="1"/>
  <c r="F98" i="5" a="1"/>
  <c r="F98" i="5" s="1"/>
  <c r="C95" i="5" a="1"/>
  <c r="C95" i="5" s="1"/>
  <c r="AO94" i="5" a="1"/>
  <c r="AO94" i="5" s="1"/>
  <c r="AM99" i="5" a="1"/>
  <c r="AM99" i="5" s="1"/>
  <c r="AM101" i="5" a="1"/>
  <c r="AM101" i="5" s="1"/>
  <c r="M90" i="5" a="1"/>
  <c r="M90" i="5" s="1"/>
  <c r="M97" i="5" a="1"/>
  <c r="M97" i="5" s="1"/>
  <c r="M87" i="5" a="1"/>
  <c r="M87" i="5" s="1"/>
  <c r="M89" i="5" a="1"/>
  <c r="M89" i="5" s="1"/>
  <c r="M103" i="5" a="1"/>
  <c r="M103" i="5" s="1"/>
  <c r="J24" i="7"/>
  <c r="J29" i="7"/>
  <c r="J30" i="7"/>
  <c r="J28" i="7"/>
  <c r="J23" i="7"/>
  <c r="J27" i="7"/>
  <c r="J26" i="7"/>
  <c r="J25" i="7"/>
  <c r="K116" i="7" a="1"/>
  <c r="K116" i="7" s="1"/>
  <c r="L115" i="7"/>
  <c r="K117" i="7" a="1"/>
  <c r="K117" i="7" s="1"/>
  <c r="K119" i="7" a="1"/>
  <c r="K119" i="7" s="1"/>
  <c r="K118" i="7" a="1"/>
  <c r="K118" i="7" s="1"/>
  <c r="L75" i="6" a="1"/>
  <c r="L75" i="6" s="1"/>
  <c r="L74" i="6" a="1"/>
  <c r="L74" i="6" s="1"/>
  <c r="L82" i="6" a="1"/>
  <c r="L82" i="6" s="1"/>
  <c r="L83" i="6" a="1"/>
  <c r="L83" i="6" s="1"/>
  <c r="M71" i="6"/>
  <c r="M88" i="5" a="1"/>
  <c r="M88" i="5" s="1"/>
  <c r="K75" i="7" a="1"/>
  <c r="K75" i="7" s="1"/>
  <c r="J3" i="7"/>
  <c r="J8" i="7"/>
  <c r="J9" i="7"/>
  <c r="J7" i="7"/>
  <c r="J6" i="7"/>
  <c r="J5" i="7"/>
  <c r="J4" i="7"/>
  <c r="J2" i="7"/>
  <c r="M95" i="5" a="1"/>
  <c r="M95" i="5" s="1"/>
  <c r="K70" i="7" a="1"/>
  <c r="K70" i="7" s="1"/>
  <c r="N115" i="5"/>
  <c r="K82" i="9" a="1"/>
  <c r="K82" i="9" s="1"/>
  <c r="L71" i="9"/>
  <c r="K75" i="9" a="1"/>
  <c r="K75" i="9" s="1"/>
  <c r="K74" i="9" a="1"/>
  <c r="K74" i="9" s="1"/>
  <c r="O85" i="5"/>
  <c r="K77" i="7" a="1"/>
  <c r="K77" i="7" s="1"/>
  <c r="M110" i="5"/>
  <c r="O106" i="5"/>
  <c r="L38" i="6" a="1"/>
  <c r="L38" i="6" s="1"/>
  <c r="L36" i="6" a="1"/>
  <c r="L36" i="6" s="1"/>
  <c r="M23" i="6"/>
  <c r="L37" i="6" a="1"/>
  <c r="L37" i="6" s="1"/>
  <c r="M91" i="5" a="1"/>
  <c r="M91" i="5" s="1"/>
  <c r="N66" i="6"/>
  <c r="M99" i="5" a="1"/>
  <c r="M99" i="5" s="1"/>
  <c r="K63" i="7" a="1"/>
  <c r="K63" i="7" s="1"/>
  <c r="K61" i="7" a="1"/>
  <c r="K61" i="7" s="1"/>
  <c r="K64" i="7" a="1"/>
  <c r="K64" i="7" s="1"/>
  <c r="L60" i="7"/>
  <c r="K62" i="7" a="1"/>
  <c r="K62" i="7" s="1"/>
  <c r="K51" i="7" a="1"/>
  <c r="K51" i="7" s="1"/>
  <c r="K50" i="7" a="1"/>
  <c r="K50" i="7" s="1"/>
  <c r="K49" i="7" a="1"/>
  <c r="K49" i="7" s="1"/>
  <c r="K55" i="7" a="1"/>
  <c r="K55" i="7" s="1"/>
  <c r="K56" i="7" a="1"/>
  <c r="K56" i="7" s="1"/>
  <c r="K57" i="7" a="1"/>
  <c r="K57" i="7" s="1"/>
  <c r="K52" i="7" a="1"/>
  <c r="K52" i="7" s="1"/>
  <c r="K23" i="7" a="1"/>
  <c r="K2" i="7" a="1"/>
  <c r="K54" i="7" a="1"/>
  <c r="K54" i="7" s="1"/>
  <c r="K53" i="7" a="1"/>
  <c r="K53" i="7" s="1"/>
  <c r="L48" i="7"/>
  <c r="K107" i="7" a="1"/>
  <c r="K107" i="7" s="1"/>
  <c r="K111" i="7" a="1"/>
  <c r="K111" i="7" s="1"/>
  <c r="M92" i="5" a="1"/>
  <c r="M92" i="5" s="1"/>
  <c r="K76" i="7" a="1"/>
  <c r="K76" i="7" s="1"/>
  <c r="L13" i="6" a="1"/>
  <c r="L13" i="6" s="1"/>
  <c r="L10" i="6" a="1"/>
  <c r="L10" i="6" s="1"/>
  <c r="L9" i="6" a="1"/>
  <c r="L9" i="6" s="1"/>
  <c r="L5" i="6" a="1"/>
  <c r="L5" i="6" s="1"/>
  <c r="L8" i="6" a="1"/>
  <c r="L8" i="6" s="1"/>
  <c r="M4" i="6"/>
  <c r="M67" i="6" s="1" a="1"/>
  <c r="M67" i="6" s="1"/>
  <c r="L11" i="6" a="1"/>
  <c r="L11" i="6" s="1"/>
  <c r="L6" i="6" a="1"/>
  <c r="L6" i="6" s="1"/>
  <c r="L7" i="6" a="1"/>
  <c r="L7" i="6" s="1"/>
  <c r="L12" i="6" a="1"/>
  <c r="L12" i="6" s="1"/>
  <c r="L67" i="5"/>
  <c r="K50" i="6" a="1"/>
  <c r="K50" i="6" s="1"/>
  <c r="K59" i="6" a="1"/>
  <c r="K59" i="6" s="1"/>
  <c r="K58" i="6" a="1"/>
  <c r="K58" i="6" s="1"/>
  <c r="K51" i="6" a="1"/>
  <c r="K51" i="6" s="1"/>
  <c r="K54" i="6" a="1"/>
  <c r="K54" i="6" s="1"/>
  <c r="K43" i="6" a="1"/>
  <c r="K43" i="6" s="1"/>
  <c r="K49" i="6" a="1"/>
  <c r="K49" i="6" s="1"/>
  <c r="K55" i="6" a="1"/>
  <c r="K55" i="6" s="1"/>
  <c r="K46" i="6" a="1"/>
  <c r="K46" i="6" s="1"/>
  <c r="K57" i="6" a="1"/>
  <c r="K57" i="6" s="1"/>
  <c r="K45" i="6" a="1"/>
  <c r="K45" i="6" s="1"/>
  <c r="K44" i="6" a="1"/>
  <c r="K44" i="6" s="1"/>
  <c r="K53" i="6" a="1"/>
  <c r="K53" i="6" s="1"/>
  <c r="K48" i="6" a="1"/>
  <c r="K48" i="6" s="1"/>
  <c r="L41" i="6"/>
  <c r="K47" i="6" a="1"/>
  <c r="K47" i="6" s="1"/>
  <c r="L112" i="7" a="1"/>
  <c r="L112" i="7" s="1"/>
  <c r="L111" i="7" a="1"/>
  <c r="L111" i="7" s="1"/>
  <c r="M110" i="7"/>
  <c r="L87" i="7" a="1"/>
  <c r="L87" i="7" s="1"/>
  <c r="L103" i="7" a="1"/>
  <c r="L103" i="7" s="1"/>
  <c r="L88" i="7" a="1"/>
  <c r="L88" i="7" s="1"/>
  <c r="L91" i="7" a="1"/>
  <c r="L91" i="7" s="1"/>
  <c r="L99" i="7" a="1"/>
  <c r="L99" i="7" s="1"/>
  <c r="L92" i="7" a="1"/>
  <c r="L92" i="7" s="1"/>
  <c r="M85" i="7"/>
  <c r="L93" i="7" a="1"/>
  <c r="L93" i="7" s="1"/>
  <c r="L95" i="7" a="1"/>
  <c r="L95" i="7" s="1"/>
  <c r="L94" i="7" a="1"/>
  <c r="L94" i="7" s="1"/>
  <c r="L102" i="7" a="1"/>
  <c r="L102" i="7" s="1"/>
  <c r="L101" i="7" a="1"/>
  <c r="L101" i="7" s="1"/>
  <c r="L98" i="7" a="1"/>
  <c r="L98" i="7" s="1"/>
  <c r="L97" i="7" a="1"/>
  <c r="L97" i="7" s="1"/>
  <c r="L90" i="7" a="1"/>
  <c r="L90" i="7" s="1"/>
  <c r="L89" i="7" a="1"/>
  <c r="L89" i="7" s="1"/>
  <c r="M102" i="5" a="1"/>
  <c r="M102" i="5" s="1"/>
  <c r="K79" i="7" a="1"/>
  <c r="K79" i="7" s="1"/>
  <c r="K55" i="9" a="1"/>
  <c r="K55" i="9" s="1"/>
  <c r="K59" i="9" a="1"/>
  <c r="K59" i="9" s="1"/>
  <c r="K47" i="9" a="1"/>
  <c r="K47" i="9" s="1"/>
  <c r="K43" i="9" a="1"/>
  <c r="K43" i="9" s="1"/>
  <c r="K58" i="9" a="1"/>
  <c r="K58" i="9" s="1"/>
  <c r="K49" i="9" a="1"/>
  <c r="K49" i="9" s="1"/>
  <c r="K50" i="9" a="1"/>
  <c r="K50" i="9" s="1"/>
  <c r="K51" i="9" a="1"/>
  <c r="K51" i="9" s="1"/>
  <c r="K44" i="9" a="1"/>
  <c r="K44" i="9" s="1"/>
  <c r="K54" i="9" a="1"/>
  <c r="K54" i="9" s="1"/>
  <c r="K45" i="9" a="1"/>
  <c r="K45" i="9" s="1"/>
  <c r="K48" i="9" a="1"/>
  <c r="K48" i="9" s="1"/>
  <c r="L41" i="9"/>
  <c r="K57" i="9" a="1"/>
  <c r="K57" i="9" s="1"/>
  <c r="K46" i="9" a="1"/>
  <c r="K46" i="9" s="1"/>
  <c r="K53" i="9" a="1"/>
  <c r="K53" i="9" s="1"/>
  <c r="K73" i="7" a="1"/>
  <c r="K73" i="7" s="1"/>
  <c r="N48" i="5"/>
  <c r="N95" i="5" s="1" a="1"/>
  <c r="N95" i="5" s="1"/>
  <c r="M2" i="5" a="1"/>
  <c r="K38" i="9" a="1"/>
  <c r="K38" i="9" s="1"/>
  <c r="K33" i="9" a="1"/>
  <c r="K33" i="9" s="1"/>
  <c r="L23" i="9"/>
  <c r="K36" i="9" a="1"/>
  <c r="K36" i="9" s="1"/>
  <c r="K34" i="9" a="1"/>
  <c r="K34" i="9" s="1"/>
  <c r="K35" i="9" a="1"/>
  <c r="K35" i="9" s="1"/>
  <c r="K37" i="9" a="1"/>
  <c r="K37" i="9" s="1"/>
  <c r="Q106" i="7"/>
  <c r="P62" i="9"/>
  <c r="M93" i="5" a="1"/>
  <c r="M93" i="5" s="1"/>
  <c r="K82" i="7" a="1"/>
  <c r="K82" i="7" s="1"/>
  <c r="K68" i="9" a="1"/>
  <c r="K68" i="9" s="1"/>
  <c r="K67" i="9" a="1"/>
  <c r="K67" i="9" s="1"/>
  <c r="L66" i="9"/>
  <c r="L60" i="5"/>
  <c r="M101" i="5" a="1"/>
  <c r="M101" i="5" s="1"/>
  <c r="L77" i="7" a="1"/>
  <c r="L77" i="7" s="1"/>
  <c r="L78" i="7" a="1"/>
  <c r="L78" i="7" s="1"/>
  <c r="L82" i="7" a="1"/>
  <c r="L82" i="7" s="1"/>
  <c r="L71" i="7" a="1"/>
  <c r="L71" i="7" s="1"/>
  <c r="L80" i="7" a="1"/>
  <c r="L80" i="7" s="1"/>
  <c r="L72" i="7" a="1"/>
  <c r="L72" i="7" s="1"/>
  <c r="L69" i="7" a="1"/>
  <c r="L69" i="7" s="1"/>
  <c r="L73" i="7" a="1"/>
  <c r="L73" i="7" s="1"/>
  <c r="L79" i="7" a="1"/>
  <c r="L79" i="7" s="1"/>
  <c r="L76" i="7" a="1"/>
  <c r="L76" i="7" s="1"/>
  <c r="L81" i="7" a="1"/>
  <c r="L81" i="7" s="1"/>
  <c r="L68" i="7" a="1"/>
  <c r="L68" i="7" s="1"/>
  <c r="L70" i="7" a="1"/>
  <c r="L70" i="7" s="1"/>
  <c r="L74" i="7" a="1"/>
  <c r="L74" i="7" s="1"/>
  <c r="M67" i="7"/>
  <c r="L75" i="7" a="1"/>
  <c r="L75" i="7" s="1"/>
  <c r="L9" i="5"/>
  <c r="L5" i="5"/>
  <c r="L8" i="5"/>
  <c r="L7" i="5"/>
  <c r="L6" i="5"/>
  <c r="L3" i="5"/>
  <c r="L4" i="5"/>
  <c r="L2" i="5"/>
  <c r="M94" i="5" a="1"/>
  <c r="M94" i="5" s="1"/>
  <c r="K63" i="6" a="1"/>
  <c r="K63" i="6" s="1"/>
  <c r="L62" i="6"/>
  <c r="K74" i="7" a="1"/>
  <c r="K74" i="7" s="1"/>
  <c r="L7" i="9" a="1"/>
  <c r="L7" i="9" s="1"/>
  <c r="L6" i="9" a="1"/>
  <c r="L6" i="9" s="1"/>
  <c r="L13" i="9" a="1"/>
  <c r="L13" i="9" s="1"/>
  <c r="L11" i="9" a="1"/>
  <c r="L11" i="9" s="1"/>
  <c r="M4" i="9"/>
  <c r="L10" i="9" a="1"/>
  <c r="L10" i="9" s="1"/>
  <c r="L8" i="9" a="1"/>
  <c r="L8" i="9" s="1"/>
  <c r="L5" i="9" a="1"/>
  <c r="L5" i="9" s="1"/>
  <c r="L9" i="9" a="1"/>
  <c r="L9" i="9" s="1"/>
  <c r="L12" i="9" a="1"/>
  <c r="L12" i="9" s="1"/>
  <c r="L63" i="9" a="1"/>
  <c r="L63" i="9" s="1"/>
  <c r="AV87" i="5" l="1" a="1"/>
  <c r="AV87" i="5" s="1"/>
  <c r="AV88" i="5" a="1"/>
  <c r="AV88" i="5" s="1"/>
  <c r="AV94" i="5" a="1"/>
  <c r="AV94" i="5" s="1"/>
  <c r="CB107" i="5" a="1"/>
  <c r="CB107" i="5" s="1"/>
  <c r="CC107" i="5" a="1"/>
  <c r="CC107" i="5" s="1"/>
  <c r="CD107" i="5" a="1"/>
  <c r="CD107" i="5" s="1"/>
  <c r="AV102" i="5" a="1"/>
  <c r="AV102" i="5" s="1"/>
  <c r="AV101" i="5" a="1"/>
  <c r="AV101" i="5" s="1"/>
  <c r="AV99" i="5" a="1"/>
  <c r="AV99" i="5" s="1"/>
  <c r="CE107" i="5" a="1"/>
  <c r="CE107" i="5" s="1"/>
  <c r="AV89" i="5" a="1"/>
  <c r="AV89" i="5" s="1"/>
  <c r="AV98" i="5" a="1"/>
  <c r="AV98" i="5" s="1"/>
  <c r="CG110" i="5"/>
  <c r="CF98" i="5" a="1"/>
  <c r="CF98" i="5" s="1"/>
  <c r="CF92" i="5" a="1"/>
  <c r="CF92" i="5" s="1"/>
  <c r="CF94" i="5" a="1"/>
  <c r="CF94" i="5" s="1"/>
  <c r="CF87" i="5" a="1"/>
  <c r="CF87" i="5" s="1"/>
  <c r="CF102" i="5" a="1"/>
  <c r="CF102" i="5" s="1"/>
  <c r="CF95" i="5" a="1"/>
  <c r="CF95" i="5" s="1"/>
  <c r="CF97" i="5" a="1"/>
  <c r="CF97" i="5" s="1"/>
  <c r="CE7" i="5"/>
  <c r="CE6" i="5"/>
  <c r="CE5" i="5"/>
  <c r="CE4" i="5"/>
  <c r="CE9" i="5"/>
  <c r="CE8" i="5"/>
  <c r="CE2" i="5"/>
  <c r="CE3" i="5"/>
  <c r="CG48" i="5"/>
  <c r="CG92" i="5" s="1" a="1"/>
  <c r="CG92" i="5" s="1"/>
  <c r="CF2" i="5" a="1"/>
  <c r="CF101" i="5" a="1"/>
  <c r="CF101" i="5" s="1"/>
  <c r="CF91" i="5" a="1"/>
  <c r="CF91" i="5" s="1"/>
  <c r="CF88" i="5" a="1"/>
  <c r="CF88" i="5" s="1"/>
  <c r="CK106" i="5"/>
  <c r="CF93" i="5" a="1"/>
  <c r="CF93" i="5" s="1"/>
  <c r="CG115" i="5"/>
  <c r="CG98" i="5" a="1"/>
  <c r="CG98" i="5" s="1"/>
  <c r="CG97" i="5" a="1"/>
  <c r="CG97" i="5" s="1"/>
  <c r="CG94" i="5" a="1"/>
  <c r="CG94" i="5" s="1"/>
  <c r="CH85" i="5"/>
  <c r="CG60" i="5"/>
  <c r="CH67" i="5"/>
  <c r="CF99" i="5" a="1"/>
  <c r="CF99" i="5" s="1"/>
  <c r="BB11" i="5"/>
  <c r="D107" i="5" s="1" a="1"/>
  <c r="D107" i="5" s="1"/>
  <c r="AM107" i="5" a="1"/>
  <c r="AM107" i="5" s="1"/>
  <c r="AN107" i="5" a="1"/>
  <c r="AN107" i="5" s="1"/>
  <c r="E107" i="5" a="1"/>
  <c r="E107" i="5" s="1"/>
  <c r="AO107" i="5" a="1"/>
  <c r="AO107" i="5" s="1"/>
  <c r="C107" i="5" a="1"/>
  <c r="C107" i="5" s="1"/>
  <c r="G107" i="5" a="1"/>
  <c r="G107" i="5" s="1"/>
  <c r="AS107" i="5" a="1"/>
  <c r="AS107" i="5" s="1"/>
  <c r="AT107" i="5" a="1"/>
  <c r="AT107" i="5" s="1"/>
  <c r="L107" i="5" a="1"/>
  <c r="L107" i="5" s="1"/>
  <c r="AW67" i="5"/>
  <c r="AV2" i="5" a="1"/>
  <c r="AW48" i="5"/>
  <c r="AW101" i="5" s="1" a="1"/>
  <c r="AW101" i="5" s="1"/>
  <c r="AW60" i="5"/>
  <c r="AW106" i="5"/>
  <c r="AU9" i="5"/>
  <c r="AU6" i="5"/>
  <c r="AU5" i="5"/>
  <c r="AU4" i="5"/>
  <c r="AU2" i="5"/>
  <c r="AU3" i="5"/>
  <c r="AU8" i="5"/>
  <c r="AU7" i="5"/>
  <c r="AW110" i="5"/>
  <c r="AX85" i="5"/>
  <c r="AW90" i="5" a="1"/>
  <c r="AW90" i="5" s="1"/>
  <c r="AW95" i="5" a="1"/>
  <c r="AW95" i="5" s="1"/>
  <c r="AW115" i="5"/>
  <c r="N89" i="5" a="1"/>
  <c r="N89" i="5" s="1"/>
  <c r="R106" i="7"/>
  <c r="M67" i="5"/>
  <c r="N2" i="5" a="1"/>
  <c r="O48" i="5"/>
  <c r="P106" i="5"/>
  <c r="N98" i="5" a="1"/>
  <c r="N98" i="5" s="1"/>
  <c r="N90" i="5" a="1"/>
  <c r="N90" i="5" s="1"/>
  <c r="P85" i="5"/>
  <c r="N99" i="5" a="1"/>
  <c r="N99" i="5" s="1"/>
  <c r="L117" i="7" a="1"/>
  <c r="L117" i="7" s="1"/>
  <c r="L116" i="7" a="1"/>
  <c r="L116" i="7" s="1"/>
  <c r="M115" i="7"/>
  <c r="L118" i="7" a="1"/>
  <c r="L118" i="7" s="1"/>
  <c r="L119" i="7" a="1"/>
  <c r="L119" i="7" s="1"/>
  <c r="N101" i="5" a="1"/>
  <c r="N101" i="5" s="1"/>
  <c r="L59" i="9" a="1"/>
  <c r="L59" i="9" s="1"/>
  <c r="L57" i="9" a="1"/>
  <c r="L57" i="9" s="1"/>
  <c r="L51" i="9" a="1"/>
  <c r="L51" i="9" s="1"/>
  <c r="L48" i="9" a="1"/>
  <c r="L48" i="9" s="1"/>
  <c r="L55" i="9" a="1"/>
  <c r="L55" i="9" s="1"/>
  <c r="L49" i="9" a="1"/>
  <c r="L49" i="9" s="1"/>
  <c r="L50" i="9" a="1"/>
  <c r="L50" i="9" s="1"/>
  <c r="L54" i="9" a="1"/>
  <c r="L54" i="9" s="1"/>
  <c r="L46" i="9" a="1"/>
  <c r="L46" i="9" s="1"/>
  <c r="L45" i="9" a="1"/>
  <c r="L45" i="9" s="1"/>
  <c r="L43" i="9" a="1"/>
  <c r="L43" i="9" s="1"/>
  <c r="L58" i="9" a="1"/>
  <c r="L58" i="9" s="1"/>
  <c r="M41" i="9"/>
  <c r="L47" i="9" a="1"/>
  <c r="L47" i="9" s="1"/>
  <c r="L53" i="9" a="1"/>
  <c r="L53" i="9" s="1"/>
  <c r="L44" i="9" a="1"/>
  <c r="L44" i="9" s="1"/>
  <c r="L50" i="7" a="1"/>
  <c r="L50" i="7" s="1"/>
  <c r="L57" i="7" a="1"/>
  <c r="L57" i="7" s="1"/>
  <c r="L49" i="7" a="1"/>
  <c r="L49" i="7" s="1"/>
  <c r="L56" i="7" a="1"/>
  <c r="L56" i="7" s="1"/>
  <c r="L53" i="7" a="1"/>
  <c r="L53" i="7" s="1"/>
  <c r="L51" i="7" a="1"/>
  <c r="L51" i="7" s="1"/>
  <c r="L54" i="7" a="1"/>
  <c r="L54" i="7" s="1"/>
  <c r="M48" i="7"/>
  <c r="L55" i="7" a="1"/>
  <c r="L55" i="7" s="1"/>
  <c r="L23" i="7" a="1"/>
  <c r="L2" i="7" a="1"/>
  <c r="L52" i="7" a="1"/>
  <c r="L52" i="7" s="1"/>
  <c r="L107" i="7" a="1"/>
  <c r="L107" i="7" s="1"/>
  <c r="N94" i="5" a="1"/>
  <c r="N94" i="5" s="1"/>
  <c r="Q62" i="9"/>
  <c r="M6" i="9" a="1"/>
  <c r="M6" i="9" s="1"/>
  <c r="M11" i="9" a="1"/>
  <c r="M11" i="9" s="1"/>
  <c r="M13" i="9" a="1"/>
  <c r="M13" i="9" s="1"/>
  <c r="M12" i="9" a="1"/>
  <c r="M12" i="9" s="1"/>
  <c r="M10" i="9" a="1"/>
  <c r="M10" i="9" s="1"/>
  <c r="N4" i="9"/>
  <c r="M8" i="9" a="1"/>
  <c r="M8" i="9" s="1"/>
  <c r="M5" i="9" a="1"/>
  <c r="M5" i="9" s="1"/>
  <c r="M9" i="9" a="1"/>
  <c r="M9" i="9" s="1"/>
  <c r="M7" i="9" a="1"/>
  <c r="M7" i="9" s="1"/>
  <c r="M63" i="9" a="1"/>
  <c r="M63" i="9" s="1"/>
  <c r="M2" i="5"/>
  <c r="M6" i="5"/>
  <c r="M7" i="5"/>
  <c r="M5" i="5"/>
  <c r="M4" i="5"/>
  <c r="M3" i="5"/>
  <c r="M8" i="5"/>
  <c r="M9" i="5"/>
  <c r="N102" i="5" a="1"/>
  <c r="N102" i="5" s="1"/>
  <c r="L63" i="7" a="1"/>
  <c r="L63" i="7" s="1"/>
  <c r="L61" i="7" a="1"/>
  <c r="L61" i="7" s="1"/>
  <c r="M60" i="7"/>
  <c r="L62" i="7" a="1"/>
  <c r="L62" i="7" s="1"/>
  <c r="L64" i="7" a="1"/>
  <c r="L64" i="7" s="1"/>
  <c r="N91" i="5" a="1"/>
  <c r="N91" i="5" s="1"/>
  <c r="O66" i="6"/>
  <c r="N87" i="5" a="1"/>
  <c r="N87" i="5" s="1"/>
  <c r="L82" i="9" a="1"/>
  <c r="L82" i="9" s="1"/>
  <c r="L74" i="9" a="1"/>
  <c r="L74" i="9" s="1"/>
  <c r="L75" i="9" a="1"/>
  <c r="L75" i="9" s="1"/>
  <c r="M71" i="9"/>
  <c r="M76" i="7" a="1"/>
  <c r="M76" i="7" s="1"/>
  <c r="M82" i="7" a="1"/>
  <c r="M82" i="7" s="1"/>
  <c r="M79" i="7" a="1"/>
  <c r="M79" i="7" s="1"/>
  <c r="M73" i="7" a="1"/>
  <c r="M73" i="7" s="1"/>
  <c r="M80" i="7" a="1"/>
  <c r="M80" i="7" s="1"/>
  <c r="M78" i="7" a="1"/>
  <c r="M78" i="7" s="1"/>
  <c r="M72" i="7" a="1"/>
  <c r="M72" i="7" s="1"/>
  <c r="M69" i="7" a="1"/>
  <c r="M69" i="7" s="1"/>
  <c r="M70" i="7" a="1"/>
  <c r="M70" i="7" s="1"/>
  <c r="M68" i="7" a="1"/>
  <c r="M68" i="7" s="1"/>
  <c r="M81" i="7" a="1"/>
  <c r="M81" i="7" s="1"/>
  <c r="M74" i="7" a="1"/>
  <c r="M74" i="7" s="1"/>
  <c r="M77" i="7" a="1"/>
  <c r="M77" i="7" s="1"/>
  <c r="M71" i="7" a="1"/>
  <c r="M71" i="7" s="1"/>
  <c r="M75" i="7" a="1"/>
  <c r="M75" i="7" s="1"/>
  <c r="N67" i="7"/>
  <c r="M60" i="5"/>
  <c r="L59" i="6" a="1"/>
  <c r="L59" i="6" s="1"/>
  <c r="L49" i="6" a="1"/>
  <c r="L49" i="6" s="1"/>
  <c r="L57" i="6" a="1"/>
  <c r="L57" i="6" s="1"/>
  <c r="L54" i="6" a="1"/>
  <c r="L54" i="6" s="1"/>
  <c r="L43" i="6" a="1"/>
  <c r="L43" i="6" s="1"/>
  <c r="L50" i="6" a="1"/>
  <c r="L50" i="6" s="1"/>
  <c r="L55" i="6" a="1"/>
  <c r="L55" i="6" s="1"/>
  <c r="L46" i="6" a="1"/>
  <c r="L46" i="6" s="1"/>
  <c r="M41" i="6"/>
  <c r="L51" i="6" a="1"/>
  <c r="L51" i="6" s="1"/>
  <c r="L45" i="6" a="1"/>
  <c r="L45" i="6" s="1"/>
  <c r="L44" i="6" a="1"/>
  <c r="L44" i="6" s="1"/>
  <c r="L53" i="6" a="1"/>
  <c r="L53" i="6" s="1"/>
  <c r="L48" i="6" a="1"/>
  <c r="L48" i="6" s="1"/>
  <c r="L58" i="6" a="1"/>
  <c r="L58" i="6" s="1"/>
  <c r="L47" i="6" a="1"/>
  <c r="L47" i="6" s="1"/>
  <c r="K9" i="7"/>
  <c r="K7" i="7"/>
  <c r="K6" i="7"/>
  <c r="K5" i="7"/>
  <c r="K4" i="7"/>
  <c r="K3" i="7"/>
  <c r="K2" i="7"/>
  <c r="K8" i="7"/>
  <c r="M68" i="6" a="1"/>
  <c r="M68" i="6" s="1"/>
  <c r="N93" i="5" a="1"/>
  <c r="N93" i="5" s="1"/>
  <c r="L67" i="9" a="1"/>
  <c r="L67" i="9" s="1"/>
  <c r="M66" i="9"/>
  <c r="L68" i="9" a="1"/>
  <c r="L68" i="9" s="1"/>
  <c r="M94" i="7" a="1"/>
  <c r="M94" i="7" s="1"/>
  <c r="M98" i="7" a="1"/>
  <c r="M98" i="7" s="1"/>
  <c r="M92" i="7" a="1"/>
  <c r="M92" i="7" s="1"/>
  <c r="M99" i="7" a="1"/>
  <c r="M99" i="7" s="1"/>
  <c r="M91" i="7" a="1"/>
  <c r="M91" i="7" s="1"/>
  <c r="M87" i="7" a="1"/>
  <c r="M87" i="7" s="1"/>
  <c r="M95" i="7" a="1"/>
  <c r="M95" i="7" s="1"/>
  <c r="M102" i="7" a="1"/>
  <c r="M102" i="7" s="1"/>
  <c r="M89" i="7" a="1"/>
  <c r="M89" i="7" s="1"/>
  <c r="M101" i="7" a="1"/>
  <c r="M101" i="7" s="1"/>
  <c r="M97" i="7" a="1"/>
  <c r="M97" i="7" s="1"/>
  <c r="M103" i="7" a="1"/>
  <c r="M103" i="7" s="1"/>
  <c r="M93" i="7" a="1"/>
  <c r="M93" i="7" s="1"/>
  <c r="M90" i="7" a="1"/>
  <c r="M90" i="7" s="1"/>
  <c r="M88" i="7" a="1"/>
  <c r="M88" i="7" s="1"/>
  <c r="N85" i="7"/>
  <c r="K27" i="7"/>
  <c r="K26" i="7"/>
  <c r="K25" i="7"/>
  <c r="K24" i="7"/>
  <c r="K23" i="7"/>
  <c r="K30" i="7"/>
  <c r="K29" i="7"/>
  <c r="K28" i="7"/>
  <c r="N97" i="5" a="1"/>
  <c r="N97" i="5" s="1"/>
  <c r="O115" i="5"/>
  <c r="M111" i="7" a="1"/>
  <c r="M111" i="7" s="1"/>
  <c r="N110" i="7"/>
  <c r="M112" i="7" a="1"/>
  <c r="M112" i="7" s="1"/>
  <c r="N88" i="5" a="1"/>
  <c r="N88" i="5" s="1"/>
  <c r="M75" i="6" a="1"/>
  <c r="M75" i="6" s="1"/>
  <c r="M74" i="6" a="1"/>
  <c r="M74" i="6" s="1"/>
  <c r="M80" i="6" a="1"/>
  <c r="M80" i="6" s="1"/>
  <c r="M83" i="6" a="1"/>
  <c r="M83" i="6" s="1"/>
  <c r="M81" i="6" a="1"/>
  <c r="M81" i="6" s="1"/>
  <c r="M82" i="6" a="1"/>
  <c r="M82" i="6" s="1"/>
  <c r="N71" i="6"/>
  <c r="M13" i="6" a="1"/>
  <c r="M13" i="6" s="1"/>
  <c r="M9" i="6" a="1"/>
  <c r="M9" i="6" s="1"/>
  <c r="M12" i="6" a="1"/>
  <c r="M12" i="6" s="1"/>
  <c r="M10" i="6" a="1"/>
  <c r="M10" i="6" s="1"/>
  <c r="M8" i="6" a="1"/>
  <c r="M8" i="6" s="1"/>
  <c r="M11" i="6" a="1"/>
  <c r="M11" i="6" s="1"/>
  <c r="N4" i="6"/>
  <c r="N68" i="6" s="1" a="1"/>
  <c r="N68" i="6" s="1"/>
  <c r="M7" i="6" a="1"/>
  <c r="M7" i="6" s="1"/>
  <c r="M5" i="6" a="1"/>
  <c r="M5" i="6" s="1"/>
  <c r="M6" i="6" a="1"/>
  <c r="M6" i="6" s="1"/>
  <c r="N103" i="5" a="1"/>
  <c r="N103" i="5" s="1"/>
  <c r="L38" i="9" a="1"/>
  <c r="L38" i="9" s="1"/>
  <c r="L35" i="9" a="1"/>
  <c r="L35" i="9" s="1"/>
  <c r="L34" i="9" a="1"/>
  <c r="L34" i="9" s="1"/>
  <c r="L36" i="9" a="1"/>
  <c r="L36" i="9" s="1"/>
  <c r="M23" i="9"/>
  <c r="L37" i="9" a="1"/>
  <c r="L37" i="9" s="1"/>
  <c r="L33" i="9" a="1"/>
  <c r="L33" i="9" s="1"/>
  <c r="N110" i="5"/>
  <c r="L63" i="6" a="1"/>
  <c r="L63" i="6" s="1"/>
  <c r="M62" i="6"/>
  <c r="M38" i="6" a="1"/>
  <c r="M38" i="6" s="1"/>
  <c r="M36" i="6" a="1"/>
  <c r="M36" i="6" s="1"/>
  <c r="N23" i="6"/>
  <c r="M37" i="6" a="1"/>
  <c r="M37" i="6" s="1"/>
  <c r="N92" i="5" a="1"/>
  <c r="N92" i="5" s="1"/>
  <c r="AU107" i="5" l="1" a="1"/>
  <c r="AU107" i="5" s="1"/>
  <c r="N107" i="5" a="1"/>
  <c r="N107" i="5" s="1"/>
  <c r="F107" i="5" a="1"/>
  <c r="F107" i="5" s="1"/>
  <c r="O107" i="5" a="1"/>
  <c r="O107" i="5" s="1"/>
  <c r="CA107" i="5" a="1"/>
  <c r="CA107" i="5" s="1"/>
  <c r="J107" i="5" a="1"/>
  <c r="J107" i="5" s="1"/>
  <c r="BZ107" i="5" a="1"/>
  <c r="BZ107" i="5" s="1"/>
  <c r="AR107" i="5" a="1"/>
  <c r="AR107" i="5" s="1"/>
  <c r="CF107" i="5" a="1"/>
  <c r="CF107" i="5" s="1"/>
  <c r="BY107" i="5" a="1"/>
  <c r="BY107" i="5" s="1"/>
  <c r="AQ107" i="5" a="1"/>
  <c r="AQ107" i="5" s="1"/>
  <c r="BX107" i="5" a="1"/>
  <c r="BX107" i="5" s="1"/>
  <c r="K107" i="5" a="1"/>
  <c r="K107" i="5" s="1"/>
  <c r="I107" i="5" a="1"/>
  <c r="I107" i="5" s="1"/>
  <c r="BW107" i="5" a="1"/>
  <c r="BW107" i="5" s="1"/>
  <c r="H107" i="5" a="1"/>
  <c r="H107" i="5" s="1"/>
  <c r="AP107" i="5" a="1"/>
  <c r="AP107" i="5" s="1"/>
  <c r="AV107" i="5" a="1"/>
  <c r="AV107" i="5" s="1"/>
  <c r="CG87" i="5" a="1"/>
  <c r="CG87" i="5" s="1"/>
  <c r="CH115" i="5"/>
  <c r="CG91" i="5" a="1"/>
  <c r="CG91" i="5" s="1"/>
  <c r="CL106" i="5"/>
  <c r="CG101" i="5" a="1"/>
  <c r="CG101" i="5" s="1"/>
  <c r="CH60" i="5"/>
  <c r="CG102" i="5" a="1"/>
  <c r="CG102" i="5" s="1"/>
  <c r="CG88" i="5" a="1"/>
  <c r="CG88" i="5" s="1"/>
  <c r="CG93" i="5" a="1"/>
  <c r="CG93" i="5" s="1"/>
  <c r="CH110" i="5"/>
  <c r="CG89" i="5" a="1"/>
  <c r="CG89" i="5" s="1"/>
  <c r="CG90" i="5" a="1"/>
  <c r="CG90" i="5" s="1"/>
  <c r="CG99" i="5" a="1"/>
  <c r="CG99" i="5" s="1"/>
  <c r="CG103" i="5" a="1"/>
  <c r="CG103" i="5" s="1"/>
  <c r="CI67" i="5"/>
  <c r="CF8" i="5"/>
  <c r="CF6" i="5"/>
  <c r="CF7" i="5"/>
  <c r="CF5" i="5"/>
  <c r="CF4" i="5"/>
  <c r="CF2" i="5"/>
  <c r="CF9" i="5"/>
  <c r="CF3" i="5"/>
  <c r="CH48" i="5"/>
  <c r="CH93" i="5" s="1" a="1"/>
  <c r="CH93" i="5" s="1"/>
  <c r="CG2" i="5" a="1"/>
  <c r="CG107" i="5" a="1"/>
  <c r="CG107" i="5" s="1"/>
  <c r="CG95" i="5" a="1"/>
  <c r="CG95" i="5" s="1"/>
  <c r="CI85" i="5"/>
  <c r="AW93" i="5" a="1"/>
  <c r="AW93" i="5" s="1"/>
  <c r="AW107" i="5" a="1"/>
  <c r="AW107" i="5" s="1"/>
  <c r="AX106" i="5"/>
  <c r="AW103" i="5" a="1"/>
  <c r="AW103" i="5" s="1"/>
  <c r="AW88" i="5" a="1"/>
  <c r="AW88" i="5" s="1"/>
  <c r="AV3" i="5"/>
  <c r="AV2" i="5"/>
  <c r="AV6" i="5"/>
  <c r="AV5" i="5"/>
  <c r="AV4" i="5"/>
  <c r="AV8" i="5"/>
  <c r="AV9" i="5"/>
  <c r="AV7" i="5"/>
  <c r="AW98" i="5" a="1"/>
  <c r="AW98" i="5" s="1"/>
  <c r="AW99" i="5" a="1"/>
  <c r="AW99" i="5" s="1"/>
  <c r="AX110" i="5"/>
  <c r="AW89" i="5" a="1"/>
  <c r="AW89" i="5" s="1"/>
  <c r="AX67" i="5"/>
  <c r="AW92" i="5" a="1"/>
  <c r="AW92" i="5" s="1"/>
  <c r="AW91" i="5" a="1"/>
  <c r="AW91" i="5" s="1"/>
  <c r="AW102" i="5" a="1"/>
  <c r="AW102" i="5" s="1"/>
  <c r="AX60" i="5"/>
  <c r="AW97" i="5" a="1"/>
  <c r="AW97" i="5" s="1"/>
  <c r="AY85" i="5"/>
  <c r="AX94" i="5" a="1"/>
  <c r="AX94" i="5" s="1"/>
  <c r="AX87" i="5" a="1"/>
  <c r="AX87" i="5" s="1"/>
  <c r="AW2" i="5" a="1"/>
  <c r="AX48" i="5"/>
  <c r="AX101" i="5" s="1" a="1"/>
  <c r="AX101" i="5" s="1"/>
  <c r="AW87" i="5" a="1"/>
  <c r="AW87" i="5" s="1"/>
  <c r="AX115" i="5"/>
  <c r="AW94" i="5" a="1"/>
  <c r="AW94" i="5" s="1"/>
  <c r="BC11" i="5"/>
  <c r="M107" i="5" a="1"/>
  <c r="M107" i="5" s="1"/>
  <c r="M64" i="7" a="1"/>
  <c r="M64" i="7" s="1"/>
  <c r="N60" i="7"/>
  <c r="M63" i="7" a="1"/>
  <c r="M63" i="7" s="1"/>
  <c r="M61" i="7" a="1"/>
  <c r="M61" i="7" s="1"/>
  <c r="M62" i="7" a="1"/>
  <c r="M62" i="7" s="1"/>
  <c r="P48" i="5"/>
  <c r="O2" i="5" a="1"/>
  <c r="N36" i="6" a="1"/>
  <c r="N36" i="6" s="1"/>
  <c r="N38" i="6" a="1"/>
  <c r="N38" i="6" s="1"/>
  <c r="N37" i="6" a="1"/>
  <c r="N37" i="6" s="1"/>
  <c r="O23" i="6"/>
  <c r="R62" i="9"/>
  <c r="Q85" i="5"/>
  <c r="M58" i="9" a="1"/>
  <c r="M58" i="9" s="1"/>
  <c r="M53" i="9" a="1"/>
  <c r="M53" i="9" s="1"/>
  <c r="M54" i="9" a="1"/>
  <c r="M54" i="9" s="1"/>
  <c r="M49" i="9" a="1"/>
  <c r="M49" i="9" s="1"/>
  <c r="M50" i="9" a="1"/>
  <c r="M50" i="9" s="1"/>
  <c r="M46" i="9" a="1"/>
  <c r="M46" i="9" s="1"/>
  <c r="M45" i="9" a="1"/>
  <c r="M45" i="9" s="1"/>
  <c r="M43" i="9" a="1"/>
  <c r="M43" i="9" s="1"/>
  <c r="M48" i="9" a="1"/>
  <c r="M48" i="9" s="1"/>
  <c r="N41" i="9"/>
  <c r="M57" i="9" a="1"/>
  <c r="M57" i="9" s="1"/>
  <c r="M55" i="9" a="1"/>
  <c r="M55" i="9" s="1"/>
  <c r="M47" i="9" a="1"/>
  <c r="M47" i="9" s="1"/>
  <c r="M59" i="9" a="1"/>
  <c r="M59" i="9" s="1"/>
  <c r="M51" i="9" a="1"/>
  <c r="M51" i="9" s="1"/>
  <c r="M44" i="9" a="1"/>
  <c r="M44" i="9" s="1"/>
  <c r="N115" i="7"/>
  <c r="M117" i="7" a="1"/>
  <c r="M117" i="7" s="1"/>
  <c r="M118" i="7" a="1"/>
  <c r="M118" i="7" s="1"/>
  <c r="M116" i="7" a="1"/>
  <c r="M116" i="7" s="1"/>
  <c r="M119" i="7" a="1"/>
  <c r="M119" i="7" s="1"/>
  <c r="N67" i="5"/>
  <c r="N62" i="6"/>
  <c r="M63" i="6" a="1"/>
  <c r="M63" i="6" s="1"/>
  <c r="N11" i="6" a="1"/>
  <c r="N11" i="6" s="1"/>
  <c r="N12" i="6" a="1"/>
  <c r="N12" i="6" s="1"/>
  <c r="N8" i="6" a="1"/>
  <c r="N8" i="6" s="1"/>
  <c r="O4" i="6"/>
  <c r="O67" i="6" s="1" a="1"/>
  <c r="O67" i="6" s="1"/>
  <c r="N7" i="6" a="1"/>
  <c r="N7" i="6" s="1"/>
  <c r="N13" i="6" a="1"/>
  <c r="N13" i="6" s="1"/>
  <c r="N10" i="6" a="1"/>
  <c r="N10" i="6" s="1"/>
  <c r="N6" i="6" a="1"/>
  <c r="N6" i="6" s="1"/>
  <c r="N5" i="6" a="1"/>
  <c r="N5" i="6" s="1"/>
  <c r="N9" i="6" a="1"/>
  <c r="N9" i="6" s="1"/>
  <c r="O110" i="7"/>
  <c r="N111" i="7" a="1"/>
  <c r="N111" i="7" s="1"/>
  <c r="N102" i="7" a="1"/>
  <c r="N102" i="7" s="1"/>
  <c r="N95" i="7" a="1"/>
  <c r="N95" i="7" s="1"/>
  <c r="N87" i="7" a="1"/>
  <c r="N87" i="7" s="1"/>
  <c r="N92" i="7" a="1"/>
  <c r="N92" i="7" s="1"/>
  <c r="O85" i="7"/>
  <c r="N101" i="7" a="1"/>
  <c r="N101" i="7" s="1"/>
  <c r="N94" i="7" a="1"/>
  <c r="N94" i="7" s="1"/>
  <c r="N97" i="7" a="1"/>
  <c r="N97" i="7" s="1"/>
  <c r="N89" i="7" a="1"/>
  <c r="N89" i="7" s="1"/>
  <c r="N88" i="7" a="1"/>
  <c r="N88" i="7" s="1"/>
  <c r="P66" i="6"/>
  <c r="N60" i="5"/>
  <c r="Q106" i="5"/>
  <c r="M80" i="9" a="1"/>
  <c r="M80" i="9" s="1"/>
  <c r="M79" i="9" a="1"/>
  <c r="M79" i="9" s="1"/>
  <c r="M82" i="9" a="1"/>
  <c r="M82" i="9" s="1"/>
  <c r="N71" i="9"/>
  <c r="M74" i="9" a="1"/>
  <c r="M74" i="9" s="1"/>
  <c r="M75" i="9" a="1"/>
  <c r="M75" i="9" s="1"/>
  <c r="M67" i="9" a="1"/>
  <c r="M67" i="9" s="1"/>
  <c r="N66" i="9"/>
  <c r="M68" i="9" a="1"/>
  <c r="M68" i="9" s="1"/>
  <c r="N67" i="6" a="1"/>
  <c r="N67" i="6" s="1"/>
  <c r="L2" i="7"/>
  <c r="L6" i="7"/>
  <c r="L5" i="7"/>
  <c r="L4" i="7"/>
  <c r="L3" i="7"/>
  <c r="L8" i="7"/>
  <c r="L9" i="7"/>
  <c r="L7" i="7"/>
  <c r="N13" i="9" a="1"/>
  <c r="N13" i="9" s="1"/>
  <c r="N5" i="9" a="1"/>
  <c r="N5" i="9" s="1"/>
  <c r="N12" i="9" a="1"/>
  <c r="N12" i="9" s="1"/>
  <c r="N11" i="9" a="1"/>
  <c r="N11" i="9" s="1"/>
  <c r="N6" i="9" a="1"/>
  <c r="N6" i="9" s="1"/>
  <c r="N8" i="9" a="1"/>
  <c r="N8" i="9" s="1"/>
  <c r="O4" i="9"/>
  <c r="N10" i="9" a="1"/>
  <c r="N10" i="9" s="1"/>
  <c r="N9" i="9" a="1"/>
  <c r="N9" i="9" s="1"/>
  <c r="N7" i="9" a="1"/>
  <c r="N7" i="9" s="1"/>
  <c r="N63" i="9" a="1"/>
  <c r="N63" i="9" s="1"/>
  <c r="N8" i="5"/>
  <c r="N7" i="5"/>
  <c r="N3" i="5"/>
  <c r="N6" i="5"/>
  <c r="N5" i="5"/>
  <c r="N4" i="5"/>
  <c r="N9" i="5"/>
  <c r="N2" i="5"/>
  <c r="L23" i="7"/>
  <c r="L27" i="7"/>
  <c r="L24" i="7"/>
  <c r="L29" i="7"/>
  <c r="L28" i="7"/>
  <c r="L26" i="7"/>
  <c r="L25" i="7"/>
  <c r="L30" i="7"/>
  <c r="P115" i="5"/>
  <c r="O110" i="5"/>
  <c r="S106" i="7"/>
  <c r="M38" i="9" a="1"/>
  <c r="M38" i="9" s="1"/>
  <c r="M35" i="9" a="1"/>
  <c r="M35" i="9" s="1"/>
  <c r="M36" i="9" a="1"/>
  <c r="M36" i="9" s="1"/>
  <c r="N23" i="9"/>
  <c r="M37" i="9" a="1"/>
  <c r="M37" i="9" s="1"/>
  <c r="N75" i="6" a="1"/>
  <c r="N75" i="6" s="1"/>
  <c r="N74" i="6" a="1"/>
  <c r="N74" i="6" s="1"/>
  <c r="N83" i="6" a="1"/>
  <c r="N83" i="6" s="1"/>
  <c r="N73" i="6" a="1"/>
  <c r="N73" i="6" s="1"/>
  <c r="O71" i="6"/>
  <c r="N82" i="6" a="1"/>
  <c r="N82" i="6" s="1"/>
  <c r="N81" i="6" a="1"/>
  <c r="N81" i="6" s="1"/>
  <c r="N80" i="6" a="1"/>
  <c r="N80" i="6" s="1"/>
  <c r="N75" i="7" a="1"/>
  <c r="N75" i="7" s="1"/>
  <c r="N82" i="7" a="1"/>
  <c r="N82" i="7" s="1"/>
  <c r="N81" i="7" a="1"/>
  <c r="N81" i="7" s="1"/>
  <c r="N79" i="7" a="1"/>
  <c r="N79" i="7" s="1"/>
  <c r="N73" i="7" a="1"/>
  <c r="N73" i="7" s="1"/>
  <c r="N72" i="7" a="1"/>
  <c r="N72" i="7" s="1"/>
  <c r="N68" i="7" a="1"/>
  <c r="N68" i="7" s="1"/>
  <c r="N70" i="7" a="1"/>
  <c r="N70" i="7" s="1"/>
  <c r="N74" i="7" a="1"/>
  <c r="N74" i="7" s="1"/>
  <c r="N69" i="7" a="1"/>
  <c r="N69" i="7" s="1"/>
  <c r="N71" i="7" a="1"/>
  <c r="N71" i="7" s="1"/>
  <c r="N77" i="7" a="1"/>
  <c r="N77" i="7" s="1"/>
  <c r="N78" i="7" a="1"/>
  <c r="N78" i="7" s="1"/>
  <c r="N80" i="7" a="1"/>
  <c r="N80" i="7" s="1"/>
  <c r="O67" i="7"/>
  <c r="M59" i="6" a="1"/>
  <c r="M59" i="6" s="1"/>
  <c r="M58" i="6" a="1"/>
  <c r="M58" i="6" s="1"/>
  <c r="M55" i="6" a="1"/>
  <c r="M55" i="6" s="1"/>
  <c r="M49" i="6" a="1"/>
  <c r="M49" i="6" s="1"/>
  <c r="M46" i="6" a="1"/>
  <c r="M46" i="6" s="1"/>
  <c r="M57" i="6" a="1"/>
  <c r="M57" i="6" s="1"/>
  <c r="N41" i="6"/>
  <c r="M48" i="6" a="1"/>
  <c r="M48" i="6" s="1"/>
  <c r="M44" i="6" a="1"/>
  <c r="M44" i="6" s="1"/>
  <c r="M45" i="6" a="1"/>
  <c r="M45" i="6" s="1"/>
  <c r="M51" i="6" a="1"/>
  <c r="M51" i="6" s="1"/>
  <c r="M53" i="6" a="1"/>
  <c r="M53" i="6" s="1"/>
  <c r="M47" i="6" a="1"/>
  <c r="M47" i="6" s="1"/>
  <c r="M54" i="6" a="1"/>
  <c r="M54" i="6" s="1"/>
  <c r="M50" i="6" a="1"/>
  <c r="M50" i="6" s="1"/>
  <c r="M43" i="6" a="1"/>
  <c r="M43" i="6" s="1"/>
  <c r="M57" i="7" a="1"/>
  <c r="M57" i="7" s="1"/>
  <c r="M49" i="7" a="1"/>
  <c r="M49" i="7" s="1"/>
  <c r="M56" i="7" a="1"/>
  <c r="M56" i="7" s="1"/>
  <c r="M50" i="7" a="1"/>
  <c r="M50" i="7" s="1"/>
  <c r="M51" i="7" a="1"/>
  <c r="M51" i="7" s="1"/>
  <c r="M54" i="7" a="1"/>
  <c r="M54" i="7" s="1"/>
  <c r="N48" i="7"/>
  <c r="N99" i="7" s="1" a="1"/>
  <c r="N99" i="7" s="1"/>
  <c r="M23" i="7" a="1"/>
  <c r="M52" i="7" a="1"/>
  <c r="M52" i="7" s="1"/>
  <c r="M55" i="7" a="1"/>
  <c r="M55" i="7" s="1"/>
  <c r="M53" i="7" a="1"/>
  <c r="M53" i="7" s="1"/>
  <c r="M2" i="7" a="1"/>
  <c r="M107" i="7" a="1"/>
  <c r="M107" i="7" s="1"/>
  <c r="CH87" i="5" l="1" a="1"/>
  <c r="CH87" i="5" s="1"/>
  <c r="AX97" i="5" a="1"/>
  <c r="AX97" i="5" s="1"/>
  <c r="CH95" i="5" a="1"/>
  <c r="CH95" i="5" s="1"/>
  <c r="CH101" i="5" a="1"/>
  <c r="CH101" i="5" s="1"/>
  <c r="CH103" i="5" a="1"/>
  <c r="CH103" i="5" s="1"/>
  <c r="AX93" i="5" a="1"/>
  <c r="AX93" i="5" s="1"/>
  <c r="AX92" i="5" a="1"/>
  <c r="AX92" i="5" s="1"/>
  <c r="CH92" i="5" a="1"/>
  <c r="CH92" i="5" s="1"/>
  <c r="AX102" i="5" a="1"/>
  <c r="AX102" i="5" s="1"/>
  <c r="CH102" i="5" a="1"/>
  <c r="CH102" i="5" s="1"/>
  <c r="CH91" i="5" a="1"/>
  <c r="CH91" i="5" s="1"/>
  <c r="BX112" i="5" a="1"/>
  <c r="BX112" i="5" s="1"/>
  <c r="CC111" i="5" a="1"/>
  <c r="CC111" i="5" s="1"/>
  <c r="CD112" i="5" a="1"/>
  <c r="CD112" i="5" s="1"/>
  <c r="CF111" i="5" a="1"/>
  <c r="CF111" i="5" s="1"/>
  <c r="CH90" i="5" a="1"/>
  <c r="CH90" i="5" s="1"/>
  <c r="CI115" i="5"/>
  <c r="CI48" i="5"/>
  <c r="CH2" i="5" a="1"/>
  <c r="CH107" i="5" a="1"/>
  <c r="CH107" i="5" s="1"/>
  <c r="CH89" i="5" a="1"/>
  <c r="CH89" i="5" s="1"/>
  <c r="CH97" i="5" a="1"/>
  <c r="CH97" i="5" s="1"/>
  <c r="CJ85" i="5"/>
  <c r="CH99" i="5" a="1"/>
  <c r="CH99" i="5" s="1"/>
  <c r="CG9" i="5"/>
  <c r="CG8" i="5"/>
  <c r="CG2" i="5"/>
  <c r="CG7" i="5"/>
  <c r="CG4" i="5"/>
  <c r="CG3" i="5"/>
  <c r="CG5" i="5"/>
  <c r="CG6" i="5"/>
  <c r="CI110" i="5"/>
  <c r="CH111" i="5" a="1"/>
  <c r="CH111" i="5" s="1"/>
  <c r="CH94" i="5" a="1"/>
  <c r="CH94" i="5" s="1"/>
  <c r="CI60" i="5"/>
  <c r="CM106" i="5"/>
  <c r="CH98" i="5" a="1"/>
  <c r="CH98" i="5" s="1"/>
  <c r="CJ67" i="5"/>
  <c r="CH88" i="5" a="1"/>
  <c r="CH88" i="5" s="1"/>
  <c r="AY115" i="5"/>
  <c r="AX98" i="5" a="1"/>
  <c r="AX98" i="5" s="1"/>
  <c r="AX2" i="5" a="1"/>
  <c r="AY48" i="5"/>
  <c r="AX99" i="5" a="1"/>
  <c r="AX99" i="5" s="1"/>
  <c r="AY110" i="5"/>
  <c r="AW9" i="5"/>
  <c r="AW8" i="5"/>
  <c r="AW7" i="5"/>
  <c r="AW6" i="5"/>
  <c r="AW4" i="5"/>
  <c r="AW5" i="5"/>
  <c r="AW3" i="5"/>
  <c r="AW2" i="5"/>
  <c r="AX103" i="5" a="1"/>
  <c r="AX103" i="5" s="1"/>
  <c r="AY60" i="5"/>
  <c r="BD11" i="5"/>
  <c r="CG112" i="5" s="1" a="1"/>
  <c r="CG112" i="5" s="1"/>
  <c r="AM111" i="5" a="1"/>
  <c r="AM111" i="5" s="1"/>
  <c r="AN112" i="5" a="1"/>
  <c r="AN112" i="5" s="1"/>
  <c r="E112" i="5" a="1"/>
  <c r="E112" i="5" s="1"/>
  <c r="AP112" i="5" a="1"/>
  <c r="AP112" i="5" s="1"/>
  <c r="AP111" i="5" a="1"/>
  <c r="AP111" i="5" s="1"/>
  <c r="H111" i="5" a="1"/>
  <c r="H111" i="5" s="1"/>
  <c r="I111" i="5" a="1"/>
  <c r="I111" i="5" s="1"/>
  <c r="K112" i="5" a="1"/>
  <c r="K112" i="5" s="1"/>
  <c r="AT111" i="5" a="1"/>
  <c r="AT111" i="5" s="1"/>
  <c r="L112" i="5" a="1"/>
  <c r="L112" i="5" s="1"/>
  <c r="AV111" i="5" a="1"/>
  <c r="AV111" i="5" s="1"/>
  <c r="M112" i="5" a="1"/>
  <c r="M112" i="5" s="1"/>
  <c r="AX91" i="5" a="1"/>
  <c r="AX91" i="5" s="1"/>
  <c r="AX107" i="5" a="1"/>
  <c r="AX107" i="5" s="1"/>
  <c r="AY106" i="5"/>
  <c r="AX88" i="5" a="1"/>
  <c r="AX88" i="5" s="1"/>
  <c r="AX95" i="5" a="1"/>
  <c r="AX95" i="5" s="1"/>
  <c r="AY67" i="5"/>
  <c r="AX90" i="5" a="1"/>
  <c r="AX90" i="5" s="1"/>
  <c r="AZ85" i="5"/>
  <c r="AX89" i="5" a="1"/>
  <c r="AX89" i="5" s="1"/>
  <c r="P107" i="5" a="1"/>
  <c r="P107" i="5" s="1"/>
  <c r="O67" i="5"/>
  <c r="O36" i="6" a="1"/>
  <c r="O36" i="6" s="1"/>
  <c r="O37" i="6" a="1"/>
  <c r="O37" i="6" s="1"/>
  <c r="P23" i="6"/>
  <c r="O38" i="6" a="1"/>
  <c r="O38" i="6" s="1"/>
  <c r="T106" i="7"/>
  <c r="O11" i="9" a="1"/>
  <c r="O11" i="9" s="1"/>
  <c r="O13" i="9" a="1"/>
  <c r="O13" i="9" s="1"/>
  <c r="O10" i="9" a="1"/>
  <c r="O10" i="9" s="1"/>
  <c r="P4" i="9"/>
  <c r="O5" i="9" a="1"/>
  <c r="O5" i="9" s="1"/>
  <c r="O6" i="9" a="1"/>
  <c r="O6" i="9" s="1"/>
  <c r="O7" i="9" a="1"/>
  <c r="O7" i="9" s="1"/>
  <c r="O12" i="9" a="1"/>
  <c r="O12" i="9" s="1"/>
  <c r="O9" i="9" a="1"/>
  <c r="O9" i="9" s="1"/>
  <c r="O8" i="9" a="1"/>
  <c r="O8" i="9" s="1"/>
  <c r="O63" i="9" a="1"/>
  <c r="O63" i="9" s="1"/>
  <c r="P85" i="7"/>
  <c r="O97" i="7" a="1"/>
  <c r="O97" i="7" s="1"/>
  <c r="O94" i="7" a="1"/>
  <c r="O94" i="7" s="1"/>
  <c r="O103" i="7" a="1"/>
  <c r="O103" i="7" s="1"/>
  <c r="O91" i="7" a="1"/>
  <c r="O91" i="7" s="1"/>
  <c r="O99" i="7" a="1"/>
  <c r="O99" i="7" s="1"/>
  <c r="O89" i="7" a="1"/>
  <c r="O89" i="7" s="1"/>
  <c r="O88" i="7" a="1"/>
  <c r="O88" i="7" s="1"/>
  <c r="N57" i="9" a="1"/>
  <c r="N57" i="9" s="1"/>
  <c r="N54" i="9" a="1"/>
  <c r="N54" i="9" s="1"/>
  <c r="N58" i="9" a="1"/>
  <c r="N58" i="9" s="1"/>
  <c r="N46" i="9" a="1"/>
  <c r="N46" i="9" s="1"/>
  <c r="N48" i="9" a="1"/>
  <c r="N48" i="9" s="1"/>
  <c r="O41" i="9"/>
  <c r="N55" i="9" a="1"/>
  <c r="N55" i="9" s="1"/>
  <c r="N47" i="9" a="1"/>
  <c r="N47" i="9" s="1"/>
  <c r="N59" i="9" a="1"/>
  <c r="N59" i="9" s="1"/>
  <c r="N53" i="9" a="1"/>
  <c r="N53" i="9" s="1"/>
  <c r="N44" i="9" a="1"/>
  <c r="N44" i="9" s="1"/>
  <c r="N51" i="9" a="1"/>
  <c r="N51" i="9" s="1"/>
  <c r="N43" i="9" a="1"/>
  <c r="N43" i="9" s="1"/>
  <c r="N45" i="9" a="1"/>
  <c r="N45" i="9" s="1"/>
  <c r="N50" i="9" a="1"/>
  <c r="N50" i="9" s="1"/>
  <c r="N49" i="9" a="1"/>
  <c r="N49" i="9" s="1"/>
  <c r="O4" i="5"/>
  <c r="O7" i="5"/>
  <c r="O9" i="5"/>
  <c r="O6" i="5"/>
  <c r="O8" i="5"/>
  <c r="O2" i="5"/>
  <c r="O5" i="5"/>
  <c r="O3" i="5"/>
  <c r="M8" i="7"/>
  <c r="M7" i="7"/>
  <c r="M5" i="7"/>
  <c r="M4" i="7"/>
  <c r="M3" i="7"/>
  <c r="M9" i="7"/>
  <c r="M6" i="7"/>
  <c r="M2" i="7"/>
  <c r="Q115" i="5"/>
  <c r="N82" i="9" a="1"/>
  <c r="N82" i="9" s="1"/>
  <c r="N75" i="9" a="1"/>
  <c r="N75" i="9" s="1"/>
  <c r="N79" i="9" a="1"/>
  <c r="N79" i="9" s="1"/>
  <c r="N80" i="9" a="1"/>
  <c r="N80" i="9" s="1"/>
  <c r="N73" i="9" a="1"/>
  <c r="N73" i="9" s="1"/>
  <c r="O71" i="9"/>
  <c r="N74" i="9" a="1"/>
  <c r="N74" i="9" s="1"/>
  <c r="N72" i="9" a="1"/>
  <c r="N72" i="9" s="1"/>
  <c r="P110" i="7"/>
  <c r="O111" i="7" a="1"/>
  <c r="O111" i="7" s="1"/>
  <c r="N90" i="7" a="1"/>
  <c r="N90" i="7" s="1"/>
  <c r="N112" i="7" a="1"/>
  <c r="N112" i="7" s="1"/>
  <c r="R85" i="5"/>
  <c r="Q90" i="5" a="1"/>
  <c r="Q90" i="5" s="1"/>
  <c r="O60" i="5"/>
  <c r="N93" i="7" a="1"/>
  <c r="N93" i="7" s="1"/>
  <c r="P2" i="5" a="1"/>
  <c r="Q48" i="5"/>
  <c r="Q93" i="5" s="1" a="1"/>
  <c r="Q93" i="5" s="1"/>
  <c r="N103" i="7" a="1"/>
  <c r="N103" i="7" s="1"/>
  <c r="N116" i="7" a="1"/>
  <c r="N116" i="7" s="1"/>
  <c r="O115" i="7"/>
  <c r="N117" i="7" a="1"/>
  <c r="N117" i="7" s="1"/>
  <c r="N118" i="7" a="1"/>
  <c r="N118" i="7" s="1"/>
  <c r="N119" i="7" a="1"/>
  <c r="N119" i="7" s="1"/>
  <c r="N63" i="6" a="1"/>
  <c r="N63" i="6" s="1"/>
  <c r="O62" i="6"/>
  <c r="P110" i="5"/>
  <c r="O111" i="5" a="1"/>
  <c r="O111" i="5" s="1"/>
  <c r="O112" i="5" a="1"/>
  <c r="O112" i="5" s="1"/>
  <c r="M29" i="7"/>
  <c r="M25" i="7"/>
  <c r="M24" i="7"/>
  <c r="M30" i="7"/>
  <c r="M28" i="7"/>
  <c r="M27" i="7"/>
  <c r="M26" i="7"/>
  <c r="M23" i="7"/>
  <c r="O11" i="6" a="1"/>
  <c r="O11" i="6" s="1"/>
  <c r="O10" i="6" a="1"/>
  <c r="O10" i="6" s="1"/>
  <c r="O7" i="6" a="1"/>
  <c r="O7" i="6" s="1"/>
  <c r="P4" i="6"/>
  <c r="O13" i="6" a="1"/>
  <c r="O13" i="6" s="1"/>
  <c r="O5" i="6" a="1"/>
  <c r="O5" i="6" s="1"/>
  <c r="O6" i="6" a="1"/>
  <c r="O6" i="6" s="1"/>
  <c r="O12" i="6" a="1"/>
  <c r="O12" i="6" s="1"/>
  <c r="O8" i="6" a="1"/>
  <c r="O8" i="6" s="1"/>
  <c r="O9" i="6" a="1"/>
  <c r="O9" i="6" s="1"/>
  <c r="O82" i="7" a="1"/>
  <c r="O82" i="7" s="1"/>
  <c r="O81" i="7" a="1"/>
  <c r="O81" i="7" s="1"/>
  <c r="O80" i="7" a="1"/>
  <c r="O80" i="7" s="1"/>
  <c r="O73" i="7" a="1"/>
  <c r="O73" i="7" s="1"/>
  <c r="O72" i="7" a="1"/>
  <c r="O72" i="7" s="1"/>
  <c r="P67" i="7"/>
  <c r="O70" i="7" a="1"/>
  <c r="O70" i="7" s="1"/>
  <c r="O68" i="6" a="1"/>
  <c r="O68" i="6" s="1"/>
  <c r="N63" i="7" a="1"/>
  <c r="N63" i="7" s="1"/>
  <c r="O60" i="7"/>
  <c r="N61" i="7" a="1"/>
  <c r="N61" i="7" s="1"/>
  <c r="N64" i="7" a="1"/>
  <c r="N64" i="7" s="1"/>
  <c r="N62" i="7" a="1"/>
  <c r="N62" i="7" s="1"/>
  <c r="N56" i="7" a="1"/>
  <c r="N56" i="7" s="1"/>
  <c r="N55" i="7" a="1"/>
  <c r="N55" i="7" s="1"/>
  <c r="N50" i="7" a="1"/>
  <c r="N50" i="7" s="1"/>
  <c r="N51" i="7" a="1"/>
  <c r="N51" i="7" s="1"/>
  <c r="N57" i="7" a="1"/>
  <c r="N57" i="7" s="1"/>
  <c r="N52" i="7" a="1"/>
  <c r="N52" i="7" s="1"/>
  <c r="N54" i="7" a="1"/>
  <c r="N54" i="7" s="1"/>
  <c r="O48" i="7"/>
  <c r="O93" i="7" s="1" a="1"/>
  <c r="O93" i="7" s="1"/>
  <c r="N49" i="7" a="1"/>
  <c r="N49" i="7" s="1"/>
  <c r="N2" i="7" a="1"/>
  <c r="N53" i="7" a="1"/>
  <c r="N53" i="7" s="1"/>
  <c r="N23" i="7" a="1"/>
  <c r="N107" i="7" a="1"/>
  <c r="N107" i="7" s="1"/>
  <c r="N57" i="6" a="1"/>
  <c r="N57" i="6" s="1"/>
  <c r="N54" i="6" a="1"/>
  <c r="N54" i="6" s="1"/>
  <c r="N55" i="6" a="1"/>
  <c r="N55" i="6" s="1"/>
  <c r="N46" i="6" a="1"/>
  <c r="N46" i="6" s="1"/>
  <c r="N48" i="6" a="1"/>
  <c r="N48" i="6" s="1"/>
  <c r="N44" i="6" a="1"/>
  <c r="N44" i="6" s="1"/>
  <c r="O41" i="6"/>
  <c r="N58" i="6" a="1"/>
  <c r="N58" i="6" s="1"/>
  <c r="N53" i="6" a="1"/>
  <c r="N53" i="6" s="1"/>
  <c r="N50" i="6" a="1"/>
  <c r="N50" i="6" s="1"/>
  <c r="N49" i="6" a="1"/>
  <c r="N49" i="6" s="1"/>
  <c r="N51" i="6" a="1"/>
  <c r="N51" i="6" s="1"/>
  <c r="N47" i="6" a="1"/>
  <c r="N47" i="6" s="1"/>
  <c r="N59" i="6" a="1"/>
  <c r="N59" i="6" s="1"/>
  <c r="N45" i="6" a="1"/>
  <c r="N45" i="6" s="1"/>
  <c r="N43" i="6" a="1"/>
  <c r="N43" i="6" s="1"/>
  <c r="N76" i="7" a="1"/>
  <c r="N76" i="7" s="1"/>
  <c r="N38" i="9" a="1"/>
  <c r="N38" i="9" s="1"/>
  <c r="N35" i="9" a="1"/>
  <c r="N35" i="9" s="1"/>
  <c r="N37" i="9" a="1"/>
  <c r="N37" i="9" s="1"/>
  <c r="N36" i="9" a="1"/>
  <c r="N36" i="9" s="1"/>
  <c r="O23" i="9"/>
  <c r="R106" i="5"/>
  <c r="N98" i="7" a="1"/>
  <c r="N98" i="7" s="1"/>
  <c r="S62" i="9"/>
  <c r="N68" i="9" a="1"/>
  <c r="N68" i="9" s="1"/>
  <c r="O66" i="9"/>
  <c r="N67" i="9" a="1"/>
  <c r="N67" i="9" s="1"/>
  <c r="P67" i="6" a="1"/>
  <c r="P67" i="6" s="1"/>
  <c r="Q66" i="6"/>
  <c r="P68" i="6" a="1"/>
  <c r="P68" i="6" s="1"/>
  <c r="O74" i="6" a="1"/>
  <c r="O74" i="6" s="1"/>
  <c r="O73" i="6" a="1"/>
  <c r="O73" i="6" s="1"/>
  <c r="O75" i="6" a="1"/>
  <c r="O75" i="6" s="1"/>
  <c r="O82" i="6" a="1"/>
  <c r="O82" i="6" s="1"/>
  <c r="O81" i="6" a="1"/>
  <c r="O81" i="6" s="1"/>
  <c r="O83" i="6" a="1"/>
  <c r="O83" i="6" s="1"/>
  <c r="O80" i="6" a="1"/>
  <c r="O80" i="6" s="1"/>
  <c r="P71" i="6"/>
  <c r="O72" i="6" a="1"/>
  <c r="O72" i="6" s="1"/>
  <c r="N91" i="7" a="1"/>
  <c r="N91" i="7" s="1"/>
  <c r="AR111" i="5" l="1" a="1"/>
  <c r="AR111" i="5" s="1"/>
  <c r="C111" i="5" a="1"/>
  <c r="C111" i="5" s="1"/>
  <c r="CH112" i="5" a="1"/>
  <c r="CH112" i="5" s="1"/>
  <c r="CF112" i="5" a="1"/>
  <c r="CF112" i="5" s="1"/>
  <c r="BX111" i="5" a="1"/>
  <c r="BX111" i="5" s="1"/>
  <c r="AU111" i="5" a="1"/>
  <c r="AU111" i="5" s="1"/>
  <c r="AQ111" i="5" a="1"/>
  <c r="AQ111" i="5" s="1"/>
  <c r="D112" i="5" a="1"/>
  <c r="D112" i="5" s="1"/>
  <c r="AX112" i="5" a="1"/>
  <c r="AX112" i="5" s="1"/>
  <c r="CE112" i="5" a="1"/>
  <c r="CE112" i="5" s="1"/>
  <c r="BW111" i="5" a="1"/>
  <c r="BW111" i="5" s="1"/>
  <c r="L111" i="5" a="1"/>
  <c r="L111" i="5" s="1"/>
  <c r="H112" i="5" a="1"/>
  <c r="H112" i="5" s="1"/>
  <c r="C112" i="5" a="1"/>
  <c r="C112" i="5" s="1"/>
  <c r="AX111" i="5" a="1"/>
  <c r="AX111" i="5" s="1"/>
  <c r="CE111" i="5" a="1"/>
  <c r="CE111" i="5" s="1"/>
  <c r="BW112" i="5" a="1"/>
  <c r="BW112" i="5" s="1"/>
  <c r="AU112" i="5" a="1"/>
  <c r="AU112" i="5" s="1"/>
  <c r="AQ112" i="5" a="1"/>
  <c r="AQ112" i="5" s="1"/>
  <c r="AN111" i="5" a="1"/>
  <c r="AN111" i="5" s="1"/>
  <c r="CD111" i="5" a="1"/>
  <c r="CD111" i="5" s="1"/>
  <c r="J111" i="5" a="1"/>
  <c r="J111" i="5" s="1"/>
  <c r="F111" i="5" a="1"/>
  <c r="F111" i="5" s="1"/>
  <c r="CA112" i="5" a="1"/>
  <c r="CA112" i="5" s="1"/>
  <c r="CB112" i="5" a="1"/>
  <c r="CB112" i="5" s="1"/>
  <c r="AS112" i="5" a="1"/>
  <c r="AS112" i="5" s="1"/>
  <c r="F112" i="5" a="1"/>
  <c r="F112" i="5" s="1"/>
  <c r="CA111" i="5" a="1"/>
  <c r="CA111" i="5" s="1"/>
  <c r="CC112" i="5" a="1"/>
  <c r="CC112" i="5" s="1"/>
  <c r="AT112" i="5" a="1"/>
  <c r="AT112" i="5" s="1"/>
  <c r="G112" i="5" a="1"/>
  <c r="G112" i="5" s="1"/>
  <c r="J112" i="5" a="1"/>
  <c r="J112" i="5" s="1"/>
  <c r="AO112" i="5" a="1"/>
  <c r="AO112" i="5" s="1"/>
  <c r="BZ112" i="5" a="1"/>
  <c r="BZ112" i="5" s="1"/>
  <c r="G111" i="5" a="1"/>
  <c r="G111" i="5" s="1"/>
  <c r="K111" i="5" a="1"/>
  <c r="K111" i="5" s="1"/>
  <c r="CB111" i="5" a="1"/>
  <c r="CB111" i="5" s="1"/>
  <c r="AS111" i="5" a="1"/>
  <c r="AS111" i="5" s="1"/>
  <c r="AO111" i="5" a="1"/>
  <c r="AO111" i="5" s="1"/>
  <c r="BZ111" i="5" a="1"/>
  <c r="BZ111" i="5" s="1"/>
  <c r="M111" i="5" a="1"/>
  <c r="M111" i="5" s="1"/>
  <c r="AR112" i="5" a="1"/>
  <c r="AR112" i="5" s="1"/>
  <c r="E111" i="5" a="1"/>
  <c r="E111" i="5" s="1"/>
  <c r="BY111" i="5" a="1"/>
  <c r="BY111" i="5" s="1"/>
  <c r="AV112" i="5" a="1"/>
  <c r="AV112" i="5" s="1"/>
  <c r="I112" i="5" a="1"/>
  <c r="I112" i="5" s="1"/>
  <c r="D111" i="5" a="1"/>
  <c r="D111" i="5" s="1"/>
  <c r="CG111" i="5" a="1"/>
  <c r="CG111" i="5" s="1"/>
  <c r="BY112" i="5" a="1"/>
  <c r="BY112" i="5" s="1"/>
  <c r="CN106" i="5"/>
  <c r="CH6" i="5"/>
  <c r="CH4" i="5"/>
  <c r="CH8" i="5"/>
  <c r="CH7" i="5"/>
  <c r="CH5" i="5"/>
  <c r="CH2" i="5"/>
  <c r="CH3" i="5"/>
  <c r="CH9" i="5"/>
  <c r="CJ60" i="5"/>
  <c r="CJ48" i="5"/>
  <c r="CI2" i="5" a="1"/>
  <c r="CI107" i="5" a="1"/>
  <c r="CI107" i="5" s="1"/>
  <c r="CJ115" i="5"/>
  <c r="CK67" i="5"/>
  <c r="CI112" i="5" a="1"/>
  <c r="CI112" i="5" s="1"/>
  <c r="CJ110" i="5"/>
  <c r="CI111" i="5" a="1"/>
  <c r="CI111" i="5" s="1"/>
  <c r="CK85" i="5"/>
  <c r="AX3" i="5"/>
  <c r="AX2" i="5"/>
  <c r="AX8" i="5"/>
  <c r="AX7" i="5"/>
  <c r="AX6" i="5"/>
  <c r="AX4" i="5"/>
  <c r="AX9" i="5"/>
  <c r="AX5" i="5"/>
  <c r="BE11" i="5"/>
  <c r="N112" i="5" a="1"/>
  <c r="N112" i="5" s="1"/>
  <c r="AW112" i="5" a="1"/>
  <c r="AW112" i="5" s="1"/>
  <c r="N111" i="5" a="1"/>
  <c r="N111" i="5" s="1"/>
  <c r="AW111" i="5" a="1"/>
  <c r="AW111" i="5" s="1"/>
  <c r="AZ67" i="5"/>
  <c r="AZ106" i="5"/>
  <c r="AY107" i="5" a="1"/>
  <c r="AY107" i="5" s="1"/>
  <c r="AM112" i="5" a="1"/>
  <c r="AM112" i="5" s="1"/>
  <c r="AZ115" i="5"/>
  <c r="AZ60" i="5"/>
  <c r="AY112" i="5" a="1"/>
  <c r="AY112" i="5" s="1"/>
  <c r="AZ110" i="5"/>
  <c r="AY111" i="5" a="1"/>
  <c r="AY111" i="5" s="1"/>
  <c r="BA85" i="5"/>
  <c r="AZ48" i="5"/>
  <c r="AY2" i="5" a="1"/>
  <c r="Q92" i="5" a="1"/>
  <c r="Q92" i="5" s="1"/>
  <c r="Q99" i="5" a="1"/>
  <c r="Q99" i="5" s="1"/>
  <c r="Q102" i="5" a="1"/>
  <c r="Q102" i="5" s="1"/>
  <c r="Q94" i="5" a="1"/>
  <c r="Q94" i="5" s="1"/>
  <c r="Q89" i="5" a="1"/>
  <c r="Q89" i="5" s="1"/>
  <c r="Q91" i="5" a="1"/>
  <c r="Q91" i="5" s="1"/>
  <c r="Q87" i="5" a="1"/>
  <c r="Q87" i="5" s="1"/>
  <c r="O62" i="7" a="1"/>
  <c r="O62" i="7" s="1"/>
  <c r="O61" i="7" a="1"/>
  <c r="O61" i="7" s="1"/>
  <c r="O64" i="7" a="1"/>
  <c r="O64" i="7" s="1"/>
  <c r="O63" i="7" a="1"/>
  <c r="O63" i="7" s="1"/>
  <c r="P60" i="7"/>
  <c r="N25" i="7"/>
  <c r="N27" i="7"/>
  <c r="N26" i="7"/>
  <c r="N24" i="7"/>
  <c r="N29" i="7"/>
  <c r="N28" i="7"/>
  <c r="N23" i="7"/>
  <c r="N30" i="7"/>
  <c r="O74" i="7" a="1"/>
  <c r="O74" i="7" s="1"/>
  <c r="Q98" i="5" a="1"/>
  <c r="Q98" i="5" s="1"/>
  <c r="O75" i="9" a="1"/>
  <c r="O75" i="9" s="1"/>
  <c r="O74" i="9" a="1"/>
  <c r="O74" i="9" s="1"/>
  <c r="O79" i="9" a="1"/>
  <c r="O79" i="9" s="1"/>
  <c r="O80" i="9" a="1"/>
  <c r="O80" i="9" s="1"/>
  <c r="O82" i="9" a="1"/>
  <c r="O82" i="9" s="1"/>
  <c r="O73" i="9" a="1"/>
  <c r="O73" i="9" s="1"/>
  <c r="P71" i="9"/>
  <c r="O72" i="9" a="1"/>
  <c r="O72" i="9" s="1"/>
  <c r="T62" i="9"/>
  <c r="U62" i="9" s="1"/>
  <c r="V62" i="9" s="1"/>
  <c r="W62" i="9" s="1"/>
  <c r="X62" i="9" s="1"/>
  <c r="O55" i="7" a="1"/>
  <c r="O55" i="7" s="1"/>
  <c r="O54" i="7" a="1"/>
  <c r="O54" i="7" s="1"/>
  <c r="O56" i="7" a="1"/>
  <c r="O56" i="7" s="1"/>
  <c r="O51" i="7" a="1"/>
  <c r="O51" i="7" s="1"/>
  <c r="O57" i="7" a="1"/>
  <c r="O57" i="7" s="1"/>
  <c r="O52" i="7" a="1"/>
  <c r="O52" i="7" s="1"/>
  <c r="O23" i="7" a="1"/>
  <c r="O53" i="7" a="1"/>
  <c r="O53" i="7" s="1"/>
  <c r="P48" i="7"/>
  <c r="O49" i="7" a="1"/>
  <c r="O49" i="7" s="1"/>
  <c r="O2" i="7" a="1"/>
  <c r="O50" i="7" a="1"/>
  <c r="O50" i="7" s="1"/>
  <c r="O107" i="7" a="1"/>
  <c r="O107" i="7" s="1"/>
  <c r="O77" i="7" a="1"/>
  <c r="O77" i="7" s="1"/>
  <c r="O118" i="7" a="1"/>
  <c r="O118" i="7" s="1"/>
  <c r="O116" i="7" a="1"/>
  <c r="O116" i="7" s="1"/>
  <c r="P115" i="7"/>
  <c r="O117" i="7" a="1"/>
  <c r="O117" i="7" s="1"/>
  <c r="O119" i="7" a="1"/>
  <c r="O119" i="7" s="1"/>
  <c r="O101" i="7" a="1"/>
  <c r="O101" i="7" s="1"/>
  <c r="O78" i="7" a="1"/>
  <c r="O78" i="7" s="1"/>
  <c r="Q95" i="5" a="1"/>
  <c r="Q95" i="5" s="1"/>
  <c r="O55" i="9" a="1"/>
  <c r="O55" i="9" s="1"/>
  <c r="O51" i="9" a="1"/>
  <c r="O51" i="9" s="1"/>
  <c r="P41" i="9"/>
  <c r="O57" i="9" a="1"/>
  <c r="O57" i="9" s="1"/>
  <c r="O45" i="9" a="1"/>
  <c r="O45" i="9" s="1"/>
  <c r="O54" i="9" a="1"/>
  <c r="O54" i="9" s="1"/>
  <c r="O48" i="9" a="1"/>
  <c r="O48" i="9" s="1"/>
  <c r="O46" i="9" a="1"/>
  <c r="O46" i="9" s="1"/>
  <c r="O58" i="9" a="1"/>
  <c r="O58" i="9" s="1"/>
  <c r="O50" i="9" a="1"/>
  <c r="O50" i="9" s="1"/>
  <c r="O59" i="9" a="1"/>
  <c r="O59" i="9" s="1"/>
  <c r="O43" i="9" a="1"/>
  <c r="O43" i="9" s="1"/>
  <c r="O49" i="9" a="1"/>
  <c r="O49" i="9" s="1"/>
  <c r="O47" i="9" a="1"/>
  <c r="O47" i="9" s="1"/>
  <c r="O44" i="9" a="1"/>
  <c r="O44" i="9" s="1"/>
  <c r="O53" i="9" a="1"/>
  <c r="O53" i="9" s="1"/>
  <c r="P99" i="7" a="1"/>
  <c r="P99" i="7" s="1"/>
  <c r="Q85" i="7"/>
  <c r="P101" i="7" a="1"/>
  <c r="P101" i="7" s="1"/>
  <c r="P92" i="7" a="1"/>
  <c r="P92" i="7" s="1"/>
  <c r="P97" i="7" a="1"/>
  <c r="P97" i="7" s="1"/>
  <c r="P93" i="7" a="1"/>
  <c r="P93" i="7" s="1"/>
  <c r="P102" i="7" a="1"/>
  <c r="P102" i="7" s="1"/>
  <c r="P95" i="7" a="1"/>
  <c r="P95" i="7" s="1"/>
  <c r="P90" i="7" a="1"/>
  <c r="P90" i="7" s="1"/>
  <c r="P98" i="7" a="1"/>
  <c r="P98" i="7" s="1"/>
  <c r="P88" i="7" a="1"/>
  <c r="P88" i="7" s="1"/>
  <c r="P103" i="7" a="1"/>
  <c r="P103" i="7" s="1"/>
  <c r="P87" i="7" a="1"/>
  <c r="P87" i="7" s="1"/>
  <c r="P94" i="7" a="1"/>
  <c r="P94" i="7" s="1"/>
  <c r="P91" i="7" a="1"/>
  <c r="P91" i="7" s="1"/>
  <c r="P89" i="7" a="1"/>
  <c r="P89" i="7" s="1"/>
  <c r="P6" i="5"/>
  <c r="P5" i="5"/>
  <c r="P2" i="5"/>
  <c r="P4" i="5"/>
  <c r="P3" i="5"/>
  <c r="P9" i="5"/>
  <c r="P8" i="5"/>
  <c r="P7" i="5"/>
  <c r="Q67" i="6" a="1"/>
  <c r="Q67" i="6" s="1"/>
  <c r="R66" i="6"/>
  <c r="Q68" i="6" a="1"/>
  <c r="Q68" i="6" s="1"/>
  <c r="P73" i="6" a="1"/>
  <c r="P73" i="6" s="1"/>
  <c r="P74" i="6" a="1"/>
  <c r="P74" i="6" s="1"/>
  <c r="P83" i="6" a="1"/>
  <c r="P83" i="6" s="1"/>
  <c r="P80" i="6" a="1"/>
  <c r="P80" i="6" s="1"/>
  <c r="P75" i="6" a="1"/>
  <c r="P75" i="6" s="1"/>
  <c r="Q71" i="6"/>
  <c r="P72" i="6" a="1"/>
  <c r="P72" i="6" s="1"/>
  <c r="P82" i="6" a="1"/>
  <c r="P82" i="6" s="1"/>
  <c r="P81" i="6" a="1"/>
  <c r="P81" i="6" s="1"/>
  <c r="O69" i="7" a="1"/>
  <c r="O69" i="7" s="1"/>
  <c r="P111" i="5" a="1"/>
  <c r="P111" i="5" s="1"/>
  <c r="P112" i="5" a="1"/>
  <c r="P112" i="5" s="1"/>
  <c r="Q110" i="5"/>
  <c r="P60" i="5"/>
  <c r="S85" i="5"/>
  <c r="R115" i="5"/>
  <c r="O87" i="7" a="1"/>
  <c r="O87" i="7" s="1"/>
  <c r="U106" i="7"/>
  <c r="P11" i="9" a="1"/>
  <c r="P11" i="9" s="1"/>
  <c r="P10" i="9" a="1"/>
  <c r="P10" i="9" s="1"/>
  <c r="P9" i="9" a="1"/>
  <c r="P9" i="9" s="1"/>
  <c r="P5" i="9" a="1"/>
  <c r="P5" i="9" s="1"/>
  <c r="P12" i="9" a="1"/>
  <c r="P12" i="9" s="1"/>
  <c r="P7" i="9" a="1"/>
  <c r="P7" i="9" s="1"/>
  <c r="P13" i="9" a="1"/>
  <c r="P13" i="9" s="1"/>
  <c r="P8" i="9" a="1"/>
  <c r="P8" i="9" s="1"/>
  <c r="Q4" i="9"/>
  <c r="P6" i="9" a="1"/>
  <c r="P6" i="9" s="1"/>
  <c r="P63" i="9" a="1"/>
  <c r="P63" i="9" s="1"/>
  <c r="S106" i="5"/>
  <c r="O79" i="7" a="1"/>
  <c r="O79" i="7" s="1"/>
  <c r="P62" i="6"/>
  <c r="O63" i="6" a="1"/>
  <c r="O63" i="6" s="1"/>
  <c r="Q88" i="5" a="1"/>
  <c r="Q88" i="5" s="1"/>
  <c r="O90" i="7" a="1"/>
  <c r="O90" i="7" s="1"/>
  <c r="P67" i="5"/>
  <c r="N4" i="7"/>
  <c r="N5" i="7"/>
  <c r="N3" i="7"/>
  <c r="N2" i="7"/>
  <c r="N9" i="7"/>
  <c r="N8" i="7"/>
  <c r="N7" i="7"/>
  <c r="N6" i="7"/>
  <c r="O55" i="6" a="1"/>
  <c r="O55" i="6" s="1"/>
  <c r="P41" i="6"/>
  <c r="O53" i="6" a="1"/>
  <c r="O53" i="6" s="1"/>
  <c r="O59" i="6" a="1"/>
  <c r="O59" i="6" s="1"/>
  <c r="O48" i="6" a="1"/>
  <c r="O48" i="6" s="1"/>
  <c r="O44" i="6" a="1"/>
  <c r="O44" i="6" s="1"/>
  <c r="O57" i="6" a="1"/>
  <c r="O57" i="6" s="1"/>
  <c r="O58" i="6" a="1"/>
  <c r="O58" i="6" s="1"/>
  <c r="O54" i="6" a="1"/>
  <c r="O54" i="6" s="1"/>
  <c r="O46" i="6" a="1"/>
  <c r="O46" i="6" s="1"/>
  <c r="O51" i="6" a="1"/>
  <c r="O51" i="6" s="1"/>
  <c r="O50" i="6" a="1"/>
  <c r="O50" i="6" s="1"/>
  <c r="O49" i="6" a="1"/>
  <c r="O49" i="6" s="1"/>
  <c r="O47" i="6" a="1"/>
  <c r="O47" i="6" s="1"/>
  <c r="O43" i="6" a="1"/>
  <c r="O43" i="6" s="1"/>
  <c r="O45" i="6" a="1"/>
  <c r="O45" i="6" s="1"/>
  <c r="O68" i="7" a="1"/>
  <c r="O68" i="7" s="1"/>
  <c r="P9" i="6" a="1"/>
  <c r="P9" i="6" s="1"/>
  <c r="P6" i="6" a="1"/>
  <c r="P6" i="6" s="1"/>
  <c r="Q4" i="6"/>
  <c r="P13" i="6" a="1"/>
  <c r="P13" i="6" s="1"/>
  <c r="P11" i="6" a="1"/>
  <c r="P11" i="6" s="1"/>
  <c r="P7" i="6" a="1"/>
  <c r="P7" i="6" s="1"/>
  <c r="P8" i="6" a="1"/>
  <c r="P8" i="6" s="1"/>
  <c r="P5" i="6" a="1"/>
  <c r="P5" i="6" s="1"/>
  <c r="P10" i="6" a="1"/>
  <c r="P10" i="6" s="1"/>
  <c r="P12" i="6" a="1"/>
  <c r="P12" i="6" s="1"/>
  <c r="Q97" i="5" a="1"/>
  <c r="Q97" i="5" s="1"/>
  <c r="O95" i="7" a="1"/>
  <c r="O95" i="7" s="1"/>
  <c r="Q110" i="7"/>
  <c r="P111" i="7" a="1"/>
  <c r="P111" i="7" s="1"/>
  <c r="P112" i="7" a="1"/>
  <c r="P112" i="7" s="1"/>
  <c r="O67" i="9" a="1"/>
  <c r="O67" i="9" s="1"/>
  <c r="P66" i="9"/>
  <c r="O68" i="9" a="1"/>
  <c r="O68" i="9" s="1"/>
  <c r="P81" i="7" a="1"/>
  <c r="P81" i="7" s="1"/>
  <c r="P80" i="7" a="1"/>
  <c r="P80" i="7" s="1"/>
  <c r="P79" i="7" a="1"/>
  <c r="P79" i="7" s="1"/>
  <c r="P74" i="7" a="1"/>
  <c r="P74" i="7" s="1"/>
  <c r="P72" i="7" a="1"/>
  <c r="P72" i="7" s="1"/>
  <c r="P75" i="7" a="1"/>
  <c r="P75" i="7" s="1"/>
  <c r="P71" i="7" a="1"/>
  <c r="P71" i="7" s="1"/>
  <c r="P76" i="7" a="1"/>
  <c r="P76" i="7" s="1"/>
  <c r="P70" i="7" a="1"/>
  <c r="P70" i="7" s="1"/>
  <c r="P68" i="7" a="1"/>
  <c r="P68" i="7" s="1"/>
  <c r="P73" i="7" a="1"/>
  <c r="P73" i="7" s="1"/>
  <c r="P82" i="7" a="1"/>
  <c r="P82" i="7" s="1"/>
  <c r="P77" i="7" a="1"/>
  <c r="P77" i="7" s="1"/>
  <c r="P78" i="7" a="1"/>
  <c r="P78" i="7" s="1"/>
  <c r="Q67" i="7"/>
  <c r="P69" i="7" a="1"/>
  <c r="P69" i="7" s="1"/>
  <c r="O38" i="9" a="1"/>
  <c r="O38" i="9" s="1"/>
  <c r="O35" i="9" a="1"/>
  <c r="O35" i="9" s="1"/>
  <c r="O37" i="9" a="1"/>
  <c r="O37" i="9" s="1"/>
  <c r="O36" i="9" a="1"/>
  <c r="O36" i="9" s="1"/>
  <c r="P23" i="9"/>
  <c r="O76" i="7" a="1"/>
  <c r="O76" i="7" s="1"/>
  <c r="O102" i="7" a="1"/>
  <c r="O102" i="7" s="1"/>
  <c r="P37" i="6" a="1"/>
  <c r="P37" i="6" s="1"/>
  <c r="Q23" i="6"/>
  <c r="P36" i="6" a="1"/>
  <c r="P36" i="6" s="1"/>
  <c r="P38" i="6" a="1"/>
  <c r="P38" i="6" s="1"/>
  <c r="O71" i="7" a="1"/>
  <c r="O71" i="7" s="1"/>
  <c r="Q2" i="5" a="1"/>
  <c r="R48" i="5"/>
  <c r="R94" i="5" s="1" a="1"/>
  <c r="R94" i="5" s="1"/>
  <c r="Q101" i="5" a="1"/>
  <c r="Q101" i="5" s="1"/>
  <c r="O92" i="7" a="1"/>
  <c r="O92" i="7" s="1"/>
  <c r="O75" i="7" a="1"/>
  <c r="O75" i="7" s="1"/>
  <c r="Q103" i="5" a="1"/>
  <c r="Q103" i="5" s="1"/>
  <c r="O112" i="7" a="1"/>
  <c r="O112" i="7" s="1"/>
  <c r="O98" i="7" a="1"/>
  <c r="O98" i="7" s="1"/>
  <c r="BW117" i="5" l="1" a="1"/>
  <c r="BW117" i="5" s="1"/>
  <c r="BX117" i="5" a="1"/>
  <c r="BX117" i="5" s="1"/>
  <c r="BX118" i="5" a="1"/>
  <c r="BX118" i="5" s="1"/>
  <c r="BX119" i="5" a="1"/>
  <c r="BX119" i="5" s="1"/>
  <c r="BY119" i="5" a="1"/>
  <c r="BY119" i="5" s="1"/>
  <c r="BY117" i="5" a="1"/>
  <c r="BY117" i="5" s="1"/>
  <c r="BY116" i="5" a="1"/>
  <c r="BY116" i="5" s="1"/>
  <c r="CA119" i="5" a="1"/>
  <c r="CA119" i="5" s="1"/>
  <c r="CB117" i="5" a="1"/>
  <c r="CB117" i="5" s="1"/>
  <c r="CB116" i="5" a="1"/>
  <c r="CB116" i="5" s="1"/>
  <c r="CB118" i="5" a="1"/>
  <c r="CB118" i="5" s="1"/>
  <c r="CC116" i="5" a="1"/>
  <c r="CC116" i="5" s="1"/>
  <c r="CC119" i="5" a="1"/>
  <c r="CC119" i="5" s="1"/>
  <c r="CC117" i="5" a="1"/>
  <c r="CC117" i="5" s="1"/>
  <c r="CD116" i="5" a="1"/>
  <c r="CD116" i="5" s="1"/>
  <c r="CE118" i="5" a="1"/>
  <c r="CE118" i="5" s="1"/>
  <c r="CF116" i="5" a="1"/>
  <c r="CF116" i="5" s="1"/>
  <c r="CF119" i="5" a="1"/>
  <c r="CF119" i="5" s="1"/>
  <c r="CF118" i="5" a="1"/>
  <c r="CF118" i="5" s="1"/>
  <c r="CF117" i="5" a="1"/>
  <c r="CF117" i="5" s="1"/>
  <c r="CG117" i="5" a="1"/>
  <c r="CG117" i="5" s="1"/>
  <c r="CG116" i="5" a="1"/>
  <c r="CG116" i="5" s="1"/>
  <c r="CG119" i="5" a="1"/>
  <c r="CG119" i="5" s="1"/>
  <c r="CH117" i="5" a="1"/>
  <c r="CH117" i="5" s="1"/>
  <c r="CI116" i="5" a="1"/>
  <c r="CI116" i="5" s="1"/>
  <c r="CI119" i="5" a="1"/>
  <c r="CI119" i="5" s="1"/>
  <c r="CK90" i="5" a="1"/>
  <c r="CK90" i="5" s="1"/>
  <c r="CL85" i="5"/>
  <c r="CL67" i="5"/>
  <c r="CJ116" i="5" a="1"/>
  <c r="CJ116" i="5" s="1"/>
  <c r="CK115" i="5"/>
  <c r="CJ118" i="5" a="1"/>
  <c r="CJ118" i="5" s="1"/>
  <c r="CJ119" i="5" a="1"/>
  <c r="CJ119" i="5" s="1"/>
  <c r="CJ117" i="5" a="1"/>
  <c r="CJ117" i="5" s="1"/>
  <c r="CJ112" i="5" a="1"/>
  <c r="CJ112" i="5" s="1"/>
  <c r="CK110" i="5"/>
  <c r="CJ111" i="5" a="1"/>
  <c r="CJ111" i="5" s="1"/>
  <c r="CI5" i="5"/>
  <c r="CI4" i="5"/>
  <c r="CI2" i="5"/>
  <c r="CI6" i="5"/>
  <c r="CI3" i="5"/>
  <c r="CI8" i="5"/>
  <c r="CI9" i="5"/>
  <c r="CI7" i="5"/>
  <c r="CO106" i="5"/>
  <c r="CK60" i="5"/>
  <c r="CK48" i="5"/>
  <c r="CK89" i="5" s="1" a="1"/>
  <c r="CK89" i="5" s="1"/>
  <c r="CJ2" i="5" a="1"/>
  <c r="CJ107" i="5" a="1"/>
  <c r="CJ107" i="5" s="1"/>
  <c r="AZ112" i="5" a="1"/>
  <c r="AZ112" i="5" s="1"/>
  <c r="BA110" i="5"/>
  <c r="AZ111" i="5" a="1"/>
  <c r="AZ111" i="5" s="1"/>
  <c r="BA60" i="5"/>
  <c r="BA67" i="5"/>
  <c r="AY8" i="5"/>
  <c r="AY7" i="5"/>
  <c r="AY6" i="5"/>
  <c r="AY5" i="5"/>
  <c r="AY9" i="5"/>
  <c r="AY3" i="5"/>
  <c r="AY2" i="5"/>
  <c r="AY4" i="5"/>
  <c r="BB85" i="5"/>
  <c r="BA92" i="5" a="1"/>
  <c r="BA92" i="5" s="1"/>
  <c r="BF11" i="5"/>
  <c r="BZ118" i="5" s="1" a="1"/>
  <c r="BZ118" i="5" s="1"/>
  <c r="AM118" i="5" a="1"/>
  <c r="AM118" i="5" s="1"/>
  <c r="AM117" i="5" a="1"/>
  <c r="AM117" i="5" s="1"/>
  <c r="AN119" i="5" a="1"/>
  <c r="AN119" i="5" s="1"/>
  <c r="AN116" i="5" a="1"/>
  <c r="AN116" i="5" s="1"/>
  <c r="AN118" i="5" a="1"/>
  <c r="AN118" i="5" s="1"/>
  <c r="AN117" i="5" a="1"/>
  <c r="AN117" i="5" s="1"/>
  <c r="E118" i="5" a="1"/>
  <c r="E118" i="5" s="1"/>
  <c r="AO116" i="5" a="1"/>
  <c r="AO116" i="5" s="1"/>
  <c r="F116" i="5" a="1"/>
  <c r="F116" i="5" s="1"/>
  <c r="D119" i="5" a="1"/>
  <c r="D119" i="5" s="1"/>
  <c r="F119" i="5" a="1"/>
  <c r="F119" i="5" s="1"/>
  <c r="E119" i="5" a="1"/>
  <c r="E119" i="5" s="1"/>
  <c r="AO119" i="5" a="1"/>
  <c r="AO119" i="5" s="1"/>
  <c r="G116" i="5" a="1"/>
  <c r="G116" i="5" s="1"/>
  <c r="E116" i="5" a="1"/>
  <c r="E116" i="5" s="1"/>
  <c r="D118" i="5" a="1"/>
  <c r="D118" i="5" s="1"/>
  <c r="D116" i="5" a="1"/>
  <c r="D116" i="5" s="1"/>
  <c r="F118" i="5" a="1"/>
  <c r="F118" i="5" s="1"/>
  <c r="AO118" i="5" a="1"/>
  <c r="AO118" i="5" s="1"/>
  <c r="C116" i="5" a="1"/>
  <c r="C116" i="5" s="1"/>
  <c r="G119" i="5" a="1"/>
  <c r="G119" i="5" s="1"/>
  <c r="D117" i="5" a="1"/>
  <c r="D117" i="5" s="1"/>
  <c r="F117" i="5" a="1"/>
  <c r="F117" i="5" s="1"/>
  <c r="G118" i="5" a="1"/>
  <c r="G118" i="5" s="1"/>
  <c r="E117" i="5" a="1"/>
  <c r="E117" i="5" s="1"/>
  <c r="C119" i="5" a="1"/>
  <c r="C119" i="5" s="1"/>
  <c r="AO117" i="5" a="1"/>
  <c r="AO117" i="5" s="1"/>
  <c r="G117" i="5" a="1"/>
  <c r="G117" i="5" s="1"/>
  <c r="H117" i="5" a="1"/>
  <c r="H117" i="5" s="1"/>
  <c r="AP118" i="5" a="1"/>
  <c r="AP118" i="5" s="1"/>
  <c r="H116" i="5" a="1"/>
  <c r="H116" i="5" s="1"/>
  <c r="H119" i="5" a="1"/>
  <c r="H119" i="5" s="1"/>
  <c r="AP119" i="5" a="1"/>
  <c r="AP119" i="5" s="1"/>
  <c r="AP117" i="5" a="1"/>
  <c r="AP117" i="5" s="1"/>
  <c r="AP116" i="5" a="1"/>
  <c r="AP116" i="5" s="1"/>
  <c r="I119" i="5" a="1"/>
  <c r="I119" i="5" s="1"/>
  <c r="AQ118" i="5" a="1"/>
  <c r="AQ118" i="5" s="1"/>
  <c r="AQ116" i="5" a="1"/>
  <c r="AQ116" i="5" s="1"/>
  <c r="I117" i="5" a="1"/>
  <c r="I117" i="5" s="1"/>
  <c r="I118" i="5" a="1"/>
  <c r="I118" i="5" s="1"/>
  <c r="AQ119" i="5" a="1"/>
  <c r="AQ119" i="5" s="1"/>
  <c r="AQ117" i="5" a="1"/>
  <c r="AQ117" i="5" s="1"/>
  <c r="I116" i="5" a="1"/>
  <c r="I116" i="5" s="1"/>
  <c r="AR116" i="5" a="1"/>
  <c r="AR116" i="5" s="1"/>
  <c r="AR117" i="5" a="1"/>
  <c r="AR117" i="5" s="1"/>
  <c r="J119" i="5" a="1"/>
  <c r="J119" i="5" s="1"/>
  <c r="AR119" i="5" a="1"/>
  <c r="AR119" i="5" s="1"/>
  <c r="AR118" i="5" a="1"/>
  <c r="AR118" i="5" s="1"/>
  <c r="J116" i="5" a="1"/>
  <c r="J116" i="5" s="1"/>
  <c r="J117" i="5" a="1"/>
  <c r="J117" i="5" s="1"/>
  <c r="J118" i="5" a="1"/>
  <c r="J118" i="5" s="1"/>
  <c r="AS118" i="5" a="1"/>
  <c r="AS118" i="5" s="1"/>
  <c r="AS117" i="5" a="1"/>
  <c r="AS117" i="5" s="1"/>
  <c r="AS116" i="5" a="1"/>
  <c r="AS116" i="5" s="1"/>
  <c r="K118" i="5" a="1"/>
  <c r="K118" i="5" s="1"/>
  <c r="K116" i="5" a="1"/>
  <c r="K116" i="5" s="1"/>
  <c r="K117" i="5" a="1"/>
  <c r="K117" i="5" s="1"/>
  <c r="K119" i="5" a="1"/>
  <c r="K119" i="5" s="1"/>
  <c r="AS119" i="5" a="1"/>
  <c r="AS119" i="5" s="1"/>
  <c r="AT118" i="5" a="1"/>
  <c r="AT118" i="5" s="1"/>
  <c r="AT116" i="5" a="1"/>
  <c r="AT116" i="5" s="1"/>
  <c r="L119" i="5" a="1"/>
  <c r="L119" i="5" s="1"/>
  <c r="L118" i="5" a="1"/>
  <c r="L118" i="5" s="1"/>
  <c r="L117" i="5" a="1"/>
  <c r="L117" i="5" s="1"/>
  <c r="AT117" i="5" a="1"/>
  <c r="AT117" i="5" s="1"/>
  <c r="L116" i="5" a="1"/>
  <c r="L116" i="5" s="1"/>
  <c r="AT119" i="5" a="1"/>
  <c r="AT119" i="5" s="1"/>
  <c r="AU116" i="5" a="1"/>
  <c r="AU116" i="5" s="1"/>
  <c r="M119" i="5" a="1"/>
  <c r="M119" i="5" s="1"/>
  <c r="M116" i="5" a="1"/>
  <c r="M116" i="5" s="1"/>
  <c r="AU117" i="5" a="1"/>
  <c r="AU117" i="5" s="1"/>
  <c r="AU118" i="5" a="1"/>
  <c r="AU118" i="5" s="1"/>
  <c r="M118" i="5" a="1"/>
  <c r="M118" i="5" s="1"/>
  <c r="M117" i="5" a="1"/>
  <c r="M117" i="5" s="1"/>
  <c r="AU119" i="5" a="1"/>
  <c r="AU119" i="5" s="1"/>
  <c r="AV116" i="5" a="1"/>
  <c r="AV116" i="5" s="1"/>
  <c r="N116" i="5" a="1"/>
  <c r="N116" i="5" s="1"/>
  <c r="N118" i="5" a="1"/>
  <c r="N118" i="5" s="1"/>
  <c r="N119" i="5" a="1"/>
  <c r="N119" i="5" s="1"/>
  <c r="AV119" i="5" a="1"/>
  <c r="AV119" i="5" s="1"/>
  <c r="N117" i="5" a="1"/>
  <c r="N117" i="5" s="1"/>
  <c r="AV118" i="5" a="1"/>
  <c r="AV118" i="5" s="1"/>
  <c r="AV117" i="5" a="1"/>
  <c r="AV117" i="5" s="1"/>
  <c r="O116" i="5" a="1"/>
  <c r="O116" i="5" s="1"/>
  <c r="AW116" i="5" a="1"/>
  <c r="AW116" i="5" s="1"/>
  <c r="AW119" i="5" a="1"/>
  <c r="AW119" i="5" s="1"/>
  <c r="O119" i="5" a="1"/>
  <c r="O119" i="5" s="1"/>
  <c r="AW117" i="5" a="1"/>
  <c r="AW117" i="5" s="1"/>
  <c r="O117" i="5" a="1"/>
  <c r="O117" i="5" s="1"/>
  <c r="AW118" i="5" a="1"/>
  <c r="AW118" i="5" s="1"/>
  <c r="O118" i="5" a="1"/>
  <c r="O118" i="5" s="1"/>
  <c r="P116" i="5" a="1"/>
  <c r="P116" i="5" s="1"/>
  <c r="AX116" i="5" a="1"/>
  <c r="AX116" i="5" s="1"/>
  <c r="AX118" i="5" a="1"/>
  <c r="AX118" i="5" s="1"/>
  <c r="P119" i="5" a="1"/>
  <c r="P119" i="5" s="1"/>
  <c r="P117" i="5" a="1"/>
  <c r="P117" i="5" s="1"/>
  <c r="AX117" i="5" a="1"/>
  <c r="AX117" i="5" s="1"/>
  <c r="AX119" i="5" a="1"/>
  <c r="AX119" i="5" s="1"/>
  <c r="P118" i="5" a="1"/>
  <c r="P118" i="5" s="1"/>
  <c r="AY118" i="5" a="1"/>
  <c r="AY118" i="5" s="1"/>
  <c r="BA106" i="5"/>
  <c r="AZ107" i="5" a="1"/>
  <c r="AZ107" i="5" s="1"/>
  <c r="AZ116" i="5" a="1"/>
  <c r="AZ116" i="5" s="1"/>
  <c r="BA115" i="5"/>
  <c r="AZ119" i="5" a="1"/>
  <c r="AZ119" i="5" s="1"/>
  <c r="AZ117" i="5" a="1"/>
  <c r="AZ117" i="5" s="1"/>
  <c r="AZ118" i="5" a="1"/>
  <c r="AZ118" i="5" s="1"/>
  <c r="AY116" i="5" a="1"/>
  <c r="AY116" i="5" s="1"/>
  <c r="BA48" i="5"/>
  <c r="BA103" i="5" s="1" a="1"/>
  <c r="BA103" i="5" s="1"/>
  <c r="AZ2" i="5" a="1"/>
  <c r="AY117" i="5" a="1"/>
  <c r="AY117" i="5" s="1"/>
  <c r="S48" i="5"/>
  <c r="S92" i="5" s="1" a="1"/>
  <c r="S92" i="5" s="1"/>
  <c r="R2" i="5" a="1"/>
  <c r="S102" i="5" a="1"/>
  <c r="S102" i="5" s="1"/>
  <c r="T85" i="5"/>
  <c r="R87" i="5" a="1"/>
  <c r="R87" i="5" s="1"/>
  <c r="Q8" i="5"/>
  <c r="Q9" i="5"/>
  <c r="Q6" i="5"/>
  <c r="Q5" i="5"/>
  <c r="Q4" i="5"/>
  <c r="Q2" i="5"/>
  <c r="Q7" i="5"/>
  <c r="Q3" i="5"/>
  <c r="Q10" i="9" a="1"/>
  <c r="Q10" i="9" s="1"/>
  <c r="Q9" i="9" a="1"/>
  <c r="Q9" i="9" s="1"/>
  <c r="Q8" i="9" a="1"/>
  <c r="Q8" i="9" s="1"/>
  <c r="Q5" i="9" a="1"/>
  <c r="Q5" i="9" s="1"/>
  <c r="Q12" i="9" a="1"/>
  <c r="Q12" i="9" s="1"/>
  <c r="Q6" i="9" a="1"/>
  <c r="Q6" i="9" s="1"/>
  <c r="Q7" i="9" a="1"/>
  <c r="Q7" i="9" s="1"/>
  <c r="Q11" i="9" a="1"/>
  <c r="Q11" i="9" s="1"/>
  <c r="Q13" i="9" a="1"/>
  <c r="Q13" i="9" s="1"/>
  <c r="R4" i="9"/>
  <c r="Q63" i="9" a="1"/>
  <c r="Q63" i="9" s="1"/>
  <c r="R95" i="5" a="1"/>
  <c r="R95" i="5" s="1"/>
  <c r="P37" i="9" a="1"/>
  <c r="P37" i="9" s="1"/>
  <c r="P36" i="9" a="1"/>
  <c r="P36" i="9" s="1"/>
  <c r="Q23" i="9"/>
  <c r="P38" i="9" a="1"/>
  <c r="P38" i="9" s="1"/>
  <c r="P35" i="9" a="1"/>
  <c r="P35" i="9" s="1"/>
  <c r="R97" i="5" a="1"/>
  <c r="R97" i="5" s="1"/>
  <c r="R90" i="5" a="1"/>
  <c r="R90" i="5" s="1"/>
  <c r="R92" i="5" a="1"/>
  <c r="R92" i="5" s="1"/>
  <c r="Q111" i="5" a="1"/>
  <c r="Q111" i="5" s="1"/>
  <c r="Q112" i="5" a="1"/>
  <c r="Q112" i="5" s="1"/>
  <c r="R110" i="5"/>
  <c r="R68" i="6" a="1"/>
  <c r="R68" i="6" s="1"/>
  <c r="S66" i="6"/>
  <c r="Q60" i="5"/>
  <c r="Y62" i="9"/>
  <c r="R98" i="5" a="1"/>
  <c r="R98" i="5" s="1"/>
  <c r="P74" i="9" a="1"/>
  <c r="P74" i="9" s="1"/>
  <c r="Q71" i="9"/>
  <c r="P73" i="9" a="1"/>
  <c r="P73" i="9" s="1"/>
  <c r="P72" i="9" a="1"/>
  <c r="P72" i="9" s="1"/>
  <c r="P79" i="9" a="1"/>
  <c r="P79" i="9" s="1"/>
  <c r="P75" i="9" a="1"/>
  <c r="P75" i="9" s="1"/>
  <c r="P82" i="9" a="1"/>
  <c r="P82" i="9" s="1"/>
  <c r="P80" i="9" a="1"/>
  <c r="P80" i="9" s="1"/>
  <c r="P116" i="7" a="1"/>
  <c r="P116" i="7" s="1"/>
  <c r="P117" i="7" a="1"/>
  <c r="P117" i="7" s="1"/>
  <c r="Q115" i="7"/>
  <c r="P119" i="7" a="1"/>
  <c r="P119" i="7" s="1"/>
  <c r="P118" i="7" a="1"/>
  <c r="P118" i="7" s="1"/>
  <c r="Q67" i="5"/>
  <c r="R89" i="5" a="1"/>
  <c r="R89" i="5" s="1"/>
  <c r="R88" i="5" a="1"/>
  <c r="R88" i="5" s="1"/>
  <c r="P61" i="7" a="1"/>
  <c r="P61" i="7" s="1"/>
  <c r="P64" i="7" a="1"/>
  <c r="P64" i="7" s="1"/>
  <c r="P63" i="7" a="1"/>
  <c r="P63" i="7" s="1"/>
  <c r="Q60" i="7"/>
  <c r="P62" i="7" a="1"/>
  <c r="P62" i="7" s="1"/>
  <c r="R99" i="5" a="1"/>
  <c r="R99" i="5" s="1"/>
  <c r="R110" i="7"/>
  <c r="Q111" i="7" a="1"/>
  <c r="Q111" i="7" s="1"/>
  <c r="Q112" i="7" a="1"/>
  <c r="Q112" i="7" s="1"/>
  <c r="V106" i="7"/>
  <c r="R102" i="5" a="1"/>
  <c r="R102" i="5" s="1"/>
  <c r="O6" i="7"/>
  <c r="O5" i="7"/>
  <c r="O3" i="7"/>
  <c r="O2" i="7"/>
  <c r="O4" i="7"/>
  <c r="O9" i="7"/>
  <c r="O8" i="7"/>
  <c r="O7" i="7"/>
  <c r="P54" i="6" a="1"/>
  <c r="P54" i="6" s="1"/>
  <c r="P57" i="6" a="1"/>
  <c r="P57" i="6" s="1"/>
  <c r="P48" i="6" a="1"/>
  <c r="P48" i="6" s="1"/>
  <c r="P44" i="6" a="1"/>
  <c r="P44" i="6" s="1"/>
  <c r="Q41" i="6"/>
  <c r="P58" i="6" a="1"/>
  <c r="P58" i="6" s="1"/>
  <c r="P47" i="6" a="1"/>
  <c r="P47" i="6" s="1"/>
  <c r="P55" i="6" a="1"/>
  <c r="P55" i="6" s="1"/>
  <c r="P53" i="6" a="1"/>
  <c r="P53" i="6" s="1"/>
  <c r="P59" i="6" a="1"/>
  <c r="P59" i="6" s="1"/>
  <c r="P43" i="6" a="1"/>
  <c r="P43" i="6" s="1"/>
  <c r="P46" i="6" a="1"/>
  <c r="P46" i="6" s="1"/>
  <c r="P51" i="6" a="1"/>
  <c r="P51" i="6" s="1"/>
  <c r="P45" i="6" a="1"/>
  <c r="P45" i="6" s="1"/>
  <c r="P49" i="6" a="1"/>
  <c r="P49" i="6" s="1"/>
  <c r="P50" i="6" a="1"/>
  <c r="P50" i="6" s="1"/>
  <c r="Q75" i="6" a="1"/>
  <c r="Q75" i="6" s="1"/>
  <c r="Q72" i="6" a="1"/>
  <c r="Q72" i="6" s="1"/>
  <c r="Q73" i="6" a="1"/>
  <c r="Q73" i="6" s="1"/>
  <c r="R71" i="6"/>
  <c r="Q83" i="6" a="1"/>
  <c r="Q83" i="6" s="1"/>
  <c r="Q74" i="6" a="1"/>
  <c r="Q74" i="6" s="1"/>
  <c r="Q82" i="6" a="1"/>
  <c r="Q82" i="6" s="1"/>
  <c r="Q81" i="6" a="1"/>
  <c r="Q81" i="6" s="1"/>
  <c r="Q80" i="6" a="1"/>
  <c r="Q80" i="6" s="1"/>
  <c r="Q66" i="9"/>
  <c r="P67" i="9" a="1"/>
  <c r="P67" i="9" s="1"/>
  <c r="P68" i="9" a="1"/>
  <c r="P68" i="9" s="1"/>
  <c r="P63" i="6" a="1"/>
  <c r="P63" i="6" s="1"/>
  <c r="Q62" i="6"/>
  <c r="R91" i="5" a="1"/>
  <c r="R91" i="5" s="1"/>
  <c r="Q37" i="6" a="1"/>
  <c r="Q37" i="6" s="1"/>
  <c r="R23" i="6"/>
  <c r="Q38" i="6" a="1"/>
  <c r="Q38" i="6" s="1"/>
  <c r="Q36" i="6" a="1"/>
  <c r="Q36" i="6" s="1"/>
  <c r="Q12" i="6" a="1"/>
  <c r="Q12" i="6" s="1"/>
  <c r="Q8" i="6" a="1"/>
  <c r="Q8" i="6" s="1"/>
  <c r="Q13" i="6" a="1"/>
  <c r="Q13" i="6" s="1"/>
  <c r="Q5" i="6" a="1"/>
  <c r="Q5" i="6" s="1"/>
  <c r="Q6" i="6" a="1"/>
  <c r="Q6" i="6" s="1"/>
  <c r="Q10" i="6" a="1"/>
  <c r="Q10" i="6" s="1"/>
  <c r="Q7" i="6" a="1"/>
  <c r="Q7" i="6" s="1"/>
  <c r="R4" i="6"/>
  <c r="Q11" i="6" a="1"/>
  <c r="Q11" i="6" s="1"/>
  <c r="Q9" i="6" a="1"/>
  <c r="Q9" i="6" s="1"/>
  <c r="R93" i="5" a="1"/>
  <c r="R93" i="5" s="1"/>
  <c r="P54" i="9" a="1"/>
  <c r="P54" i="9" s="1"/>
  <c r="P51" i="9" a="1"/>
  <c r="P51" i="9" s="1"/>
  <c r="P57" i="9" a="1"/>
  <c r="P57" i="9" s="1"/>
  <c r="P44" i="9" a="1"/>
  <c r="P44" i="9" s="1"/>
  <c r="Q41" i="9"/>
  <c r="P45" i="9" a="1"/>
  <c r="P45" i="9" s="1"/>
  <c r="P53" i="9" a="1"/>
  <c r="P53" i="9" s="1"/>
  <c r="P49" i="9" a="1"/>
  <c r="P49" i="9" s="1"/>
  <c r="P48" i="9" a="1"/>
  <c r="P48" i="9" s="1"/>
  <c r="P46" i="9" a="1"/>
  <c r="P46" i="9" s="1"/>
  <c r="P58" i="9" a="1"/>
  <c r="P58" i="9" s="1"/>
  <c r="P50" i="9" a="1"/>
  <c r="P50" i="9" s="1"/>
  <c r="P47" i="9" a="1"/>
  <c r="P47" i="9" s="1"/>
  <c r="P55" i="9" a="1"/>
  <c r="P55" i="9" s="1"/>
  <c r="P43" i="9" a="1"/>
  <c r="P43" i="9" s="1"/>
  <c r="P59" i="9" a="1"/>
  <c r="P59" i="9" s="1"/>
  <c r="P54" i="7" a="1"/>
  <c r="P54" i="7" s="1"/>
  <c r="P53" i="7" a="1"/>
  <c r="P53" i="7" s="1"/>
  <c r="P57" i="7" a="1"/>
  <c r="P57" i="7" s="1"/>
  <c r="P52" i="7" a="1"/>
  <c r="P52" i="7" s="1"/>
  <c r="P49" i="7" a="1"/>
  <c r="P49" i="7" s="1"/>
  <c r="P23" i="7" a="1"/>
  <c r="Q48" i="7"/>
  <c r="Q70" i="7" s="1" a="1"/>
  <c r="Q70" i="7" s="1"/>
  <c r="P2" i="7" a="1"/>
  <c r="P50" i="7" a="1"/>
  <c r="P50" i="7" s="1"/>
  <c r="P55" i="7" a="1"/>
  <c r="P55" i="7" s="1"/>
  <c r="P51" i="7" a="1"/>
  <c r="P51" i="7" s="1"/>
  <c r="P56" i="7" a="1"/>
  <c r="P56" i="7" s="1"/>
  <c r="P107" i="7" a="1"/>
  <c r="P107" i="7" s="1"/>
  <c r="O27" i="7"/>
  <c r="O25" i="7"/>
  <c r="O23" i="7"/>
  <c r="O30" i="7"/>
  <c r="O29" i="7"/>
  <c r="O28" i="7"/>
  <c r="O26" i="7"/>
  <c r="O24" i="7"/>
  <c r="R101" i="5" a="1"/>
  <c r="R101" i="5" s="1"/>
  <c r="Q80" i="7" a="1"/>
  <c r="Q80" i="7" s="1"/>
  <c r="Q79" i="7" a="1"/>
  <c r="Q79" i="7" s="1"/>
  <c r="Q81" i="7" a="1"/>
  <c r="Q81" i="7" s="1"/>
  <c r="Q75" i="7" a="1"/>
  <c r="Q75" i="7" s="1"/>
  <c r="Q71" i="7" a="1"/>
  <c r="Q71" i="7" s="1"/>
  <c r="Q76" i="7" a="1"/>
  <c r="Q76" i="7" s="1"/>
  <c r="Q77" i="7" a="1"/>
  <c r="Q77" i="7" s="1"/>
  <c r="Q82" i="7" a="1"/>
  <c r="Q82" i="7" s="1"/>
  <c r="R67" i="7"/>
  <c r="Q68" i="7" a="1"/>
  <c r="Q68" i="7" s="1"/>
  <c r="Q78" i="7" a="1"/>
  <c r="Q78" i="7" s="1"/>
  <c r="Q69" i="7" a="1"/>
  <c r="Q69" i="7" s="1"/>
  <c r="T106" i="5"/>
  <c r="R116" i="5" a="1"/>
  <c r="R116" i="5" s="1"/>
  <c r="S115" i="5"/>
  <c r="R117" i="5" a="1"/>
  <c r="R117" i="5" s="1"/>
  <c r="R118" i="5" a="1"/>
  <c r="R118" i="5" s="1"/>
  <c r="R119" i="5" a="1"/>
  <c r="R119" i="5" s="1"/>
  <c r="R103" i="5" a="1"/>
  <c r="R103" i="5" s="1"/>
  <c r="Q90" i="7" a="1"/>
  <c r="Q90" i="7" s="1"/>
  <c r="Q99" i="7" a="1"/>
  <c r="Q99" i="7" s="1"/>
  <c r="R85" i="7"/>
  <c r="Q101" i="7" a="1"/>
  <c r="Q101" i="7" s="1"/>
  <c r="Q95" i="7" a="1"/>
  <c r="Q95" i="7" s="1"/>
  <c r="Q98" i="7" a="1"/>
  <c r="Q98" i="7" s="1"/>
  <c r="Q103" i="7" a="1"/>
  <c r="Q103" i="7" s="1"/>
  <c r="Q102" i="7" a="1"/>
  <c r="Q102" i="7" s="1"/>
  <c r="Q94" i="7" a="1"/>
  <c r="Q94" i="7" s="1"/>
  <c r="Q91" i="7" a="1"/>
  <c r="Q91" i="7" s="1"/>
  <c r="Q88" i="7" a="1"/>
  <c r="Q88" i="7" s="1"/>
  <c r="Q87" i="7" a="1"/>
  <c r="Q87" i="7" s="1"/>
  <c r="Q89" i="7" a="1"/>
  <c r="Q89" i="7" s="1"/>
  <c r="CB119" i="5" l="1" a="1"/>
  <c r="CB119" i="5" s="1"/>
  <c r="BX116" i="5" a="1"/>
  <c r="BX116" i="5" s="1"/>
  <c r="CK102" i="5" a="1"/>
  <c r="CK102" i="5" s="1"/>
  <c r="CE116" i="5" a="1"/>
  <c r="CE116" i="5" s="1"/>
  <c r="CA118" i="5" a="1"/>
  <c r="CA118" i="5" s="1"/>
  <c r="BW118" i="5" a="1"/>
  <c r="BW118" i="5" s="1"/>
  <c r="S93" i="5" a="1"/>
  <c r="S93" i="5" s="1"/>
  <c r="CK103" i="5" a="1"/>
  <c r="CK103" i="5" s="1"/>
  <c r="CE119" i="5" a="1"/>
  <c r="CE119" i="5" s="1"/>
  <c r="CA116" i="5" a="1"/>
  <c r="CA116" i="5" s="1"/>
  <c r="BW119" i="5" a="1"/>
  <c r="BW119" i="5" s="1"/>
  <c r="S103" i="5" a="1"/>
  <c r="S103" i="5" s="1"/>
  <c r="CK93" i="5" a="1"/>
  <c r="CK93" i="5" s="1"/>
  <c r="CE117" i="5" a="1"/>
  <c r="CE117" i="5" s="1"/>
  <c r="CA117" i="5" a="1"/>
  <c r="CA117" i="5" s="1"/>
  <c r="BW116" i="5" a="1"/>
  <c r="BW116" i="5" s="1"/>
  <c r="CK95" i="5" a="1"/>
  <c r="CK95" i="5" s="1"/>
  <c r="BZ119" i="5" a="1"/>
  <c r="BZ119" i="5" s="1"/>
  <c r="CK87" i="5" a="1"/>
  <c r="CK87" i="5" s="1"/>
  <c r="CK92" i="5" a="1"/>
  <c r="CK92" i="5" s="1"/>
  <c r="CH119" i="5" a="1"/>
  <c r="CH119" i="5" s="1"/>
  <c r="CD117" i="5" a="1"/>
  <c r="CD117" i="5" s="1"/>
  <c r="BZ117" i="5" a="1"/>
  <c r="BZ117" i="5" s="1"/>
  <c r="CK99" i="5" a="1"/>
  <c r="CK99" i="5" s="1"/>
  <c r="CH118" i="5" a="1"/>
  <c r="CH118" i="5" s="1"/>
  <c r="CD118" i="5" a="1"/>
  <c r="CD118" i="5" s="1"/>
  <c r="BA89" i="5" a="1"/>
  <c r="BA89" i="5" s="1"/>
  <c r="AM116" i="5" a="1"/>
  <c r="AM116" i="5" s="1"/>
  <c r="CI118" i="5" a="1"/>
  <c r="CI118" i="5" s="1"/>
  <c r="CI117" i="5" a="1"/>
  <c r="CI117" i="5" s="1"/>
  <c r="CK91" i="5" a="1"/>
  <c r="CK91" i="5" s="1"/>
  <c r="CH116" i="5" a="1"/>
  <c r="CH116" i="5" s="1"/>
  <c r="CD119" i="5" a="1"/>
  <c r="CD119" i="5" s="1"/>
  <c r="BZ116" i="5" a="1"/>
  <c r="BZ116" i="5" s="1"/>
  <c r="BA94" i="5" a="1"/>
  <c r="BA94" i="5" s="1"/>
  <c r="CG118" i="5" a="1"/>
  <c r="CG118" i="5" s="1"/>
  <c r="CC118" i="5" a="1"/>
  <c r="CC118" i="5" s="1"/>
  <c r="BY118" i="5" a="1"/>
  <c r="BY118" i="5" s="1"/>
  <c r="CK2" i="5" a="1"/>
  <c r="CL48" i="5"/>
  <c r="CL93" i="5" s="1" a="1"/>
  <c r="CL93" i="5" s="1"/>
  <c r="CK88" i="5" a="1"/>
  <c r="CK88" i="5" s="1"/>
  <c r="CK101" i="5" a="1"/>
  <c r="CK101" i="5" s="1"/>
  <c r="CL60" i="5"/>
  <c r="CK94" i="5" a="1"/>
  <c r="CK94" i="5" s="1"/>
  <c r="CM67" i="5"/>
  <c r="CL115" i="5"/>
  <c r="CK119" i="5" a="1"/>
  <c r="CK119" i="5" s="1"/>
  <c r="CK118" i="5" a="1"/>
  <c r="CK118" i="5" s="1"/>
  <c r="CK117" i="5" a="1"/>
  <c r="CK117" i="5" s="1"/>
  <c r="CK116" i="5" a="1"/>
  <c r="CK116" i="5" s="1"/>
  <c r="CK97" i="5" a="1"/>
  <c r="CK97" i="5" s="1"/>
  <c r="CJ4" i="5"/>
  <c r="CJ2" i="5"/>
  <c r="CJ8" i="5"/>
  <c r="CJ7" i="5"/>
  <c r="CJ6" i="5"/>
  <c r="CJ3" i="5"/>
  <c r="CJ9" i="5"/>
  <c r="CJ5" i="5"/>
  <c r="CL87" i="5" a="1"/>
  <c r="CL87" i="5" s="1"/>
  <c r="CL90" i="5" a="1"/>
  <c r="CL90" i="5" s="1"/>
  <c r="CL91" i="5" a="1"/>
  <c r="CL91" i="5" s="1"/>
  <c r="CL99" i="5" a="1"/>
  <c r="CL99" i="5" s="1"/>
  <c r="CM85" i="5"/>
  <c r="CL110" i="5"/>
  <c r="CK111" i="5" a="1"/>
  <c r="CK111" i="5" s="1"/>
  <c r="CK112" i="5" a="1"/>
  <c r="CK112" i="5" s="1"/>
  <c r="CP106" i="5"/>
  <c r="CK98" i="5" a="1"/>
  <c r="CK98" i="5" s="1"/>
  <c r="BA88" i="5" a="1"/>
  <c r="BA88" i="5" s="1"/>
  <c r="BB106" i="5"/>
  <c r="BA87" i="5" a="1"/>
  <c r="BA87" i="5" s="1"/>
  <c r="BA91" i="5" a="1"/>
  <c r="BA91" i="5" s="1"/>
  <c r="BA101" i="5" a="1"/>
  <c r="BA101" i="5" s="1"/>
  <c r="BB97" i="5" a="1"/>
  <c r="BB97" i="5" s="1"/>
  <c r="BB99" i="5" a="1"/>
  <c r="BB99" i="5" s="1"/>
  <c r="BB103" i="5" a="1"/>
  <c r="BB103" i="5" s="1"/>
  <c r="BB102" i="5" a="1"/>
  <c r="BB102" i="5" s="1"/>
  <c r="BB91" i="5" a="1"/>
  <c r="BB91" i="5" s="1"/>
  <c r="BB98" i="5" a="1"/>
  <c r="BB98" i="5" s="1"/>
  <c r="BB101" i="5" a="1"/>
  <c r="BB101" i="5" s="1"/>
  <c r="BC85" i="5"/>
  <c r="AZ5" i="5"/>
  <c r="AZ4" i="5"/>
  <c r="AZ3" i="5"/>
  <c r="AZ2" i="5"/>
  <c r="AZ9" i="5"/>
  <c r="AZ8" i="5"/>
  <c r="AZ7" i="5"/>
  <c r="AZ6" i="5"/>
  <c r="AM119" i="5" a="1"/>
  <c r="AM119" i="5" s="1"/>
  <c r="BB60" i="5"/>
  <c r="BB48" i="5"/>
  <c r="BB87" i="5" s="1" a="1"/>
  <c r="BB87" i="5" s="1"/>
  <c r="BA2" i="5" a="1"/>
  <c r="BA102" i="5" a="1"/>
  <c r="BA102" i="5" s="1"/>
  <c r="BA99" i="5" a="1"/>
  <c r="BA99" i="5" s="1"/>
  <c r="BB115" i="5"/>
  <c r="BA119" i="5" a="1"/>
  <c r="BA119" i="5" s="1"/>
  <c r="BA116" i="5" a="1"/>
  <c r="BA116" i="5" s="1"/>
  <c r="BA117" i="5" a="1"/>
  <c r="BA117" i="5" s="1"/>
  <c r="BA118" i="5" a="1"/>
  <c r="BA118" i="5" s="1"/>
  <c r="BA93" i="5" a="1"/>
  <c r="BA93" i="5" s="1"/>
  <c r="H118" i="5" a="1"/>
  <c r="H118" i="5" s="1"/>
  <c r="C117" i="5" a="1"/>
  <c r="C117" i="5" s="1"/>
  <c r="BA95" i="5" a="1"/>
  <c r="BA95" i="5" s="1"/>
  <c r="BB67" i="5"/>
  <c r="BB110" i="5"/>
  <c r="BA111" i="5" a="1"/>
  <c r="BA111" i="5" s="1"/>
  <c r="BA112" i="5" a="1"/>
  <c r="BA112" i="5" s="1"/>
  <c r="BA97" i="5" a="1"/>
  <c r="BA97" i="5" s="1"/>
  <c r="BG11" i="5"/>
  <c r="BH11" i="5" s="1"/>
  <c r="BI11" i="5" s="1"/>
  <c r="BJ11" i="5" s="1"/>
  <c r="BK11" i="5" s="1"/>
  <c r="BL11" i="5" s="1"/>
  <c r="BM11" i="5" s="1"/>
  <c r="BN11" i="5" s="1"/>
  <c r="BO11" i="5" s="1"/>
  <c r="BP11" i="5" s="1"/>
  <c r="BQ11" i="5" s="1"/>
  <c r="BR11" i="5" s="1"/>
  <c r="BS11" i="5" s="1"/>
  <c r="Q116" i="5" a="1"/>
  <c r="Q116" i="5" s="1"/>
  <c r="Q119" i="5" a="1"/>
  <c r="Q119" i="5" s="1"/>
  <c r="Q118" i="5" a="1"/>
  <c r="Q118" i="5" s="1"/>
  <c r="Q117" i="5" a="1"/>
  <c r="Q117" i="5" s="1"/>
  <c r="BA98" i="5" a="1"/>
  <c r="BA98" i="5" s="1"/>
  <c r="C118" i="5" a="1"/>
  <c r="C118" i="5" s="1"/>
  <c r="BA90" i="5" a="1"/>
  <c r="BA90" i="5" s="1"/>
  <c r="AY119" i="5" a="1"/>
  <c r="AY119" i="5" s="1"/>
  <c r="S97" i="5" a="1"/>
  <c r="S97" i="5" s="1"/>
  <c r="S95" i="5" a="1"/>
  <c r="S95" i="5" s="1"/>
  <c r="S87" i="5" a="1"/>
  <c r="S87" i="5" s="1"/>
  <c r="S94" i="5" a="1"/>
  <c r="S94" i="5" s="1"/>
  <c r="S91" i="5" a="1"/>
  <c r="S91" i="5" s="1"/>
  <c r="S99" i="5" a="1"/>
  <c r="S99" i="5" s="1"/>
  <c r="S89" i="5" a="1"/>
  <c r="S89" i="5" s="1"/>
  <c r="S90" i="5" a="1"/>
  <c r="S90" i="5" s="1"/>
  <c r="S98" i="5" a="1"/>
  <c r="S98" i="5" s="1"/>
  <c r="S101" i="5" a="1"/>
  <c r="S101" i="5" s="1"/>
  <c r="S88" i="5" a="1"/>
  <c r="S88" i="5" s="1"/>
  <c r="S107" i="5" a="1"/>
  <c r="S107" i="5" s="1"/>
  <c r="S67" i="7"/>
  <c r="R81" i="7" a="1"/>
  <c r="R81" i="7" s="1"/>
  <c r="R68" i="7" a="1"/>
  <c r="R68" i="7" s="1"/>
  <c r="R73" i="7" a="1"/>
  <c r="R73" i="7" s="1"/>
  <c r="R74" i="6" a="1"/>
  <c r="R74" i="6" s="1"/>
  <c r="R80" i="6" a="1"/>
  <c r="R80" i="6" s="1"/>
  <c r="R72" i="6" a="1"/>
  <c r="R72" i="6" s="1"/>
  <c r="R75" i="6" a="1"/>
  <c r="R75" i="6" s="1"/>
  <c r="R83" i="6" a="1"/>
  <c r="R83" i="6" s="1"/>
  <c r="S71" i="6"/>
  <c r="R73" i="6" a="1"/>
  <c r="R73" i="6" s="1"/>
  <c r="R82" i="6" a="1"/>
  <c r="R82" i="6" s="1"/>
  <c r="R12" i="6" a="1"/>
  <c r="R12" i="6" s="1"/>
  <c r="R11" i="6" a="1"/>
  <c r="R11" i="6" s="1"/>
  <c r="R6" i="6" a="1"/>
  <c r="R6" i="6" s="1"/>
  <c r="R7" i="6" a="1"/>
  <c r="R7" i="6" s="1"/>
  <c r="S4" i="6"/>
  <c r="R8" i="6" a="1"/>
  <c r="R8" i="6" s="1"/>
  <c r="R5" i="6" a="1"/>
  <c r="R5" i="6" s="1"/>
  <c r="R13" i="6" a="1"/>
  <c r="R13" i="6" s="1"/>
  <c r="R10" i="6" a="1"/>
  <c r="R10" i="6" s="1"/>
  <c r="R9" i="6" a="1"/>
  <c r="R9" i="6" s="1"/>
  <c r="S110" i="7"/>
  <c r="R67" i="6" a="1"/>
  <c r="R67" i="6" s="1"/>
  <c r="W106" i="7"/>
  <c r="Q53" i="6" a="1"/>
  <c r="Q53" i="6" s="1"/>
  <c r="Q58" i="6" a="1"/>
  <c r="Q58" i="6" s="1"/>
  <c r="R41" i="6"/>
  <c r="Q47" i="6" a="1"/>
  <c r="Q47" i="6" s="1"/>
  <c r="Q45" i="6" a="1"/>
  <c r="Q45" i="6" s="1"/>
  <c r="Q44" i="6" a="1"/>
  <c r="Q44" i="6" s="1"/>
  <c r="Q59" i="6" a="1"/>
  <c r="Q59" i="6" s="1"/>
  <c r="Q49" i="6" a="1"/>
  <c r="Q49" i="6" s="1"/>
  <c r="Q43" i="6" a="1"/>
  <c r="Q43" i="6" s="1"/>
  <c r="Q48" i="6" a="1"/>
  <c r="Q48" i="6" s="1"/>
  <c r="Q54" i="6" a="1"/>
  <c r="Q54" i="6" s="1"/>
  <c r="Q55" i="6" a="1"/>
  <c r="Q55" i="6" s="1"/>
  <c r="Q57" i="6" a="1"/>
  <c r="Q57" i="6" s="1"/>
  <c r="Q46" i="6" a="1"/>
  <c r="Q46" i="6" s="1"/>
  <c r="Q51" i="6" a="1"/>
  <c r="Q51" i="6" s="1"/>
  <c r="Q50" i="6" a="1"/>
  <c r="Q50" i="6" s="1"/>
  <c r="T66" i="6"/>
  <c r="S68" i="6" a="1"/>
  <c r="S68" i="6" s="1"/>
  <c r="S67" i="6" a="1"/>
  <c r="S67" i="6" s="1"/>
  <c r="R9" i="9" a="1"/>
  <c r="R9" i="9" s="1"/>
  <c r="R8" i="9" a="1"/>
  <c r="R8" i="9" s="1"/>
  <c r="R7" i="9" a="1"/>
  <c r="R7" i="9" s="1"/>
  <c r="R10" i="9" a="1"/>
  <c r="R10" i="9" s="1"/>
  <c r="R6" i="9" a="1"/>
  <c r="R6" i="9" s="1"/>
  <c r="R12" i="9" a="1"/>
  <c r="R12" i="9" s="1"/>
  <c r="R11" i="9" a="1"/>
  <c r="R11" i="9" s="1"/>
  <c r="R13" i="9" a="1"/>
  <c r="R13" i="9" s="1"/>
  <c r="S4" i="9"/>
  <c r="R5" i="9" a="1"/>
  <c r="R5" i="9" s="1"/>
  <c r="R63" i="9" a="1"/>
  <c r="R63" i="9" s="1"/>
  <c r="R112" i="5" a="1"/>
  <c r="R112" i="5" s="1"/>
  <c r="R111" i="5" a="1"/>
  <c r="R111" i="5" s="1"/>
  <c r="S110" i="5"/>
  <c r="R4" i="5"/>
  <c r="R3" i="5"/>
  <c r="R2" i="5"/>
  <c r="R9" i="5"/>
  <c r="R8" i="5"/>
  <c r="R6" i="5"/>
  <c r="R5" i="5"/>
  <c r="R7" i="5"/>
  <c r="P9" i="7"/>
  <c r="P8" i="7"/>
  <c r="P7" i="7"/>
  <c r="P6" i="7"/>
  <c r="P5" i="7"/>
  <c r="P4" i="7"/>
  <c r="P3" i="7"/>
  <c r="P2" i="7"/>
  <c r="U106" i="5"/>
  <c r="Q53" i="7" a="1"/>
  <c r="Q53" i="7" s="1"/>
  <c r="Q52" i="7" a="1"/>
  <c r="Q52" i="7" s="1"/>
  <c r="Q23" i="7" a="1"/>
  <c r="Q50" i="7" a="1"/>
  <c r="Q50" i="7" s="1"/>
  <c r="Q54" i="7" a="1"/>
  <c r="Q54" i="7" s="1"/>
  <c r="R48" i="7"/>
  <c r="R69" i="7" s="1" a="1"/>
  <c r="R69" i="7" s="1"/>
  <c r="Q57" i="7" a="1"/>
  <c r="Q57" i="7" s="1"/>
  <c r="Q2" i="7" a="1"/>
  <c r="Q49" i="7" a="1"/>
  <c r="Q49" i="7" s="1"/>
  <c r="Q51" i="7" a="1"/>
  <c r="Q51" i="7" s="1"/>
  <c r="Q55" i="7" a="1"/>
  <c r="Q55" i="7" s="1"/>
  <c r="Q56" i="7" a="1"/>
  <c r="Q56" i="7" s="1"/>
  <c r="Q107" i="7" a="1"/>
  <c r="Q107" i="7" s="1"/>
  <c r="R67" i="5"/>
  <c r="P30" i="7"/>
  <c r="P29" i="7"/>
  <c r="P25" i="7"/>
  <c r="P24" i="7"/>
  <c r="P23" i="7"/>
  <c r="P28" i="7"/>
  <c r="P27" i="7"/>
  <c r="P26" i="7"/>
  <c r="Z62" i="9"/>
  <c r="T48" i="5"/>
  <c r="T89" i="5" s="1" a="1"/>
  <c r="T89" i="5" s="1"/>
  <c r="S2" i="5" a="1"/>
  <c r="R71" i="9"/>
  <c r="Q73" i="9" a="1"/>
  <c r="Q73" i="9" s="1"/>
  <c r="Q74" i="9" a="1"/>
  <c r="Q74" i="9" s="1"/>
  <c r="Q82" i="9" a="1"/>
  <c r="Q82" i="9" s="1"/>
  <c r="Q79" i="9" a="1"/>
  <c r="Q79" i="9" s="1"/>
  <c r="Q80" i="9" a="1"/>
  <c r="Q80" i="9" s="1"/>
  <c r="Q75" i="9" a="1"/>
  <c r="Q75" i="9" s="1"/>
  <c r="Q92" i="7" a="1"/>
  <c r="Q92" i="7" s="1"/>
  <c r="Q73" i="7" a="1"/>
  <c r="Q73" i="7" s="1"/>
  <c r="Q53" i="9" a="1"/>
  <c r="Q53" i="9" s="1"/>
  <c r="Q45" i="9" a="1"/>
  <c r="Q45" i="9" s="1"/>
  <c r="Q43" i="9" a="1"/>
  <c r="Q43" i="9" s="1"/>
  <c r="Q57" i="9" a="1"/>
  <c r="Q57" i="9" s="1"/>
  <c r="Q58" i="9" a="1"/>
  <c r="Q58" i="9" s="1"/>
  <c r="Q46" i="9" a="1"/>
  <c r="Q46" i="9" s="1"/>
  <c r="Q54" i="9" a="1"/>
  <c r="Q54" i="9" s="1"/>
  <c r="R41" i="9"/>
  <c r="Q50" i="9" a="1"/>
  <c r="Q50" i="9" s="1"/>
  <c r="Q55" i="9" a="1"/>
  <c r="Q55" i="9" s="1"/>
  <c r="Q51" i="9" a="1"/>
  <c r="Q51" i="9" s="1"/>
  <c r="Q49" i="9" a="1"/>
  <c r="Q49" i="9" s="1"/>
  <c r="Q48" i="9" a="1"/>
  <c r="Q48" i="9" s="1"/>
  <c r="Q44" i="9" a="1"/>
  <c r="Q44" i="9" s="1"/>
  <c r="Q47" i="9" a="1"/>
  <c r="Q47" i="9" s="1"/>
  <c r="Q59" i="9" a="1"/>
  <c r="Q59" i="9" s="1"/>
  <c r="U85" i="5"/>
  <c r="Q63" i="6" a="1"/>
  <c r="Q63" i="6" s="1"/>
  <c r="R62" i="6"/>
  <c r="Q97" i="7" a="1"/>
  <c r="Q97" i="7" s="1"/>
  <c r="Q72" i="7" a="1"/>
  <c r="Q72" i="7" s="1"/>
  <c r="Q68" i="9" a="1"/>
  <c r="Q68" i="9" s="1"/>
  <c r="Q67" i="9" a="1"/>
  <c r="Q67" i="9" s="1"/>
  <c r="R66" i="9"/>
  <c r="R60" i="5"/>
  <c r="R23" i="9"/>
  <c r="Q36" i="9" a="1"/>
  <c r="Q36" i="9" s="1"/>
  <c r="Q38" i="9" a="1"/>
  <c r="Q38" i="9" s="1"/>
  <c r="Q35" i="9" a="1"/>
  <c r="Q35" i="9" s="1"/>
  <c r="Q37" i="9" a="1"/>
  <c r="Q37" i="9" s="1"/>
  <c r="S117" i="5" a="1"/>
  <c r="S117" i="5" s="1"/>
  <c r="T115" i="5"/>
  <c r="S118" i="5" a="1"/>
  <c r="S118" i="5" s="1"/>
  <c r="S116" i="5" a="1"/>
  <c r="S116" i="5" s="1"/>
  <c r="S119" i="5" a="1"/>
  <c r="S119" i="5" s="1"/>
  <c r="Q64" i="7" a="1"/>
  <c r="Q64" i="7" s="1"/>
  <c r="Q62" i="7" a="1"/>
  <c r="Q62" i="7" s="1"/>
  <c r="Q61" i="7" a="1"/>
  <c r="Q61" i="7" s="1"/>
  <c r="Q63" i="7" a="1"/>
  <c r="Q63" i="7" s="1"/>
  <c r="R60" i="7"/>
  <c r="R37" i="6" a="1"/>
  <c r="R37" i="6" s="1"/>
  <c r="S23" i="6"/>
  <c r="R38" i="6" a="1"/>
  <c r="R38" i="6" s="1"/>
  <c r="R36" i="6" a="1"/>
  <c r="R36" i="6" s="1"/>
  <c r="R103" i="7" a="1"/>
  <c r="R103" i="7" s="1"/>
  <c r="R97" i="7" a="1"/>
  <c r="R97" i="7" s="1"/>
  <c r="S85" i="7"/>
  <c r="R94" i="7" a="1"/>
  <c r="R94" i="7" s="1"/>
  <c r="R101" i="7" a="1"/>
  <c r="R101" i="7" s="1"/>
  <c r="R92" i="7" a="1"/>
  <c r="R92" i="7" s="1"/>
  <c r="R115" i="7"/>
  <c r="Q116" i="7" a="1"/>
  <c r="Q116" i="7" s="1"/>
  <c r="Q117" i="7" a="1"/>
  <c r="Q117" i="7" s="1"/>
  <c r="Q119" i="7" a="1"/>
  <c r="Q119" i="7" s="1"/>
  <c r="Q118" i="7" a="1"/>
  <c r="Q118" i="7" s="1"/>
  <c r="Q93" i="7" a="1"/>
  <c r="Q93" i="7" s="1"/>
  <c r="Q74" i="7" a="1"/>
  <c r="Q74" i="7" s="1"/>
  <c r="T92" i="5" l="1" a="1"/>
  <c r="T92" i="5" s="1"/>
  <c r="T102" i="5" a="1"/>
  <c r="T102" i="5" s="1"/>
  <c r="T98" i="5" a="1"/>
  <c r="T98" i="5" s="1"/>
  <c r="BB92" i="5" a="1"/>
  <c r="BB92" i="5" s="1"/>
  <c r="CL92" i="5" a="1"/>
  <c r="CL92" i="5" s="1"/>
  <c r="CL119" i="5" a="1"/>
  <c r="CL119" i="5" s="1"/>
  <c r="CM115" i="5"/>
  <c r="CL117" i="5" a="1"/>
  <c r="CL117" i="5" s="1"/>
  <c r="CL116" i="5" a="1"/>
  <c r="CL116" i="5" s="1"/>
  <c r="CL118" i="5" a="1"/>
  <c r="CL118" i="5" s="1"/>
  <c r="CL97" i="5" a="1"/>
  <c r="CL97" i="5" s="1"/>
  <c r="CL98" i="5" a="1"/>
  <c r="CL98" i="5" s="1"/>
  <c r="CM60" i="5"/>
  <c r="CL2" i="5" a="1"/>
  <c r="CM48" i="5"/>
  <c r="CM90" i="5" s="1" a="1"/>
  <c r="CM90" i="5" s="1"/>
  <c r="CQ106" i="5"/>
  <c r="CM110" i="5"/>
  <c r="CL112" i="5" a="1"/>
  <c r="CL112" i="5" s="1"/>
  <c r="CL111" i="5" a="1"/>
  <c r="CL111" i="5" s="1"/>
  <c r="CL101" i="5" a="1"/>
  <c r="CL101" i="5" s="1"/>
  <c r="CL89" i="5" a="1"/>
  <c r="CL89" i="5" s="1"/>
  <c r="CL103" i="5" a="1"/>
  <c r="CL103" i="5" s="1"/>
  <c r="CL88" i="5" a="1"/>
  <c r="CL88" i="5" s="1"/>
  <c r="CN67" i="5"/>
  <c r="CL94" i="5" a="1"/>
  <c r="CL94" i="5" s="1"/>
  <c r="CN85" i="5"/>
  <c r="CM99" i="5" a="1"/>
  <c r="CM99" i="5" s="1"/>
  <c r="CK9" i="5"/>
  <c r="CK3" i="5"/>
  <c r="CK2" i="5"/>
  <c r="CK6" i="5"/>
  <c r="CK5" i="5"/>
  <c r="CK4" i="5"/>
  <c r="CK7" i="5"/>
  <c r="CK8" i="5"/>
  <c r="CL95" i="5" a="1"/>
  <c r="CL95" i="5" s="1"/>
  <c r="CL102" i="5" a="1"/>
  <c r="CL102" i="5" s="1"/>
  <c r="BA6" i="5"/>
  <c r="BA5" i="5"/>
  <c r="BA4" i="5"/>
  <c r="BA3" i="5"/>
  <c r="BA9" i="5"/>
  <c r="BA8" i="5"/>
  <c r="BA2" i="5"/>
  <c r="BA7" i="5"/>
  <c r="BB93" i="5" a="1"/>
  <c r="BB93" i="5" s="1"/>
  <c r="BB95" i="5" a="1"/>
  <c r="BB95" i="5" s="1"/>
  <c r="BB89" i="5" a="1"/>
  <c r="BB89" i="5" s="1"/>
  <c r="BB90" i="5" a="1"/>
  <c r="BB90" i="5" s="1"/>
  <c r="BB94" i="5" a="1"/>
  <c r="BB94" i="5" s="1"/>
  <c r="BC102" i="5" a="1"/>
  <c r="BC102" i="5" s="1"/>
  <c r="BC98" i="5" a="1"/>
  <c r="BC98" i="5" s="1"/>
  <c r="BD85" i="5"/>
  <c r="BC101" i="5" a="1"/>
  <c r="BC101" i="5" s="1"/>
  <c r="BC89" i="5" a="1"/>
  <c r="BC89" i="5" s="1"/>
  <c r="BB119" i="5" a="1"/>
  <c r="BB119" i="5" s="1"/>
  <c r="BC115" i="5"/>
  <c r="BB116" i="5" a="1"/>
  <c r="BB116" i="5" s="1"/>
  <c r="BB117" i="5" a="1"/>
  <c r="BB117" i="5" s="1"/>
  <c r="BB118" i="5" a="1"/>
  <c r="BB118" i="5" s="1"/>
  <c r="BC106" i="5"/>
  <c r="BB112" i="5" a="1"/>
  <c r="BB112" i="5" s="1"/>
  <c r="BC110" i="5"/>
  <c r="BB111" i="5" a="1"/>
  <c r="BB111" i="5" s="1"/>
  <c r="BC48" i="5"/>
  <c r="BC99" i="5" s="1" a="1"/>
  <c r="BC99" i="5" s="1"/>
  <c r="BB2" i="5" a="1"/>
  <c r="BC67" i="5"/>
  <c r="BC60" i="5"/>
  <c r="BB88" i="5" a="1"/>
  <c r="BB88" i="5" s="1"/>
  <c r="T94" i="5" a="1"/>
  <c r="T94" i="5" s="1"/>
  <c r="T91" i="5" a="1"/>
  <c r="T91" i="5" s="1"/>
  <c r="T107" i="5" a="1"/>
  <c r="T107" i="5" s="1"/>
  <c r="T101" i="5" a="1"/>
  <c r="T101" i="5" s="1"/>
  <c r="T93" i="5" a="1"/>
  <c r="T93" i="5" s="1"/>
  <c r="T99" i="5" a="1"/>
  <c r="T99" i="5" s="1"/>
  <c r="T87" i="5" a="1"/>
  <c r="T87" i="5" s="1"/>
  <c r="T95" i="5" a="1"/>
  <c r="T95" i="5" s="1"/>
  <c r="T97" i="5" a="1"/>
  <c r="T97" i="5" s="1"/>
  <c r="T90" i="5" a="1"/>
  <c r="T90" i="5" s="1"/>
  <c r="T103" i="5" a="1"/>
  <c r="T103" i="5" s="1"/>
  <c r="T88" i="5" a="1"/>
  <c r="T88" i="5" s="1"/>
  <c r="R117" i="7" a="1"/>
  <c r="R117" i="7" s="1"/>
  <c r="R116" i="7" a="1"/>
  <c r="R116" i="7" s="1"/>
  <c r="S115" i="7"/>
  <c r="R119" i="7" a="1"/>
  <c r="R119" i="7" s="1"/>
  <c r="R118" i="7" a="1"/>
  <c r="R118" i="7" s="1"/>
  <c r="R75" i="7" a="1"/>
  <c r="R75" i="7" s="1"/>
  <c r="R99" i="7" a="1"/>
  <c r="R99" i="7" s="1"/>
  <c r="S11" i="6" a="1"/>
  <c r="S11" i="6" s="1"/>
  <c r="S10" i="6" a="1"/>
  <c r="S10" i="6" s="1"/>
  <c r="S6" i="6" a="1"/>
  <c r="S6" i="6" s="1"/>
  <c r="S5" i="6" a="1"/>
  <c r="S5" i="6" s="1"/>
  <c r="T4" i="6"/>
  <c r="S8" i="6" a="1"/>
  <c r="S8" i="6" s="1"/>
  <c r="S12" i="6" a="1"/>
  <c r="S12" i="6" s="1"/>
  <c r="S9" i="6" a="1"/>
  <c r="S9" i="6" s="1"/>
  <c r="S13" i="6" a="1"/>
  <c r="S13" i="6" s="1"/>
  <c r="S7" i="6" a="1"/>
  <c r="S7" i="6" s="1"/>
  <c r="R72" i="7" a="1"/>
  <c r="R72" i="7" s="1"/>
  <c r="R88" i="7" a="1"/>
  <c r="R88" i="7" s="1"/>
  <c r="R87" i="7" a="1"/>
  <c r="R87" i="7" s="1"/>
  <c r="S38" i="6" a="1"/>
  <c r="S38" i="6" s="1"/>
  <c r="S37" i="6" a="1"/>
  <c r="S37" i="6" s="1"/>
  <c r="S36" i="6" a="1"/>
  <c r="S36" i="6" s="1"/>
  <c r="T23" i="6"/>
  <c r="S23" i="9"/>
  <c r="R38" i="9" a="1"/>
  <c r="R38" i="9" s="1"/>
  <c r="R37" i="9" a="1"/>
  <c r="R37" i="9" s="1"/>
  <c r="R35" i="9" a="1"/>
  <c r="R35" i="9" s="1"/>
  <c r="R36" i="9" a="1"/>
  <c r="R36" i="9" s="1"/>
  <c r="R71" i="7" a="1"/>
  <c r="R71" i="7" s="1"/>
  <c r="R51" i="6" a="1"/>
  <c r="R51" i="6" s="1"/>
  <c r="S41" i="6"/>
  <c r="R47" i="6" a="1"/>
  <c r="R47" i="6" s="1"/>
  <c r="R45" i="6" a="1"/>
  <c r="R45" i="6" s="1"/>
  <c r="R59" i="6" a="1"/>
  <c r="R59" i="6" s="1"/>
  <c r="R53" i="6" a="1"/>
  <c r="R53" i="6" s="1"/>
  <c r="R49" i="6" a="1"/>
  <c r="R49" i="6" s="1"/>
  <c r="R43" i="6" a="1"/>
  <c r="R43" i="6" s="1"/>
  <c r="R48" i="6" a="1"/>
  <c r="R48" i="6" s="1"/>
  <c r="R57" i="6" a="1"/>
  <c r="R57" i="6" s="1"/>
  <c r="R58" i="6" a="1"/>
  <c r="R58" i="6" s="1"/>
  <c r="R44" i="6" a="1"/>
  <c r="R44" i="6" s="1"/>
  <c r="R55" i="6" a="1"/>
  <c r="R55" i="6" s="1"/>
  <c r="R46" i="6" a="1"/>
  <c r="R46" i="6" s="1"/>
  <c r="R54" i="6" a="1"/>
  <c r="R54" i="6" s="1"/>
  <c r="R50" i="6" a="1"/>
  <c r="R50" i="6" s="1"/>
  <c r="R62" i="7" a="1"/>
  <c r="R62" i="7" s="1"/>
  <c r="R63" i="7" a="1"/>
  <c r="R63" i="7" s="1"/>
  <c r="S60" i="7"/>
  <c r="R64" i="7" a="1"/>
  <c r="R64" i="7" s="1"/>
  <c r="R61" i="7" a="1"/>
  <c r="R61" i="7" s="1"/>
  <c r="R89" i="7" a="1"/>
  <c r="R89" i="7" s="1"/>
  <c r="R68" i="9" a="1"/>
  <c r="R68" i="9" s="1"/>
  <c r="R67" i="9" a="1"/>
  <c r="R67" i="9" s="1"/>
  <c r="S66" i="9"/>
  <c r="Q25" i="7"/>
  <c r="Q30" i="7"/>
  <c r="Q24" i="7"/>
  <c r="Q27" i="7"/>
  <c r="Q26" i="7"/>
  <c r="Q23" i="7"/>
  <c r="Q29" i="7"/>
  <c r="Q28" i="7"/>
  <c r="S73" i="6" a="1"/>
  <c r="S73" i="6" s="1"/>
  <c r="S80" i="6" a="1"/>
  <c r="S80" i="6" s="1"/>
  <c r="S74" i="6" a="1"/>
  <c r="S74" i="6" s="1"/>
  <c r="S75" i="6" a="1"/>
  <c r="S75" i="6" s="1"/>
  <c r="T71" i="6"/>
  <c r="S81" i="6" a="1"/>
  <c r="S81" i="6" s="1"/>
  <c r="R80" i="7" a="1"/>
  <c r="R80" i="7" s="1"/>
  <c r="AA62" i="9"/>
  <c r="T110" i="5"/>
  <c r="R90" i="7" a="1"/>
  <c r="R90" i="7" s="1"/>
  <c r="R111" i="7" a="1"/>
  <c r="R111" i="7" s="1"/>
  <c r="S60" i="5"/>
  <c r="R52" i="7" a="1"/>
  <c r="R52" i="7" s="1"/>
  <c r="R51" i="7" a="1"/>
  <c r="R51" i="7" s="1"/>
  <c r="R53" i="7" a="1"/>
  <c r="R53" i="7" s="1"/>
  <c r="S48" i="7"/>
  <c r="S77" i="7" s="1" a="1"/>
  <c r="S77" i="7" s="1"/>
  <c r="R57" i="7" a="1"/>
  <c r="R57" i="7" s="1"/>
  <c r="R50" i="7" a="1"/>
  <c r="R50" i="7" s="1"/>
  <c r="R55" i="7" a="1"/>
  <c r="R55" i="7" s="1"/>
  <c r="R23" i="7" a="1"/>
  <c r="R49" i="7" a="1"/>
  <c r="R49" i="7" s="1"/>
  <c r="R2" i="7" a="1"/>
  <c r="R56" i="7" a="1"/>
  <c r="R56" i="7" s="1"/>
  <c r="R54" i="7" a="1"/>
  <c r="R54" i="7" s="1"/>
  <c r="R107" i="7" a="1"/>
  <c r="R107" i="7" s="1"/>
  <c r="T68" i="6" a="1"/>
  <c r="T68" i="6" s="1"/>
  <c r="T67" i="6" a="1"/>
  <c r="T67" i="6" s="1"/>
  <c r="U66" i="6"/>
  <c r="R74" i="7" a="1"/>
  <c r="R74" i="7" s="1"/>
  <c r="R51" i="9" a="1"/>
  <c r="R51" i="9" s="1"/>
  <c r="R58" i="9" a="1"/>
  <c r="R58" i="9" s="1"/>
  <c r="R53" i="9" a="1"/>
  <c r="R53" i="9" s="1"/>
  <c r="R46" i="9" a="1"/>
  <c r="R46" i="9" s="1"/>
  <c r="S41" i="9"/>
  <c r="R57" i="9" a="1"/>
  <c r="R57" i="9" s="1"/>
  <c r="R50" i="9" a="1"/>
  <c r="R50" i="9" s="1"/>
  <c r="R55" i="9" a="1"/>
  <c r="R55" i="9" s="1"/>
  <c r="R59" i="9" a="1"/>
  <c r="R59" i="9" s="1"/>
  <c r="R49" i="9" a="1"/>
  <c r="R49" i="9" s="1"/>
  <c r="R47" i="9" a="1"/>
  <c r="R47" i="9" s="1"/>
  <c r="R54" i="9" a="1"/>
  <c r="R54" i="9" s="1"/>
  <c r="R45" i="9" a="1"/>
  <c r="R45" i="9" s="1"/>
  <c r="R48" i="9" a="1"/>
  <c r="R48" i="9" s="1"/>
  <c r="R44" i="9" a="1"/>
  <c r="R44" i="9" s="1"/>
  <c r="R43" i="9" a="1"/>
  <c r="R43" i="9" s="1"/>
  <c r="R73" i="9" a="1"/>
  <c r="R73" i="9" s="1"/>
  <c r="S71" i="9"/>
  <c r="R80" i="9" a="1"/>
  <c r="R80" i="9" s="1"/>
  <c r="R74" i="9" a="1"/>
  <c r="R74" i="9" s="1"/>
  <c r="R82" i="9" a="1"/>
  <c r="R82" i="9" s="1"/>
  <c r="R79" i="9" a="1"/>
  <c r="R79" i="9" s="1"/>
  <c r="R75" i="9" a="1"/>
  <c r="R75" i="9" s="1"/>
  <c r="R98" i="7" a="1"/>
  <c r="R98" i="7" s="1"/>
  <c r="S12" i="9" a="1"/>
  <c r="S12" i="9" s="1"/>
  <c r="S8" i="9" a="1"/>
  <c r="S8" i="9" s="1"/>
  <c r="S6" i="9" a="1"/>
  <c r="S6" i="9" s="1"/>
  <c r="S9" i="9" a="1"/>
  <c r="S9" i="9" s="1"/>
  <c r="S7" i="9" a="1"/>
  <c r="S7" i="9" s="1"/>
  <c r="S11" i="9" a="1"/>
  <c r="S11" i="9" s="1"/>
  <c r="S13" i="9" a="1"/>
  <c r="S13" i="9" s="1"/>
  <c r="S5" i="9" a="1"/>
  <c r="S5" i="9" s="1"/>
  <c r="T4" i="9"/>
  <c r="S10" i="9" a="1"/>
  <c r="S10" i="9" s="1"/>
  <c r="S63" i="9" a="1"/>
  <c r="S63" i="9" s="1"/>
  <c r="R112" i="7" a="1"/>
  <c r="R112" i="7" s="1"/>
  <c r="R77" i="7" a="1"/>
  <c r="R77" i="7" s="1"/>
  <c r="R82" i="7" a="1"/>
  <c r="R82" i="7" s="1"/>
  <c r="X106" i="7"/>
  <c r="R95" i="7" a="1"/>
  <c r="R95" i="7" s="1"/>
  <c r="S6" i="5"/>
  <c r="S9" i="5"/>
  <c r="S8" i="5"/>
  <c r="S7" i="5"/>
  <c r="S5" i="5"/>
  <c r="S4" i="5"/>
  <c r="S2" i="5"/>
  <c r="S3" i="5"/>
  <c r="S111" i="7" a="1"/>
  <c r="S111" i="7" s="1"/>
  <c r="T110" i="7"/>
  <c r="R70" i="7" a="1"/>
  <c r="R70" i="7" s="1"/>
  <c r="V85" i="5"/>
  <c r="R78" i="7" a="1"/>
  <c r="R78" i="7" s="1"/>
  <c r="R102" i="7" a="1"/>
  <c r="R102" i="7" s="1"/>
  <c r="T119" i="5" a="1"/>
  <c r="T119" i="5" s="1"/>
  <c r="U115" i="5"/>
  <c r="T117" i="5" a="1"/>
  <c r="T117" i="5" s="1"/>
  <c r="T116" i="5" a="1"/>
  <c r="T116" i="5" s="1"/>
  <c r="T118" i="5" a="1"/>
  <c r="T118" i="5" s="1"/>
  <c r="V106" i="5"/>
  <c r="R76" i="7" a="1"/>
  <c r="R76" i="7" s="1"/>
  <c r="Q4" i="7"/>
  <c r="Q3" i="7"/>
  <c r="Q2" i="7"/>
  <c r="Q9" i="7"/>
  <c r="Q5" i="7"/>
  <c r="Q6" i="7"/>
  <c r="Q8" i="7"/>
  <c r="Q7" i="7"/>
  <c r="T67" i="7"/>
  <c r="S79" i="7" a="1"/>
  <c r="S79" i="7" s="1"/>
  <c r="S82" i="7" a="1"/>
  <c r="S82" i="7" s="1"/>
  <c r="S71" i="7" a="1"/>
  <c r="S71" i="7" s="1"/>
  <c r="T85" i="7"/>
  <c r="S88" i="7" a="1"/>
  <c r="S88" i="7" s="1"/>
  <c r="S95" i="7" a="1"/>
  <c r="S95" i="7" s="1"/>
  <c r="S92" i="7" a="1"/>
  <c r="S92" i="7" s="1"/>
  <c r="R91" i="7" a="1"/>
  <c r="R91" i="7" s="1"/>
  <c r="R93" i="7" a="1"/>
  <c r="R93" i="7" s="1"/>
  <c r="R63" i="6" a="1"/>
  <c r="R63" i="6" s="1"/>
  <c r="S62" i="6"/>
  <c r="T2" i="5" a="1"/>
  <c r="U48" i="5"/>
  <c r="U101" i="5" s="1" a="1"/>
  <c r="U101" i="5" s="1"/>
  <c r="S67" i="5"/>
  <c r="R79" i="7" a="1"/>
  <c r="R79" i="7" s="1"/>
  <c r="CM92" i="5" l="1" a="1"/>
  <c r="CM92" i="5" s="1"/>
  <c r="CM103" i="5" a="1"/>
  <c r="CM103" i="5" s="1"/>
  <c r="BC95" i="5" a="1"/>
  <c r="BC95" i="5" s="1"/>
  <c r="CM94" i="5" a="1"/>
  <c r="CM94" i="5" s="1"/>
  <c r="CN60" i="5"/>
  <c r="CM95" i="5" a="1"/>
  <c r="CM95" i="5" s="1"/>
  <c r="CR106" i="5"/>
  <c r="CM88" i="5" a="1"/>
  <c r="CM88" i="5" s="1"/>
  <c r="CM87" i="5" a="1"/>
  <c r="CM87" i="5" s="1"/>
  <c r="CM89" i="5" a="1"/>
  <c r="CM89" i="5" s="1"/>
  <c r="CM93" i="5" a="1"/>
  <c r="CM93" i="5" s="1"/>
  <c r="CN115" i="5"/>
  <c r="CN110" i="5"/>
  <c r="CM97" i="5" a="1"/>
  <c r="CM97" i="5" s="1"/>
  <c r="CO85" i="5"/>
  <c r="CM98" i="5" a="1"/>
  <c r="CM98" i="5" s="1"/>
  <c r="CM2" i="5" a="1"/>
  <c r="CN48" i="5"/>
  <c r="CN89" i="5" s="1" a="1"/>
  <c r="CN89" i="5" s="1"/>
  <c r="CM107" i="5" a="1"/>
  <c r="CM107" i="5" s="1"/>
  <c r="CL2" i="5"/>
  <c r="CL8" i="5"/>
  <c r="CL7" i="5"/>
  <c r="CL6" i="5"/>
  <c r="CL4" i="5"/>
  <c r="CL9" i="5"/>
  <c r="CL3" i="5"/>
  <c r="CL5" i="5"/>
  <c r="CM91" i="5" a="1"/>
  <c r="CM91" i="5" s="1"/>
  <c r="CO67" i="5"/>
  <c r="CM101" i="5" a="1"/>
  <c r="CM101" i="5" s="1"/>
  <c r="CM102" i="5" a="1"/>
  <c r="CM102" i="5" s="1"/>
  <c r="BC92" i="5" a="1"/>
  <c r="BC92" i="5" s="1"/>
  <c r="BC91" i="5" a="1"/>
  <c r="BC91" i="5" s="1"/>
  <c r="BB7" i="5"/>
  <c r="BB6" i="5"/>
  <c r="BB5" i="5"/>
  <c r="BB4" i="5"/>
  <c r="BB3" i="5"/>
  <c r="BB2" i="5"/>
  <c r="BB9" i="5"/>
  <c r="BB8" i="5"/>
  <c r="BC88" i="5" a="1"/>
  <c r="BC88" i="5" s="1"/>
  <c r="BD110" i="5"/>
  <c r="BC90" i="5" a="1"/>
  <c r="BC90" i="5" s="1"/>
  <c r="BC119" i="5" a="1"/>
  <c r="BC119" i="5" s="1"/>
  <c r="BC118" i="5" a="1"/>
  <c r="BC118" i="5" s="1"/>
  <c r="BC117" i="5" a="1"/>
  <c r="BC117" i="5" s="1"/>
  <c r="BD115" i="5"/>
  <c r="BC116" i="5" a="1"/>
  <c r="BC116" i="5" s="1"/>
  <c r="BC94" i="5" a="1"/>
  <c r="BC94" i="5" s="1"/>
  <c r="BC93" i="5" a="1"/>
  <c r="BC93" i="5" s="1"/>
  <c r="BC107" i="5" a="1"/>
  <c r="BC107" i="5" s="1"/>
  <c r="BD106" i="5"/>
  <c r="BD48" i="5"/>
  <c r="BD94" i="5" s="1" a="1"/>
  <c r="BD94" i="5" s="1"/>
  <c r="BC2" i="5" a="1"/>
  <c r="BD101" i="5" a="1"/>
  <c r="BD101" i="5" s="1"/>
  <c r="BE85" i="5"/>
  <c r="BD93" i="5" a="1"/>
  <c r="BD93" i="5" s="1"/>
  <c r="BD91" i="5" a="1"/>
  <c r="BD91" i="5" s="1"/>
  <c r="BD60" i="5"/>
  <c r="BC87" i="5" a="1"/>
  <c r="BC87" i="5" s="1"/>
  <c r="BD67" i="5"/>
  <c r="BC97" i="5" a="1"/>
  <c r="BC97" i="5" s="1"/>
  <c r="BC103" i="5" a="1"/>
  <c r="BC103" i="5" s="1"/>
  <c r="S99" i="7" a="1"/>
  <c r="S99" i="7" s="1"/>
  <c r="S72" i="7" a="1"/>
  <c r="S72" i="7" s="1"/>
  <c r="U89" i="5" a="1"/>
  <c r="U89" i="5" s="1"/>
  <c r="S112" i="7" a="1"/>
  <c r="S112" i="7" s="1"/>
  <c r="S80" i="9" a="1"/>
  <c r="S80" i="9" s="1"/>
  <c r="S79" i="9" a="1"/>
  <c r="S79" i="9" s="1"/>
  <c r="T71" i="9"/>
  <c r="S73" i="9" a="1"/>
  <c r="S73" i="9" s="1"/>
  <c r="S74" i="9" a="1"/>
  <c r="S74" i="9" s="1"/>
  <c r="S82" i="9" a="1"/>
  <c r="S82" i="9" s="1"/>
  <c r="S75" i="9" a="1"/>
  <c r="S75" i="9" s="1"/>
  <c r="S81" i="9" a="1"/>
  <c r="S81" i="9" s="1"/>
  <c r="T67" i="5"/>
  <c r="T93" i="7" a="1"/>
  <c r="T93" i="7" s="1"/>
  <c r="U85" i="7"/>
  <c r="S76" i="7" a="1"/>
  <c r="S76" i="7" s="1"/>
  <c r="U88" i="5" a="1"/>
  <c r="U88" i="5" s="1"/>
  <c r="T7" i="9" a="1"/>
  <c r="T7" i="9" s="1"/>
  <c r="T12" i="9" a="1"/>
  <c r="T12" i="9" s="1"/>
  <c r="T9" i="9" a="1"/>
  <c r="T9" i="9" s="1"/>
  <c r="T13" i="9" a="1"/>
  <c r="T13" i="9" s="1"/>
  <c r="T5" i="9" a="1"/>
  <c r="T5" i="9" s="1"/>
  <c r="T10" i="9" a="1"/>
  <c r="T10" i="9" s="1"/>
  <c r="T6" i="9" a="1"/>
  <c r="T6" i="9" s="1"/>
  <c r="T11" i="9" a="1"/>
  <c r="T11" i="9" s="1"/>
  <c r="U4" i="9"/>
  <c r="T8" i="9" a="1"/>
  <c r="T8" i="9" s="1"/>
  <c r="T13" i="6" a="1"/>
  <c r="T13" i="6" s="1"/>
  <c r="T10" i="6" a="1"/>
  <c r="T10" i="6" s="1"/>
  <c r="T12" i="6" a="1"/>
  <c r="T12" i="6" s="1"/>
  <c r="T5" i="6" a="1"/>
  <c r="T5" i="6" s="1"/>
  <c r="T9" i="6" a="1"/>
  <c r="T9" i="6" s="1"/>
  <c r="T8" i="6" a="1"/>
  <c r="T8" i="6" s="1"/>
  <c r="U4" i="6"/>
  <c r="T11" i="6" a="1"/>
  <c r="T11" i="6" s="1"/>
  <c r="T7" i="6" a="1"/>
  <c r="T7" i="6" s="1"/>
  <c r="T6" i="6" a="1"/>
  <c r="T6" i="6" s="1"/>
  <c r="U103" i="5" a="1"/>
  <c r="U103" i="5" s="1"/>
  <c r="S70" i="7" a="1"/>
  <c r="S70" i="7" s="1"/>
  <c r="U110" i="5"/>
  <c r="S94" i="7" a="1"/>
  <c r="S94" i="7" s="1"/>
  <c r="T77" i="7" a="1"/>
  <c r="T77" i="7" s="1"/>
  <c r="U67" i="7"/>
  <c r="T75" i="7" a="1"/>
  <c r="T75" i="7" s="1"/>
  <c r="U107" i="5" a="1"/>
  <c r="U107" i="5" s="1"/>
  <c r="U87" i="5" a="1"/>
  <c r="U87" i="5" s="1"/>
  <c r="T38" i="6" a="1"/>
  <c r="T38" i="6" s="1"/>
  <c r="T36" i="6" a="1"/>
  <c r="T36" i="6" s="1"/>
  <c r="U23" i="6"/>
  <c r="T37" i="6" a="1"/>
  <c r="T37" i="6" s="1"/>
  <c r="S73" i="7" a="1"/>
  <c r="S73" i="7" s="1"/>
  <c r="S81" i="7" a="1"/>
  <c r="S81" i="7" s="1"/>
  <c r="W106" i="5"/>
  <c r="T23" i="9"/>
  <c r="S38" i="9" a="1"/>
  <c r="S38" i="9" s="1"/>
  <c r="S37" i="9" a="1"/>
  <c r="S37" i="9" s="1"/>
  <c r="S35" i="9" a="1"/>
  <c r="S35" i="9" s="1"/>
  <c r="S36" i="9" a="1"/>
  <c r="S36" i="9" s="1"/>
  <c r="S98" i="7" a="1"/>
  <c r="S98" i="7" s="1"/>
  <c r="S74" i="7" a="1"/>
  <c r="S74" i="7" s="1"/>
  <c r="W85" i="5"/>
  <c r="AB62" i="9"/>
  <c r="S68" i="9" a="1"/>
  <c r="S68" i="9" s="1"/>
  <c r="S67" i="9" a="1"/>
  <c r="S67" i="9" s="1"/>
  <c r="T66" i="9"/>
  <c r="S50" i="6" a="1"/>
  <c r="S50" i="6" s="1"/>
  <c r="S59" i="6" a="1"/>
  <c r="S59" i="6" s="1"/>
  <c r="S58" i="6" a="1"/>
  <c r="S58" i="6" s="1"/>
  <c r="S47" i="6" a="1"/>
  <c r="S47" i="6" s="1"/>
  <c r="S45" i="6" a="1"/>
  <c r="S45" i="6" s="1"/>
  <c r="S53" i="6" a="1"/>
  <c r="S53" i="6" s="1"/>
  <c r="S43" i="6" a="1"/>
  <c r="S43" i="6" s="1"/>
  <c r="S51" i="6" a="1"/>
  <c r="S51" i="6" s="1"/>
  <c r="S49" i="6" a="1"/>
  <c r="S49" i="6" s="1"/>
  <c r="S48" i="6" a="1"/>
  <c r="S48" i="6" s="1"/>
  <c r="S57" i="6" a="1"/>
  <c r="S57" i="6" s="1"/>
  <c r="S54" i="6" a="1"/>
  <c r="S54" i="6" s="1"/>
  <c r="S46" i="6" a="1"/>
  <c r="S46" i="6" s="1"/>
  <c r="S55" i="6" a="1"/>
  <c r="S55" i="6" s="1"/>
  <c r="T41" i="6"/>
  <c r="S44" i="6" a="1"/>
  <c r="S44" i="6" s="1"/>
  <c r="S63" i="6" a="1"/>
  <c r="S63" i="6" s="1"/>
  <c r="T62" i="6"/>
  <c r="S102" i="7" a="1"/>
  <c r="S102" i="7" s="1"/>
  <c r="S68" i="7" a="1"/>
  <c r="S68" i="7" s="1"/>
  <c r="U90" i="5" a="1"/>
  <c r="U90" i="5" s="1"/>
  <c r="U110" i="7"/>
  <c r="T2" i="5"/>
  <c r="T7" i="5"/>
  <c r="T3" i="5"/>
  <c r="T9" i="5"/>
  <c r="T8" i="5"/>
  <c r="T6" i="5"/>
  <c r="T5" i="5"/>
  <c r="T4" i="5"/>
  <c r="S89" i="7" a="1"/>
  <c r="S89" i="7" s="1"/>
  <c r="U93" i="5" a="1"/>
  <c r="U93" i="5" s="1"/>
  <c r="T60" i="5"/>
  <c r="S93" i="7" a="1"/>
  <c r="S93" i="7" s="1"/>
  <c r="S80" i="7" a="1"/>
  <c r="S80" i="7" s="1"/>
  <c r="U99" i="5" a="1"/>
  <c r="U99" i="5" s="1"/>
  <c r="U98" i="5" a="1"/>
  <c r="U98" i="5" s="1"/>
  <c r="U68" i="6" a="1"/>
  <c r="U68" i="6" s="1"/>
  <c r="V66" i="6"/>
  <c r="S91" i="7" a="1"/>
  <c r="S91" i="7" s="1"/>
  <c r="V115" i="5"/>
  <c r="U91" i="5" a="1"/>
  <c r="U91" i="5" s="1"/>
  <c r="R8" i="7"/>
  <c r="R7" i="7"/>
  <c r="R6" i="7"/>
  <c r="R2" i="7"/>
  <c r="R5" i="7"/>
  <c r="R9" i="7"/>
  <c r="R4" i="7"/>
  <c r="R3" i="7"/>
  <c r="T75" i="6" a="1"/>
  <c r="T75" i="6" s="1"/>
  <c r="U71" i="6"/>
  <c r="T80" i="6" a="1"/>
  <c r="T80" i="6" s="1"/>
  <c r="T81" i="6" a="1"/>
  <c r="T81" i="6" s="1"/>
  <c r="T73" i="6" a="1"/>
  <c r="T73" i="6" s="1"/>
  <c r="T74" i="6" a="1"/>
  <c r="T74" i="6" s="1"/>
  <c r="T83" i="6" a="1"/>
  <c r="T83" i="6" s="1"/>
  <c r="T82" i="6" a="1"/>
  <c r="T82" i="6" s="1"/>
  <c r="S51" i="7" a="1"/>
  <c r="S51" i="7" s="1"/>
  <c r="S50" i="7" a="1"/>
  <c r="S50" i="7" s="1"/>
  <c r="S52" i="7" a="1"/>
  <c r="S52" i="7" s="1"/>
  <c r="S23" i="7" a="1"/>
  <c r="S53" i="7" a="1"/>
  <c r="S53" i="7" s="1"/>
  <c r="S54" i="7" a="1"/>
  <c r="S54" i="7" s="1"/>
  <c r="S49" i="7" a="1"/>
  <c r="S49" i="7" s="1"/>
  <c r="S2" i="7" a="1"/>
  <c r="S57" i="7" a="1"/>
  <c r="S57" i="7" s="1"/>
  <c r="S55" i="7" a="1"/>
  <c r="S55" i="7" s="1"/>
  <c r="S56" i="7" a="1"/>
  <c r="S56" i="7" s="1"/>
  <c r="T48" i="7"/>
  <c r="S107" i="7" a="1"/>
  <c r="S107" i="7" s="1"/>
  <c r="S90" i="7" a="1"/>
  <c r="S90" i="7" s="1"/>
  <c r="S97" i="7" a="1"/>
  <c r="S97" i="7" s="1"/>
  <c r="S78" i="7" a="1"/>
  <c r="S78" i="7" s="1"/>
  <c r="T115" i="7"/>
  <c r="S119" i="7" a="1"/>
  <c r="S119" i="7" s="1"/>
  <c r="S118" i="7" a="1"/>
  <c r="S118" i="7" s="1"/>
  <c r="S117" i="7" a="1"/>
  <c r="S117" i="7" s="1"/>
  <c r="S116" i="7" a="1"/>
  <c r="S116" i="7" s="1"/>
  <c r="V48" i="5"/>
  <c r="V88" i="5" s="1" a="1"/>
  <c r="V88" i="5" s="1"/>
  <c r="U2" i="5" a="1"/>
  <c r="U94" i="5" a="1"/>
  <c r="U94" i="5" s="1"/>
  <c r="S59" i="9" a="1"/>
  <c r="S59" i="9" s="1"/>
  <c r="S58" i="9" a="1"/>
  <c r="S58" i="9" s="1"/>
  <c r="S53" i="9" a="1"/>
  <c r="S53" i="9" s="1"/>
  <c r="S50" i="9" a="1"/>
  <c r="S50" i="9" s="1"/>
  <c r="S47" i="9" a="1"/>
  <c r="S47" i="9" s="1"/>
  <c r="S57" i="9" a="1"/>
  <c r="S57" i="9" s="1"/>
  <c r="S54" i="9" a="1"/>
  <c r="S54" i="9" s="1"/>
  <c r="S51" i="9" a="1"/>
  <c r="S51" i="9" s="1"/>
  <c r="S48" i="9" a="1"/>
  <c r="S48" i="9" s="1"/>
  <c r="T41" i="9"/>
  <c r="S55" i="9" a="1"/>
  <c r="S55" i="9" s="1"/>
  <c r="S49" i="9" a="1"/>
  <c r="S49" i="9" s="1"/>
  <c r="S44" i="9" a="1"/>
  <c r="S44" i="9" s="1"/>
  <c r="S45" i="9" a="1"/>
  <c r="S45" i="9" s="1"/>
  <c r="S43" i="9" a="1"/>
  <c r="S43" i="9" s="1"/>
  <c r="S46" i="9" a="1"/>
  <c r="S46" i="9" s="1"/>
  <c r="U95" i="5" a="1"/>
  <c r="U95" i="5" s="1"/>
  <c r="S103" i="7" a="1"/>
  <c r="S103" i="7" s="1"/>
  <c r="S87" i="7" a="1"/>
  <c r="S87" i="7" s="1"/>
  <c r="S75" i="7" a="1"/>
  <c r="S75" i="7" s="1"/>
  <c r="U92" i="5" a="1"/>
  <c r="U92" i="5" s="1"/>
  <c r="Y106" i="7"/>
  <c r="R30" i="7"/>
  <c r="R28" i="7"/>
  <c r="R27" i="7"/>
  <c r="R29" i="7"/>
  <c r="R26" i="7"/>
  <c r="R25" i="7"/>
  <c r="R24" i="7"/>
  <c r="R23" i="7"/>
  <c r="U97" i="5" a="1"/>
  <c r="U97" i="5" s="1"/>
  <c r="S101" i="7" a="1"/>
  <c r="S101" i="7" s="1"/>
  <c r="S69" i="7" a="1"/>
  <c r="S69" i="7" s="1"/>
  <c r="U102" i="5" a="1"/>
  <c r="U102" i="5" s="1"/>
  <c r="S62" i="7" a="1"/>
  <c r="S62" i="7" s="1"/>
  <c r="S64" i="7" a="1"/>
  <c r="S64" i="7" s="1"/>
  <c r="S63" i="7" a="1"/>
  <c r="S63" i="7" s="1"/>
  <c r="T60" i="7"/>
  <c r="S61" i="7" a="1"/>
  <c r="S61" i="7" s="1"/>
  <c r="CN99" i="5" l="1" a="1"/>
  <c r="CN99" i="5" s="1"/>
  <c r="CN95" i="5" a="1"/>
  <c r="CN95" i="5" s="1"/>
  <c r="CN102" i="5" a="1"/>
  <c r="CN102" i="5" s="1"/>
  <c r="CN103" i="5" a="1"/>
  <c r="CN103" i="5" s="1"/>
  <c r="CN94" i="5" a="1"/>
  <c r="CN94" i="5" s="1"/>
  <c r="CN87" i="5" a="1"/>
  <c r="CN87" i="5" s="1"/>
  <c r="CN91" i="5" a="1"/>
  <c r="CN91" i="5" s="1"/>
  <c r="CP67" i="5"/>
  <c r="CN88" i="5" a="1"/>
  <c r="CN88" i="5" s="1"/>
  <c r="CO110" i="5"/>
  <c r="CN93" i="5" a="1"/>
  <c r="CN93" i="5" s="1"/>
  <c r="CM9" i="5"/>
  <c r="CM7" i="5"/>
  <c r="CM8" i="5"/>
  <c r="CM6" i="5"/>
  <c r="CM5" i="5"/>
  <c r="CM4" i="5"/>
  <c r="CM2" i="5"/>
  <c r="CM3" i="5"/>
  <c r="CN90" i="5" a="1"/>
  <c r="CN90" i="5" s="1"/>
  <c r="CS106" i="5"/>
  <c r="CN101" i="5" a="1"/>
  <c r="CN101" i="5" s="1"/>
  <c r="CO93" i="5" a="1"/>
  <c r="CO93" i="5" s="1"/>
  <c r="CO102" i="5" a="1"/>
  <c r="CO102" i="5" s="1"/>
  <c r="CO101" i="5" a="1"/>
  <c r="CO101" i="5" s="1"/>
  <c r="CO90" i="5" a="1"/>
  <c r="CO90" i="5" s="1"/>
  <c r="CO88" i="5" a="1"/>
  <c r="CO88" i="5" s="1"/>
  <c r="CP85" i="5"/>
  <c r="CO98" i="5" a="1"/>
  <c r="CO98" i="5" s="1"/>
  <c r="CO87" i="5" a="1"/>
  <c r="CO87" i="5" s="1"/>
  <c r="CN92" i="5" a="1"/>
  <c r="CN92" i="5" s="1"/>
  <c r="CO115" i="5"/>
  <c r="CO60" i="5"/>
  <c r="CO48" i="5"/>
  <c r="CN2" i="5" a="1"/>
  <c r="CN107" i="5" a="1"/>
  <c r="CN107" i="5" s="1"/>
  <c r="CN98" i="5" a="1"/>
  <c r="CN98" i="5" s="1"/>
  <c r="CN97" i="5" a="1"/>
  <c r="CN97" i="5" s="1"/>
  <c r="BC4" i="5"/>
  <c r="BC3" i="5"/>
  <c r="BC2" i="5"/>
  <c r="BC8" i="5"/>
  <c r="BC7" i="5"/>
  <c r="BC6" i="5"/>
  <c r="BC5" i="5"/>
  <c r="BC9" i="5"/>
  <c r="BD87" i="5" a="1"/>
  <c r="BD87" i="5" s="1"/>
  <c r="BE110" i="5"/>
  <c r="BD90" i="5" a="1"/>
  <c r="BD90" i="5" s="1"/>
  <c r="BD99" i="5" a="1"/>
  <c r="BD99" i="5" s="1"/>
  <c r="BD102" i="5" a="1"/>
  <c r="BD102" i="5" s="1"/>
  <c r="BD103" i="5" a="1"/>
  <c r="BD103" i="5" s="1"/>
  <c r="BD89" i="5" a="1"/>
  <c r="BD89" i="5" s="1"/>
  <c r="BE106" i="5"/>
  <c r="BD107" i="5" a="1"/>
  <c r="BD107" i="5" s="1"/>
  <c r="BE60" i="5"/>
  <c r="BE48" i="5"/>
  <c r="BD2" i="5" a="1"/>
  <c r="BD95" i="5" a="1"/>
  <c r="BD95" i="5" s="1"/>
  <c r="BD97" i="5" a="1"/>
  <c r="BD97" i="5" s="1"/>
  <c r="BD118" i="5" a="1"/>
  <c r="BD118" i="5" s="1"/>
  <c r="BD117" i="5" a="1"/>
  <c r="BD117" i="5" s="1"/>
  <c r="BE115" i="5"/>
  <c r="BD119" i="5" a="1"/>
  <c r="BD119" i="5" s="1"/>
  <c r="BD116" i="5" a="1"/>
  <c r="BD116" i="5" s="1"/>
  <c r="BE67" i="5"/>
  <c r="BD98" i="5" a="1"/>
  <c r="BD98" i="5" s="1"/>
  <c r="BD92" i="5" a="1"/>
  <c r="BD92" i="5" s="1"/>
  <c r="BE93" i="5" a="1"/>
  <c r="BE93" i="5" s="1"/>
  <c r="BE98" i="5" a="1"/>
  <c r="BE98" i="5" s="1"/>
  <c r="BE91" i="5" a="1"/>
  <c r="BE91" i="5" s="1"/>
  <c r="BF85" i="5"/>
  <c r="BD88" i="5" a="1"/>
  <c r="BD88" i="5" s="1"/>
  <c r="V102" i="5" a="1"/>
  <c r="V102" i="5" s="1"/>
  <c r="T59" i="9" a="1"/>
  <c r="T59" i="9" s="1"/>
  <c r="T48" i="9" a="1"/>
  <c r="T48" i="9" s="1"/>
  <c r="T53" i="9" a="1"/>
  <c r="T53" i="9" s="1"/>
  <c r="T55" i="9" a="1"/>
  <c r="T55" i="9" s="1"/>
  <c r="T49" i="9" a="1"/>
  <c r="T49" i="9" s="1"/>
  <c r="T50" i="9" a="1"/>
  <c r="T50" i="9" s="1"/>
  <c r="T51" i="9" a="1"/>
  <c r="T51" i="9" s="1"/>
  <c r="T44" i="9" a="1"/>
  <c r="T44" i="9" s="1"/>
  <c r="T47" i="9" a="1"/>
  <c r="T47" i="9" s="1"/>
  <c r="T43" i="9" a="1"/>
  <c r="T43" i="9" s="1"/>
  <c r="T45" i="9" a="1"/>
  <c r="T45" i="9" s="1"/>
  <c r="T54" i="9" a="1"/>
  <c r="T54" i="9" s="1"/>
  <c r="T58" i="9" a="1"/>
  <c r="T58" i="9" s="1"/>
  <c r="U41" i="9"/>
  <c r="T46" i="9" a="1"/>
  <c r="T46" i="9" s="1"/>
  <c r="T57" i="9" a="1"/>
  <c r="T57" i="9" s="1"/>
  <c r="T50" i="7" a="1"/>
  <c r="T50" i="7" s="1"/>
  <c r="T57" i="7" a="1"/>
  <c r="T57" i="7" s="1"/>
  <c r="T49" i="7" a="1"/>
  <c r="T49" i="7" s="1"/>
  <c r="T53" i="7" a="1"/>
  <c r="T53" i="7" s="1"/>
  <c r="T54" i="7" a="1"/>
  <c r="T54" i="7" s="1"/>
  <c r="T55" i="7" a="1"/>
  <c r="T55" i="7" s="1"/>
  <c r="T52" i="7" a="1"/>
  <c r="T52" i="7" s="1"/>
  <c r="T51" i="7" a="1"/>
  <c r="T51" i="7" s="1"/>
  <c r="T56" i="7" a="1"/>
  <c r="T56" i="7" s="1"/>
  <c r="U48" i="7"/>
  <c r="U90" i="7" s="1" a="1"/>
  <c r="U90" i="7" s="1"/>
  <c r="T2" i="7" a="1"/>
  <c r="T23" i="7" a="1"/>
  <c r="T107" i="7" a="1"/>
  <c r="T107" i="7" s="1"/>
  <c r="W115" i="5"/>
  <c r="V89" i="5" a="1"/>
  <c r="V89" i="5" s="1"/>
  <c r="T70" i="7" a="1"/>
  <c r="T70" i="7" s="1"/>
  <c r="U13" i="6" a="1"/>
  <c r="U13" i="6" s="1"/>
  <c r="V4" i="6"/>
  <c r="U9" i="6" a="1"/>
  <c r="U9" i="6" s="1"/>
  <c r="U12" i="6" a="1"/>
  <c r="U12" i="6" s="1"/>
  <c r="U5" i="6" a="1"/>
  <c r="U5" i="6" s="1"/>
  <c r="U10" i="6" a="1"/>
  <c r="U10" i="6" s="1"/>
  <c r="U8" i="6" a="1"/>
  <c r="U8" i="6" s="1"/>
  <c r="U11" i="6" a="1"/>
  <c r="U11" i="6" s="1"/>
  <c r="U7" i="6" a="1"/>
  <c r="U7" i="6" s="1"/>
  <c r="U6" i="6" a="1"/>
  <c r="U6" i="6" s="1"/>
  <c r="T102" i="7" a="1"/>
  <c r="T102" i="7" s="1"/>
  <c r="T67" i="9" a="1"/>
  <c r="T67" i="9" s="1"/>
  <c r="U66" i="9"/>
  <c r="T68" i="9" a="1"/>
  <c r="T68" i="9" s="1"/>
  <c r="V98" i="5" a="1"/>
  <c r="V98" i="5" s="1"/>
  <c r="T81" i="7" a="1"/>
  <c r="T81" i="7" s="1"/>
  <c r="T94" i="7" a="1"/>
  <c r="T94" i="7" s="1"/>
  <c r="U75" i="6" a="1"/>
  <c r="U75" i="6" s="1"/>
  <c r="U74" i="6" a="1"/>
  <c r="U74" i="6" s="1"/>
  <c r="U82" i="6" a="1"/>
  <c r="U82" i="6" s="1"/>
  <c r="U81" i="6" a="1"/>
  <c r="U81" i="6" s="1"/>
  <c r="U83" i="6" a="1"/>
  <c r="U83" i="6" s="1"/>
  <c r="V71" i="6"/>
  <c r="U73" i="6" a="1"/>
  <c r="U73" i="6" s="1"/>
  <c r="U80" i="6" a="1"/>
  <c r="U80" i="6" s="1"/>
  <c r="T59" i="6" a="1"/>
  <c r="T59" i="6" s="1"/>
  <c r="T49" i="6" a="1"/>
  <c r="T49" i="6" s="1"/>
  <c r="T58" i="6" a="1"/>
  <c r="T58" i="6" s="1"/>
  <c r="T57" i="6" a="1"/>
  <c r="T57" i="6" s="1"/>
  <c r="T43" i="6" a="1"/>
  <c r="T43" i="6" s="1"/>
  <c r="T53" i="6" a="1"/>
  <c r="T53" i="6" s="1"/>
  <c r="T51" i="6" a="1"/>
  <c r="T51" i="6" s="1"/>
  <c r="T54" i="6" a="1"/>
  <c r="T54" i="6" s="1"/>
  <c r="T50" i="6" a="1"/>
  <c r="T50" i="6" s="1"/>
  <c r="T46" i="6" a="1"/>
  <c r="T46" i="6" s="1"/>
  <c r="T48" i="6" a="1"/>
  <c r="T48" i="6" s="1"/>
  <c r="T47" i="6" a="1"/>
  <c r="T47" i="6" s="1"/>
  <c r="T55" i="6" a="1"/>
  <c r="T55" i="6" s="1"/>
  <c r="U41" i="6"/>
  <c r="T45" i="6" a="1"/>
  <c r="T45" i="6" s="1"/>
  <c r="T44" i="6" a="1"/>
  <c r="T44" i="6" s="1"/>
  <c r="V90" i="5" a="1"/>
  <c r="V90" i="5" s="1"/>
  <c r="U38" i="6" a="1"/>
  <c r="U38" i="6" s="1"/>
  <c r="V23" i="6"/>
  <c r="U36" i="6" a="1"/>
  <c r="U36" i="6" s="1"/>
  <c r="U37" i="6" a="1"/>
  <c r="U37" i="6" s="1"/>
  <c r="T82" i="7" a="1"/>
  <c r="T82" i="7" s="1"/>
  <c r="T101" i="7" a="1"/>
  <c r="T101" i="7" s="1"/>
  <c r="V68" i="6" a="1"/>
  <c r="V68" i="6" s="1"/>
  <c r="W66" i="6"/>
  <c r="V67" i="6" a="1"/>
  <c r="V67" i="6" s="1"/>
  <c r="V99" i="5" a="1"/>
  <c r="V99" i="5" s="1"/>
  <c r="U82" i="7" a="1"/>
  <c r="U82" i="7" s="1"/>
  <c r="U78" i="7" a="1"/>
  <c r="U78" i="7" s="1"/>
  <c r="V67" i="7"/>
  <c r="U77" i="7" a="1"/>
  <c r="U77" i="7" s="1"/>
  <c r="U81" i="7" a="1"/>
  <c r="U81" i="7" s="1"/>
  <c r="T87" i="7" a="1"/>
  <c r="T87" i="7" s="1"/>
  <c r="S2" i="7"/>
  <c r="S7" i="7"/>
  <c r="S9" i="7"/>
  <c r="S8" i="7"/>
  <c r="S6" i="7"/>
  <c r="S5" i="7"/>
  <c r="S3" i="7"/>
  <c r="S4" i="7"/>
  <c r="AC62" i="9"/>
  <c r="V91" i="5" a="1"/>
  <c r="V91" i="5" s="1"/>
  <c r="T78" i="7" a="1"/>
  <c r="T78" i="7" s="1"/>
  <c r="T92" i="7" a="1"/>
  <c r="T92" i="7" s="1"/>
  <c r="U67" i="6" a="1"/>
  <c r="U67" i="6" s="1"/>
  <c r="V101" i="5" a="1"/>
  <c r="V101" i="5" s="1"/>
  <c r="T80" i="7" a="1"/>
  <c r="T80" i="7" s="1"/>
  <c r="T95" i="7" a="1"/>
  <c r="T95" i="7" s="1"/>
  <c r="T111" i="7" a="1"/>
  <c r="T111" i="7" s="1"/>
  <c r="V95" i="5" a="1"/>
  <c r="V95" i="5" s="1"/>
  <c r="T73" i="7" a="1"/>
  <c r="T73" i="7" s="1"/>
  <c r="T97" i="7" a="1"/>
  <c r="T97" i="7" s="1"/>
  <c r="U67" i="5"/>
  <c r="S28" i="7"/>
  <c r="S23" i="7"/>
  <c r="S29" i="7"/>
  <c r="S25" i="7"/>
  <c r="S24" i="7"/>
  <c r="S26" i="7"/>
  <c r="S27" i="7"/>
  <c r="S30" i="7"/>
  <c r="V94" i="5" a="1"/>
  <c r="V94" i="5" s="1"/>
  <c r="T79" i="7" a="1"/>
  <c r="T79" i="7" s="1"/>
  <c r="U111" i="5" a="1"/>
  <c r="U111" i="5" s="1"/>
  <c r="V110" i="5"/>
  <c r="U112" i="5" a="1"/>
  <c r="U112" i="5" s="1"/>
  <c r="T91" i="7" a="1"/>
  <c r="T91" i="7" s="1"/>
  <c r="T80" i="9" a="1"/>
  <c r="T80" i="9" s="1"/>
  <c r="T79" i="9" a="1"/>
  <c r="T79" i="9" s="1"/>
  <c r="T82" i="9" a="1"/>
  <c r="T82" i="9" s="1"/>
  <c r="T81" i="9" a="1"/>
  <c r="T81" i="9" s="1"/>
  <c r="T74" i="9" a="1"/>
  <c r="T74" i="9" s="1"/>
  <c r="T75" i="9" a="1"/>
  <c r="T75" i="9" s="1"/>
  <c r="T73" i="9" a="1"/>
  <c r="T73" i="9" s="1"/>
  <c r="U71" i="9"/>
  <c r="U60" i="5"/>
  <c r="U112" i="7" a="1"/>
  <c r="U112" i="7" s="1"/>
  <c r="U111" i="7" a="1"/>
  <c r="U111" i="7" s="1"/>
  <c r="V110" i="7"/>
  <c r="X85" i="5"/>
  <c r="T72" i="7" a="1"/>
  <c r="T72" i="7" s="1"/>
  <c r="T103" i="7" a="1"/>
  <c r="T103" i="7" s="1"/>
  <c r="U6" i="9" a="1"/>
  <c r="U6" i="9" s="1"/>
  <c r="U7" i="9" a="1"/>
  <c r="U7" i="9" s="1"/>
  <c r="V4" i="9"/>
  <c r="U9" i="9" a="1"/>
  <c r="U9" i="9" s="1"/>
  <c r="U13" i="9" a="1"/>
  <c r="U13" i="9" s="1"/>
  <c r="U10" i="9" a="1"/>
  <c r="U10" i="9" s="1"/>
  <c r="U12" i="9" a="1"/>
  <c r="U12" i="9" s="1"/>
  <c r="U5" i="9" a="1"/>
  <c r="U5" i="9" s="1"/>
  <c r="U8" i="9" a="1"/>
  <c r="U8" i="9" s="1"/>
  <c r="U11" i="9" a="1"/>
  <c r="U11" i="9" s="1"/>
  <c r="T63" i="7" a="1"/>
  <c r="T63" i="7" s="1"/>
  <c r="U60" i="7"/>
  <c r="T64" i="7" a="1"/>
  <c r="T64" i="7" s="1"/>
  <c r="T62" i="7" a="1"/>
  <c r="T62" i="7" s="1"/>
  <c r="T61" i="7" a="1"/>
  <c r="T61" i="7" s="1"/>
  <c r="T119" i="7" a="1"/>
  <c r="T119" i="7" s="1"/>
  <c r="U115" i="7"/>
  <c r="T118" i="7" a="1"/>
  <c r="T118" i="7" s="1"/>
  <c r="T117" i="7" a="1"/>
  <c r="T117" i="7" s="1"/>
  <c r="T116" i="7" a="1"/>
  <c r="T116" i="7" s="1"/>
  <c r="T112" i="7" a="1"/>
  <c r="T112" i="7" s="1"/>
  <c r="T74" i="7" a="1"/>
  <c r="T74" i="7" s="1"/>
  <c r="T88" i="7" a="1"/>
  <c r="T88" i="7" s="1"/>
  <c r="W48" i="5"/>
  <c r="W93" i="5" s="1" a="1"/>
  <c r="W93" i="5" s="1"/>
  <c r="V2" i="5" a="1"/>
  <c r="T63" i="6" a="1"/>
  <c r="T63" i="6" s="1"/>
  <c r="U62" i="6"/>
  <c r="V103" i="5" a="1"/>
  <c r="V103" i="5" s="1"/>
  <c r="T68" i="7" a="1"/>
  <c r="T68" i="7" s="1"/>
  <c r="Z106" i="7"/>
  <c r="U9" i="5"/>
  <c r="U8" i="5"/>
  <c r="U4" i="5"/>
  <c r="U7" i="5"/>
  <c r="U6" i="5"/>
  <c r="U5" i="5"/>
  <c r="U3" i="5"/>
  <c r="U2" i="5"/>
  <c r="V93" i="5" a="1"/>
  <c r="V93" i="5" s="1"/>
  <c r="U23" i="9"/>
  <c r="T38" i="9" a="1"/>
  <c r="T38" i="9" s="1"/>
  <c r="T37" i="9" a="1"/>
  <c r="T37" i="9" s="1"/>
  <c r="T35" i="9" a="1"/>
  <c r="T35" i="9" s="1"/>
  <c r="T36" i="9" a="1"/>
  <c r="T36" i="9" s="1"/>
  <c r="T76" i="7" a="1"/>
  <c r="T76" i="7" s="1"/>
  <c r="T89" i="7" a="1"/>
  <c r="T89" i="7" s="1"/>
  <c r="V85" i="7"/>
  <c r="U98" i="7" a="1"/>
  <c r="U98" i="7" s="1"/>
  <c r="U103" i="7" a="1"/>
  <c r="U103" i="7" s="1"/>
  <c r="U97" i="7" a="1"/>
  <c r="U97" i="7" s="1"/>
  <c r="V97" i="5" a="1"/>
  <c r="V97" i="5" s="1"/>
  <c r="X106" i="5"/>
  <c r="T69" i="7" a="1"/>
  <c r="T69" i="7" s="1"/>
  <c r="T90" i="7" a="1"/>
  <c r="T90" i="7" s="1"/>
  <c r="T99" i="7" a="1"/>
  <c r="T99" i="7" s="1"/>
  <c r="V92" i="5" a="1"/>
  <c r="V92" i="5" s="1"/>
  <c r="V87" i="5" a="1"/>
  <c r="V87" i="5" s="1"/>
  <c r="V107" i="5" a="1"/>
  <c r="V107" i="5" s="1"/>
  <c r="T71" i="7" a="1"/>
  <c r="T71" i="7" s="1"/>
  <c r="T98" i="7" a="1"/>
  <c r="T98" i="7" s="1"/>
  <c r="CQ85" i="5" l="1"/>
  <c r="CO94" i="5" a="1"/>
  <c r="CO94" i="5" s="1"/>
  <c r="CO89" i="5" a="1"/>
  <c r="CO89" i="5" s="1"/>
  <c r="CO91" i="5" a="1"/>
  <c r="CO91" i="5" s="1"/>
  <c r="CO99" i="5" a="1"/>
  <c r="CO99" i="5" s="1"/>
  <c r="CP110" i="5"/>
  <c r="CN8" i="5"/>
  <c r="CN7" i="5"/>
  <c r="CN6" i="5"/>
  <c r="CN4" i="5"/>
  <c r="CN3" i="5"/>
  <c r="CN9" i="5"/>
  <c r="CN5" i="5"/>
  <c r="CN2" i="5"/>
  <c r="CP115" i="5"/>
  <c r="CP48" i="5"/>
  <c r="CP87" i="5" s="1" a="1"/>
  <c r="CP87" i="5" s="1"/>
  <c r="CO2" i="5" a="1"/>
  <c r="CO107" i="5" a="1"/>
  <c r="CO107" i="5" s="1"/>
  <c r="CQ67" i="5"/>
  <c r="CO92" i="5" a="1"/>
  <c r="CO92" i="5" s="1"/>
  <c r="CT106" i="5"/>
  <c r="CP60" i="5"/>
  <c r="CO103" i="5" a="1"/>
  <c r="CO103" i="5" s="1"/>
  <c r="CO95" i="5" a="1"/>
  <c r="CO95" i="5" s="1"/>
  <c r="CO97" i="5" a="1"/>
  <c r="CO97" i="5" s="1"/>
  <c r="BE2" i="5" a="1"/>
  <c r="BF48" i="5"/>
  <c r="BF93" i="5" s="1" a="1"/>
  <c r="BF93" i="5" s="1"/>
  <c r="BE103" i="5" a="1"/>
  <c r="BE103" i="5" s="1"/>
  <c r="BF94" i="5" a="1"/>
  <c r="BF94" i="5" s="1"/>
  <c r="BF89" i="5" a="1"/>
  <c r="BF89" i="5" s="1"/>
  <c r="BF95" i="5" a="1"/>
  <c r="BF95" i="5" s="1"/>
  <c r="BG85" i="5"/>
  <c r="BF103" i="5" a="1"/>
  <c r="BF103" i="5" s="1"/>
  <c r="BF91" i="5" a="1"/>
  <c r="BF91" i="5" s="1"/>
  <c r="BE112" i="5" a="1"/>
  <c r="BE112" i="5" s="1"/>
  <c r="BE111" i="5" a="1"/>
  <c r="BE111" i="5" s="1"/>
  <c r="BF110" i="5"/>
  <c r="BE92" i="5" a="1"/>
  <c r="BE92" i="5" s="1"/>
  <c r="BE95" i="5" a="1"/>
  <c r="BE95" i="5" s="1"/>
  <c r="BE99" i="5" a="1"/>
  <c r="BE99" i="5" s="1"/>
  <c r="BF60" i="5"/>
  <c r="BE90" i="5" a="1"/>
  <c r="BE90" i="5" s="1"/>
  <c r="BF67" i="5"/>
  <c r="BE102" i="5" a="1"/>
  <c r="BE102" i="5" s="1"/>
  <c r="BE87" i="5" a="1"/>
  <c r="BE87" i="5" s="1"/>
  <c r="BE88" i="5" a="1"/>
  <c r="BE88" i="5" s="1"/>
  <c r="BE89" i="5" a="1"/>
  <c r="BE89" i="5" s="1"/>
  <c r="BE97" i="5" a="1"/>
  <c r="BE97" i="5" s="1"/>
  <c r="BE101" i="5" a="1"/>
  <c r="BE101" i="5" s="1"/>
  <c r="BD9" i="5"/>
  <c r="BD8" i="5"/>
  <c r="BD7" i="5"/>
  <c r="BD5" i="5"/>
  <c r="BD6" i="5"/>
  <c r="BD4" i="5"/>
  <c r="BD3" i="5"/>
  <c r="BD2" i="5"/>
  <c r="BF106" i="5"/>
  <c r="BE107" i="5" a="1"/>
  <c r="BE107" i="5" s="1"/>
  <c r="BF115" i="5"/>
  <c r="BE94" i="5" a="1"/>
  <c r="BE94" i="5" s="1"/>
  <c r="U117" i="7" a="1"/>
  <c r="U117" i="7" s="1"/>
  <c r="V115" i="7"/>
  <c r="U119" i="7" a="1"/>
  <c r="U119" i="7" s="1"/>
  <c r="U116" i="7" a="1"/>
  <c r="U116" i="7" s="1"/>
  <c r="U118" i="7" a="1"/>
  <c r="U118" i="7" s="1"/>
  <c r="W98" i="5" a="1"/>
  <c r="W98" i="5" s="1"/>
  <c r="U73" i="7" a="1"/>
  <c r="U73" i="7" s="1"/>
  <c r="U58" i="9" a="1"/>
  <c r="U58" i="9" s="1"/>
  <c r="U59" i="9" a="1"/>
  <c r="U59" i="9" s="1"/>
  <c r="U54" i="9" a="1"/>
  <c r="U54" i="9" s="1"/>
  <c r="U53" i="9" a="1"/>
  <c r="U53" i="9" s="1"/>
  <c r="U55" i="9" a="1"/>
  <c r="U55" i="9" s="1"/>
  <c r="U51" i="9" a="1"/>
  <c r="U51" i="9" s="1"/>
  <c r="U49" i="9" a="1"/>
  <c r="U49" i="9" s="1"/>
  <c r="U44" i="9" a="1"/>
  <c r="U44" i="9" s="1"/>
  <c r="U47" i="9" a="1"/>
  <c r="U47" i="9" s="1"/>
  <c r="U43" i="9" a="1"/>
  <c r="U43" i="9" s="1"/>
  <c r="U48" i="9" a="1"/>
  <c r="U48" i="9" s="1"/>
  <c r="U46" i="9" a="1"/>
  <c r="U46" i="9" s="1"/>
  <c r="U50" i="9" a="1"/>
  <c r="U50" i="9" s="1"/>
  <c r="V41" i="9"/>
  <c r="U45" i="9" a="1"/>
  <c r="U45" i="9" s="1"/>
  <c r="U57" i="9" a="1"/>
  <c r="U57" i="9" s="1"/>
  <c r="U89" i="7" a="1"/>
  <c r="U89" i="7" s="1"/>
  <c r="W99" i="5" a="1"/>
  <c r="W99" i="5" s="1"/>
  <c r="U79" i="7" a="1"/>
  <c r="U79" i="7" s="1"/>
  <c r="U88" i="7" a="1"/>
  <c r="U88" i="7" s="1"/>
  <c r="W90" i="5" a="1"/>
  <c r="W90" i="5" s="1"/>
  <c r="W92" i="5" a="1"/>
  <c r="W92" i="5" s="1"/>
  <c r="V111" i="7" a="1"/>
  <c r="V111" i="7" s="1"/>
  <c r="W110" i="7"/>
  <c r="V75" i="7" a="1"/>
  <c r="V75" i="7" s="1"/>
  <c r="V82" i="7" a="1"/>
  <c r="V82" i="7" s="1"/>
  <c r="V81" i="7" a="1"/>
  <c r="V81" i="7" s="1"/>
  <c r="V73" i="7" a="1"/>
  <c r="V73" i="7" s="1"/>
  <c r="V74" i="7" a="1"/>
  <c r="V74" i="7" s="1"/>
  <c r="V72" i="7" a="1"/>
  <c r="V72" i="7" s="1"/>
  <c r="V71" i="7" a="1"/>
  <c r="V71" i="7" s="1"/>
  <c r="W67" i="7"/>
  <c r="V80" i="7" a="1"/>
  <c r="V80" i="7" s="1"/>
  <c r="V70" i="7" a="1"/>
  <c r="V70" i="7" s="1"/>
  <c r="V68" i="7" a="1"/>
  <c r="V68" i="7" s="1"/>
  <c r="V76" i="7" a="1"/>
  <c r="V76" i="7" s="1"/>
  <c r="T30" i="7"/>
  <c r="T28" i="7"/>
  <c r="T26" i="7"/>
  <c r="T25" i="7"/>
  <c r="T29" i="7"/>
  <c r="T27" i="7"/>
  <c r="T24" i="7"/>
  <c r="T23" i="7"/>
  <c r="T9" i="7"/>
  <c r="T8" i="7"/>
  <c r="T6" i="7"/>
  <c r="T5" i="7"/>
  <c r="T4" i="7"/>
  <c r="T2" i="7"/>
  <c r="T7" i="7"/>
  <c r="T3" i="7"/>
  <c r="U57" i="7" a="1"/>
  <c r="U57" i="7" s="1"/>
  <c r="U49" i="7" a="1"/>
  <c r="U49" i="7" s="1"/>
  <c r="U56" i="7" a="1"/>
  <c r="U56" i="7" s="1"/>
  <c r="V48" i="7"/>
  <c r="U54" i="7" a="1"/>
  <c r="U54" i="7" s="1"/>
  <c r="U55" i="7" a="1"/>
  <c r="U55" i="7" s="1"/>
  <c r="U52" i="7" a="1"/>
  <c r="U52" i="7" s="1"/>
  <c r="U50" i="7" a="1"/>
  <c r="U50" i="7" s="1"/>
  <c r="U23" i="7" a="1"/>
  <c r="U51" i="7" a="1"/>
  <c r="U51" i="7" s="1"/>
  <c r="U2" i="7" a="1"/>
  <c r="U53" i="7" a="1"/>
  <c r="U53" i="7" s="1"/>
  <c r="U107" i="7" a="1"/>
  <c r="U107" i="7" s="1"/>
  <c r="U76" i="7" a="1"/>
  <c r="U76" i="7" s="1"/>
  <c r="V60" i="5"/>
  <c r="U101" i="7" a="1"/>
  <c r="U101" i="7" s="1"/>
  <c r="W94" i="5" a="1"/>
  <c r="W94" i="5" s="1"/>
  <c r="U68" i="7" a="1"/>
  <c r="U68" i="7" s="1"/>
  <c r="W110" i="5"/>
  <c r="V112" i="5" a="1"/>
  <c r="V112" i="5" s="1"/>
  <c r="V111" i="5" a="1"/>
  <c r="V111" i="5" s="1"/>
  <c r="V67" i="5"/>
  <c r="U95" i="7" a="1"/>
  <c r="U95" i="7" s="1"/>
  <c r="AA106" i="7"/>
  <c r="W101" i="5" a="1"/>
  <c r="W101" i="5" s="1"/>
  <c r="U80" i="7" a="1"/>
  <c r="U80" i="7" s="1"/>
  <c r="X66" i="6"/>
  <c r="W68" i="6" a="1"/>
  <c r="W68" i="6" s="1"/>
  <c r="W67" i="6" a="1"/>
  <c r="W67" i="6" s="1"/>
  <c r="V11" i="6" a="1"/>
  <c r="V11" i="6" s="1"/>
  <c r="V12" i="6" a="1"/>
  <c r="V12" i="6" s="1"/>
  <c r="V8" i="6" a="1"/>
  <c r="V8" i="6" s="1"/>
  <c r="V5" i="6" a="1"/>
  <c r="V5" i="6" s="1"/>
  <c r="V9" i="6" a="1"/>
  <c r="V9" i="6" s="1"/>
  <c r="V10" i="6" a="1"/>
  <c r="V10" i="6" s="1"/>
  <c r="V7" i="6" a="1"/>
  <c r="V7" i="6" s="1"/>
  <c r="V13" i="6" a="1"/>
  <c r="V13" i="6" s="1"/>
  <c r="V6" i="6" a="1"/>
  <c r="V6" i="6" s="1"/>
  <c r="W4" i="6"/>
  <c r="V36" i="6" a="1"/>
  <c r="V36" i="6" s="1"/>
  <c r="W23" i="6"/>
  <c r="V37" i="6" a="1"/>
  <c r="V37" i="6" s="1"/>
  <c r="V38" i="6" a="1"/>
  <c r="V38" i="6" s="1"/>
  <c r="U59" i="6" a="1"/>
  <c r="U59" i="6" s="1"/>
  <c r="U58" i="6" a="1"/>
  <c r="U58" i="6" s="1"/>
  <c r="U55" i="6" a="1"/>
  <c r="U55" i="6" s="1"/>
  <c r="U53" i="6" a="1"/>
  <c r="U53" i="6" s="1"/>
  <c r="U43" i="6" a="1"/>
  <c r="U43" i="6" s="1"/>
  <c r="U51" i="6" a="1"/>
  <c r="U51" i="6" s="1"/>
  <c r="U54" i="6" a="1"/>
  <c r="U54" i="6" s="1"/>
  <c r="U50" i="6" a="1"/>
  <c r="U50" i="6" s="1"/>
  <c r="U46" i="6" a="1"/>
  <c r="U46" i="6" s="1"/>
  <c r="U49" i="6" a="1"/>
  <c r="U49" i="6" s="1"/>
  <c r="U57" i="6" a="1"/>
  <c r="U57" i="6" s="1"/>
  <c r="U47" i="6" a="1"/>
  <c r="U47" i="6" s="1"/>
  <c r="V41" i="6"/>
  <c r="U45" i="6" a="1"/>
  <c r="U45" i="6" s="1"/>
  <c r="U44" i="6" a="1"/>
  <c r="U44" i="6" s="1"/>
  <c r="U48" i="6" a="1"/>
  <c r="U48" i="6" s="1"/>
  <c r="V75" i="6" a="1"/>
  <c r="V75" i="6" s="1"/>
  <c r="V74" i="6" a="1"/>
  <c r="V74" i="6" s="1"/>
  <c r="W71" i="6"/>
  <c r="V73" i="6" a="1"/>
  <c r="V73" i="6" s="1"/>
  <c r="V82" i="6" a="1"/>
  <c r="V82" i="6" s="1"/>
  <c r="V81" i="6" a="1"/>
  <c r="V81" i="6" s="1"/>
  <c r="V83" i="6" a="1"/>
  <c r="V83" i="6" s="1"/>
  <c r="V80" i="6" a="1"/>
  <c r="V80" i="6" s="1"/>
  <c r="U94" i="7" a="1"/>
  <c r="U94" i="7" s="1"/>
  <c r="W103" i="5" a="1"/>
  <c r="W103" i="5" s="1"/>
  <c r="U93" i="7" a="1"/>
  <c r="U93" i="7" s="1"/>
  <c r="U72" i="7" a="1"/>
  <c r="U72" i="7" s="1"/>
  <c r="W2" i="5" a="1"/>
  <c r="X48" i="5"/>
  <c r="X98" i="5" s="1" a="1"/>
  <c r="X98" i="5" s="1"/>
  <c r="W89" i="5" a="1"/>
  <c r="W89" i="5" s="1"/>
  <c r="W119" i="5" a="1"/>
  <c r="W119" i="5" s="1"/>
  <c r="W117" i="5" a="1"/>
  <c r="W117" i="5" s="1"/>
  <c r="X115" i="5"/>
  <c r="W116" i="5" a="1"/>
  <c r="W116" i="5" s="1"/>
  <c r="W118" i="5" a="1"/>
  <c r="W118" i="5" s="1"/>
  <c r="V87" i="7" a="1"/>
  <c r="V87" i="7" s="1"/>
  <c r="V88" i="7" a="1"/>
  <c r="V88" i="7" s="1"/>
  <c r="V98" i="7" a="1"/>
  <c r="V98" i="7" s="1"/>
  <c r="V92" i="7" a="1"/>
  <c r="V92" i="7" s="1"/>
  <c r="V94" i="7" a="1"/>
  <c r="V94" i="7" s="1"/>
  <c r="V103" i="7" a="1"/>
  <c r="V103" i="7" s="1"/>
  <c r="V99" i="7" a="1"/>
  <c r="V99" i="7" s="1"/>
  <c r="V91" i="7" a="1"/>
  <c r="V91" i="7" s="1"/>
  <c r="V90" i="7" a="1"/>
  <c r="V90" i="7" s="1"/>
  <c r="V89" i="7" a="1"/>
  <c r="V89" i="7" s="1"/>
  <c r="W85" i="7"/>
  <c r="V97" i="7" a="1"/>
  <c r="V97" i="7" s="1"/>
  <c r="V93" i="7" a="1"/>
  <c r="V93" i="7" s="1"/>
  <c r="V102" i="7" a="1"/>
  <c r="V102" i="7" s="1"/>
  <c r="V101" i="7" a="1"/>
  <c r="V101" i="7" s="1"/>
  <c r="V95" i="7" a="1"/>
  <c r="V95" i="7" s="1"/>
  <c r="U87" i="7" a="1"/>
  <c r="U87" i="7" s="1"/>
  <c r="U102" i="7" a="1"/>
  <c r="U102" i="7" s="1"/>
  <c r="W95" i="5" a="1"/>
  <c r="W95" i="5" s="1"/>
  <c r="U80" i="9" a="1"/>
  <c r="U80" i="9" s="1"/>
  <c r="U79" i="9" a="1"/>
  <c r="U79" i="9" s="1"/>
  <c r="U82" i="9" a="1"/>
  <c r="U82" i="9" s="1"/>
  <c r="U81" i="9" a="1"/>
  <c r="U81" i="9" s="1"/>
  <c r="U74" i="9" a="1"/>
  <c r="U74" i="9" s="1"/>
  <c r="U75" i="9" a="1"/>
  <c r="U75" i="9" s="1"/>
  <c r="U73" i="9" a="1"/>
  <c r="U73" i="9" s="1"/>
  <c r="V71" i="9"/>
  <c r="U69" i="7" a="1"/>
  <c r="U69" i="7" s="1"/>
  <c r="W102" i="5" a="1"/>
  <c r="W102" i="5" s="1"/>
  <c r="W91" i="5" a="1"/>
  <c r="W91" i="5" s="1"/>
  <c r="U92" i="7" a="1"/>
  <c r="U92" i="7" s="1"/>
  <c r="V62" i="6"/>
  <c r="U63" i="6" a="1"/>
  <c r="U63" i="6" s="1"/>
  <c r="Y85" i="5"/>
  <c r="AD62" i="9"/>
  <c r="U71" i="7" a="1"/>
  <c r="U71" i="7" s="1"/>
  <c r="U64" i="7" a="1"/>
  <c r="U64" i="7" s="1"/>
  <c r="U63" i="7" a="1"/>
  <c r="U63" i="7" s="1"/>
  <c r="V60" i="7"/>
  <c r="U62" i="7" a="1"/>
  <c r="U62" i="7" s="1"/>
  <c r="U61" i="7" a="1"/>
  <c r="U61" i="7" s="1"/>
  <c r="W87" i="5" a="1"/>
  <c r="W87" i="5" s="1"/>
  <c r="Y106" i="5"/>
  <c r="U91" i="7" a="1"/>
  <c r="U91" i="7" s="1"/>
  <c r="W88" i="5" a="1"/>
  <c r="W88" i="5" s="1"/>
  <c r="U75" i="7" a="1"/>
  <c r="U75" i="7" s="1"/>
  <c r="U74" i="7" a="1"/>
  <c r="U74" i="7" s="1"/>
  <c r="W107" i="5" a="1"/>
  <c r="W107" i="5" s="1"/>
  <c r="U99" i="7" a="1"/>
  <c r="U99" i="7" s="1"/>
  <c r="V23" i="9"/>
  <c r="U38" i="9" a="1"/>
  <c r="U38" i="9" s="1"/>
  <c r="U35" i="9" a="1"/>
  <c r="U35" i="9" s="1"/>
  <c r="U37" i="9" a="1"/>
  <c r="U37" i="9" s="1"/>
  <c r="U36" i="9" a="1"/>
  <c r="U36" i="9" s="1"/>
  <c r="V5" i="5"/>
  <c r="V9" i="5"/>
  <c r="V3" i="5"/>
  <c r="V8" i="5"/>
  <c r="V7" i="5"/>
  <c r="V6" i="5"/>
  <c r="V4" i="5"/>
  <c r="V2" i="5"/>
  <c r="V13" i="9" a="1"/>
  <c r="V13" i="9" s="1"/>
  <c r="V5" i="9" a="1"/>
  <c r="V5" i="9" s="1"/>
  <c r="V7" i="9" a="1"/>
  <c r="V7" i="9" s="1"/>
  <c r="V11" i="9" a="1"/>
  <c r="V11" i="9" s="1"/>
  <c r="V10" i="9" a="1"/>
  <c r="V10" i="9" s="1"/>
  <c r="V8" i="9" a="1"/>
  <c r="V8" i="9" s="1"/>
  <c r="V9" i="9" a="1"/>
  <c r="V9" i="9" s="1"/>
  <c r="V6" i="9" a="1"/>
  <c r="V6" i="9" s="1"/>
  <c r="W4" i="9"/>
  <c r="V12" i="9" a="1"/>
  <c r="V12" i="9" s="1"/>
  <c r="W97" i="5" a="1"/>
  <c r="W97" i="5" s="1"/>
  <c r="U70" i="7" a="1"/>
  <c r="U70" i="7" s="1"/>
  <c r="U68" i="9" a="1"/>
  <c r="U68" i="9" s="1"/>
  <c r="U67" i="9" a="1"/>
  <c r="U67" i="9" s="1"/>
  <c r="V66" i="9"/>
  <c r="CP88" i="5" l="1" a="1"/>
  <c r="CP88" i="5" s="1"/>
  <c r="CP91" i="5" a="1"/>
  <c r="CP91" i="5" s="1"/>
  <c r="CP89" i="5" a="1"/>
  <c r="CP89" i="5" s="1"/>
  <c r="CP97" i="5" a="1"/>
  <c r="CP97" i="5" s="1"/>
  <c r="CP90" i="5" a="1"/>
  <c r="CP90" i="5" s="1"/>
  <c r="CP94" i="5" a="1"/>
  <c r="CP94" i="5" s="1"/>
  <c r="CP93" i="5" a="1"/>
  <c r="CP93" i="5" s="1"/>
  <c r="CQ48" i="5"/>
  <c r="CQ101" i="5" s="1" a="1"/>
  <c r="CQ101" i="5" s="1"/>
  <c r="CP2" i="5" a="1"/>
  <c r="CP107" i="5" a="1"/>
  <c r="CP107" i="5" s="1"/>
  <c r="CP95" i="5" a="1"/>
  <c r="CP95" i="5" s="1"/>
  <c r="CP103" i="5" a="1"/>
  <c r="CP103" i="5" s="1"/>
  <c r="CQ60" i="5"/>
  <c r="CR67" i="5"/>
  <c r="CP101" i="5" a="1"/>
  <c r="CP101" i="5" s="1"/>
  <c r="CQ115" i="5"/>
  <c r="CP92" i="5" a="1"/>
  <c r="CP92" i="5" s="1"/>
  <c r="CQ110" i="5"/>
  <c r="CO7" i="5"/>
  <c r="CO5" i="5"/>
  <c r="CO8" i="5"/>
  <c r="CO6" i="5"/>
  <c r="CO3" i="5"/>
  <c r="CO9" i="5"/>
  <c r="CO2" i="5"/>
  <c r="CO4" i="5"/>
  <c r="CP102" i="5" a="1"/>
  <c r="CP102" i="5" s="1"/>
  <c r="CQ91" i="5" a="1"/>
  <c r="CQ91" i="5" s="1"/>
  <c r="CQ99" i="5" a="1"/>
  <c r="CQ99" i="5" s="1"/>
  <c r="CQ93" i="5" a="1"/>
  <c r="CQ93" i="5" s="1"/>
  <c r="CQ95" i="5" a="1"/>
  <c r="CQ95" i="5" s="1"/>
  <c r="CR85" i="5"/>
  <c r="CQ88" i="5" a="1"/>
  <c r="CQ88" i="5" s="1"/>
  <c r="CQ90" i="5" a="1"/>
  <c r="CQ90" i="5" s="1"/>
  <c r="CQ97" i="5" a="1"/>
  <c r="CQ97" i="5" s="1"/>
  <c r="CQ87" i="5" a="1"/>
  <c r="CQ87" i="5" s="1"/>
  <c r="CQ103" i="5" a="1"/>
  <c r="CQ103" i="5" s="1"/>
  <c r="CQ92" i="5" a="1"/>
  <c r="CQ92" i="5" s="1"/>
  <c r="CQ102" i="5" a="1"/>
  <c r="CQ102" i="5" s="1"/>
  <c r="CQ89" i="5" a="1"/>
  <c r="CQ89" i="5" s="1"/>
  <c r="CQ94" i="5" a="1"/>
  <c r="CQ94" i="5" s="1"/>
  <c r="CQ98" i="5" a="1"/>
  <c r="CQ98" i="5" s="1"/>
  <c r="CU106" i="5"/>
  <c r="CP99" i="5" a="1"/>
  <c r="CP99" i="5" s="1"/>
  <c r="CP98" i="5" a="1"/>
  <c r="CP98" i="5" s="1"/>
  <c r="BF92" i="5" a="1"/>
  <c r="BF92" i="5" s="1"/>
  <c r="BG67" i="5"/>
  <c r="BF102" i="5" a="1"/>
  <c r="BF102" i="5" s="1"/>
  <c r="BF112" i="5" a="1"/>
  <c r="BF112" i="5" s="1"/>
  <c r="BF111" i="5" a="1"/>
  <c r="BF111" i="5" s="1"/>
  <c r="BG110" i="5"/>
  <c r="BG115" i="5"/>
  <c r="BG48" i="5"/>
  <c r="BG87" i="5" s="1" a="1"/>
  <c r="BG87" i="5" s="1"/>
  <c r="BF2" i="5" a="1"/>
  <c r="BG60" i="5"/>
  <c r="BF90" i="5" a="1"/>
  <c r="BF90" i="5" s="1"/>
  <c r="BH85" i="5"/>
  <c r="BG106" i="5"/>
  <c r="BF107" i="5" a="1"/>
  <c r="BF107" i="5" s="1"/>
  <c r="BF88" i="5" a="1"/>
  <c r="BF88" i="5" s="1"/>
  <c r="BE2" i="5"/>
  <c r="BE4" i="5"/>
  <c r="BE3" i="5"/>
  <c r="BE8" i="5"/>
  <c r="BE7" i="5"/>
  <c r="BE6" i="5"/>
  <c r="BE9" i="5"/>
  <c r="BE5" i="5"/>
  <c r="BF99" i="5" a="1"/>
  <c r="BF99" i="5" s="1"/>
  <c r="BF98" i="5" a="1"/>
  <c r="BF98" i="5" s="1"/>
  <c r="BF97" i="5" a="1"/>
  <c r="BF97" i="5" s="1"/>
  <c r="BF87" i="5" a="1"/>
  <c r="BF87" i="5" s="1"/>
  <c r="BF101" i="5" a="1"/>
  <c r="BF101" i="5" s="1"/>
  <c r="X94" i="5" a="1"/>
  <c r="X94" i="5" s="1"/>
  <c r="X103" i="5" a="1"/>
  <c r="X103" i="5" s="1"/>
  <c r="X99" i="5" a="1"/>
  <c r="X99" i="5" s="1"/>
  <c r="X102" i="5" a="1"/>
  <c r="X102" i="5" s="1"/>
  <c r="X91" i="5" a="1"/>
  <c r="X91" i="5" s="1"/>
  <c r="X92" i="5" a="1"/>
  <c r="X92" i="5" s="1"/>
  <c r="X101" i="5" a="1"/>
  <c r="X101" i="5" s="1"/>
  <c r="X107" i="5" a="1"/>
  <c r="X107" i="5" s="1"/>
  <c r="X90" i="5" a="1"/>
  <c r="X90" i="5" s="1"/>
  <c r="X93" i="5" a="1"/>
  <c r="X93" i="5" s="1"/>
  <c r="X87" i="5" a="1"/>
  <c r="X87" i="5" s="1"/>
  <c r="X95" i="5" a="1"/>
  <c r="X95" i="5" s="1"/>
  <c r="X88" i="5" a="1"/>
  <c r="X88" i="5" s="1"/>
  <c r="X97" i="5" a="1"/>
  <c r="X97" i="5" s="1"/>
  <c r="X89" i="5" a="1"/>
  <c r="X89" i="5" s="1"/>
  <c r="X4" i="9"/>
  <c r="W12" i="9" a="1"/>
  <c r="W12" i="9" s="1"/>
  <c r="W11" i="9" a="1"/>
  <c r="W11" i="9" s="1"/>
  <c r="W7" i="9" a="1"/>
  <c r="W7" i="9" s="1"/>
  <c r="W13" i="9" a="1"/>
  <c r="W13" i="9" s="1"/>
  <c r="W10" i="9" a="1"/>
  <c r="W10" i="9" s="1"/>
  <c r="W8" i="9" a="1"/>
  <c r="W8" i="9" s="1"/>
  <c r="W5" i="9" a="1"/>
  <c r="W5" i="9" s="1"/>
  <c r="W9" i="9" a="1"/>
  <c r="W9" i="9" s="1"/>
  <c r="W6" i="9" a="1"/>
  <c r="W6" i="9" s="1"/>
  <c r="W112" i="5" a="1"/>
  <c r="W112" i="5" s="1"/>
  <c r="X110" i="5"/>
  <c r="W111" i="5" a="1"/>
  <c r="W111" i="5" s="1"/>
  <c r="V63" i="7" a="1"/>
  <c r="V63" i="7" s="1"/>
  <c r="W60" i="7"/>
  <c r="V61" i="7" a="1"/>
  <c r="V61" i="7" s="1"/>
  <c r="V62" i="7" a="1"/>
  <c r="V62" i="7" s="1"/>
  <c r="V64" i="7" a="1"/>
  <c r="V64" i="7" s="1"/>
  <c r="Y48" i="5"/>
  <c r="Y90" i="5" s="1" a="1"/>
  <c r="Y90" i="5" s="1"/>
  <c r="X2" i="5" a="1"/>
  <c r="V56" i="7" a="1"/>
  <c r="V56" i="7" s="1"/>
  <c r="V55" i="7" a="1"/>
  <c r="V55" i="7" s="1"/>
  <c r="W48" i="7"/>
  <c r="W91" i="7" s="1" a="1"/>
  <c r="W91" i="7" s="1"/>
  <c r="V49" i="7" a="1"/>
  <c r="V49" i="7" s="1"/>
  <c r="V23" i="7" a="1"/>
  <c r="V57" i="7" a="1"/>
  <c r="V57" i="7" s="1"/>
  <c r="V50" i="7" a="1"/>
  <c r="V50" i="7" s="1"/>
  <c r="V53" i="7" a="1"/>
  <c r="V53" i="7" s="1"/>
  <c r="V2" i="7" a="1"/>
  <c r="V51" i="7" a="1"/>
  <c r="V51" i="7" s="1"/>
  <c r="V54" i="7" a="1"/>
  <c r="V54" i="7" s="1"/>
  <c r="V52" i="7" a="1"/>
  <c r="V52" i="7" s="1"/>
  <c r="V107" i="7" a="1"/>
  <c r="V107" i="7" s="1"/>
  <c r="V79" i="7" a="1"/>
  <c r="V79" i="7" s="1"/>
  <c r="W74" i="6" a="1"/>
  <c r="W74" i="6" s="1"/>
  <c r="W73" i="6" a="1"/>
  <c r="W73" i="6" s="1"/>
  <c r="W83" i="6" a="1"/>
  <c r="W83" i="6" s="1"/>
  <c r="W82" i="6" a="1"/>
  <c r="W82" i="6" s="1"/>
  <c r="W81" i="6" a="1"/>
  <c r="W81" i="6" s="1"/>
  <c r="W80" i="6" a="1"/>
  <c r="W80" i="6" s="1"/>
  <c r="X71" i="6"/>
  <c r="W75" i="6" a="1"/>
  <c r="W75" i="6" s="1"/>
  <c r="W67" i="5"/>
  <c r="W60" i="5"/>
  <c r="AE62" i="9"/>
  <c r="V77" i="7" a="1"/>
  <c r="V77" i="7" s="1"/>
  <c r="V112" i="7" a="1"/>
  <c r="V112" i="7" s="1"/>
  <c r="V82" i="9" a="1"/>
  <c r="V82" i="9" s="1"/>
  <c r="V81" i="9" a="1"/>
  <c r="V81" i="9" s="1"/>
  <c r="V75" i="9" a="1"/>
  <c r="V75" i="9" s="1"/>
  <c r="V79" i="9" a="1"/>
  <c r="V79" i="9" s="1"/>
  <c r="W71" i="9"/>
  <c r="V73" i="9" a="1"/>
  <c r="V73" i="9" s="1"/>
  <c r="V80" i="9" a="1"/>
  <c r="V80" i="9" s="1"/>
  <c r="V74" i="9" a="1"/>
  <c r="V74" i="9" s="1"/>
  <c r="W88" i="7" a="1"/>
  <c r="W88" i="7" s="1"/>
  <c r="X85" i="7"/>
  <c r="W102" i="7" a="1"/>
  <c r="W102" i="7" s="1"/>
  <c r="W90" i="7" a="1"/>
  <c r="W90" i="7" s="1"/>
  <c r="W101" i="7" a="1"/>
  <c r="W101" i="7" s="1"/>
  <c r="Y97" i="5" a="1"/>
  <c r="Y97" i="5" s="1"/>
  <c r="Z85" i="5"/>
  <c r="W62" i="6"/>
  <c r="V63" i="6" a="1"/>
  <c r="V63" i="6" s="1"/>
  <c r="X23" i="6"/>
  <c r="W36" i="6" a="1"/>
  <c r="W36" i="6" s="1"/>
  <c r="W37" i="6" a="1"/>
  <c r="W37" i="6" s="1"/>
  <c r="W38" i="6" a="1"/>
  <c r="W38" i="6" s="1"/>
  <c r="V57" i="9" a="1"/>
  <c r="V57" i="9" s="1"/>
  <c r="V49" i="9" a="1"/>
  <c r="V49" i="9" s="1"/>
  <c r="V59" i="9" a="1"/>
  <c r="V59" i="9" s="1"/>
  <c r="V55" i="9" a="1"/>
  <c r="V55" i="9" s="1"/>
  <c r="V50" i="9" a="1"/>
  <c r="V50" i="9" s="1"/>
  <c r="V47" i="9" a="1"/>
  <c r="V47" i="9" s="1"/>
  <c r="V44" i="9" a="1"/>
  <c r="V44" i="9" s="1"/>
  <c r="V43" i="9" a="1"/>
  <c r="V43" i="9" s="1"/>
  <c r="V45" i="9" a="1"/>
  <c r="V45" i="9" s="1"/>
  <c r="V53" i="9" a="1"/>
  <c r="V53" i="9" s="1"/>
  <c r="V51" i="9" a="1"/>
  <c r="V51" i="9" s="1"/>
  <c r="V46" i="9" a="1"/>
  <c r="V46" i="9" s="1"/>
  <c r="W41" i="9"/>
  <c r="V54" i="9" a="1"/>
  <c r="V54" i="9" s="1"/>
  <c r="V58" i="9" a="1"/>
  <c r="V58" i="9" s="1"/>
  <c r="V48" i="9" a="1"/>
  <c r="V48" i="9" s="1"/>
  <c r="W7" i="5"/>
  <c r="W6" i="5"/>
  <c r="W5" i="5"/>
  <c r="W4" i="5"/>
  <c r="W3" i="5"/>
  <c r="W9" i="5"/>
  <c r="W8" i="5"/>
  <c r="W2" i="5"/>
  <c r="V57" i="6" a="1"/>
  <c r="V57" i="6" s="1"/>
  <c r="V54" i="6" a="1"/>
  <c r="V54" i="6" s="1"/>
  <c r="V51" i="6" a="1"/>
  <c r="V51" i="6" s="1"/>
  <c r="V50" i="6" a="1"/>
  <c r="V50" i="6" s="1"/>
  <c r="V46" i="6" a="1"/>
  <c r="V46" i="6" s="1"/>
  <c r="V49" i="6" a="1"/>
  <c r="V49" i="6" s="1"/>
  <c r="V59" i="6" a="1"/>
  <c r="V59" i="6" s="1"/>
  <c r="V55" i="6" a="1"/>
  <c r="V55" i="6" s="1"/>
  <c r="V44" i="6" a="1"/>
  <c r="V44" i="6" s="1"/>
  <c r="V43" i="6" a="1"/>
  <c r="V43" i="6" s="1"/>
  <c r="V47" i="6" a="1"/>
  <c r="V47" i="6" s="1"/>
  <c r="W41" i="6"/>
  <c r="V58" i="6" a="1"/>
  <c r="V58" i="6" s="1"/>
  <c r="V45" i="6" a="1"/>
  <c r="V45" i="6" s="1"/>
  <c r="V48" i="6" a="1"/>
  <c r="V48" i="6" s="1"/>
  <c r="V53" i="6" a="1"/>
  <c r="V53" i="6" s="1"/>
  <c r="V38" i="9" a="1"/>
  <c r="V38" i="9" s="1"/>
  <c r="W23" i="9"/>
  <c r="V35" i="9" a="1"/>
  <c r="V35" i="9" s="1"/>
  <c r="V37" i="9" a="1"/>
  <c r="V37" i="9" s="1"/>
  <c r="V36" i="9" a="1"/>
  <c r="V36" i="9" s="1"/>
  <c r="V68" i="9" a="1"/>
  <c r="V68" i="9" s="1"/>
  <c r="V67" i="9" a="1"/>
  <c r="V67" i="9" s="1"/>
  <c r="W66" i="9"/>
  <c r="X118" i="5" a="1"/>
  <c r="X118" i="5" s="1"/>
  <c r="X116" i="5" a="1"/>
  <c r="X116" i="5" s="1"/>
  <c r="Y115" i="5"/>
  <c r="X119" i="5" a="1"/>
  <c r="X119" i="5" s="1"/>
  <c r="X117" i="5" a="1"/>
  <c r="X117" i="5" s="1"/>
  <c r="W11" i="6" a="1"/>
  <c r="W11" i="6" s="1"/>
  <c r="W10" i="6" a="1"/>
  <c r="W10" i="6" s="1"/>
  <c r="W7" i="6" a="1"/>
  <c r="W7" i="6" s="1"/>
  <c r="W12" i="6" a="1"/>
  <c r="W12" i="6" s="1"/>
  <c r="W9" i="6" a="1"/>
  <c r="W9" i="6" s="1"/>
  <c r="W8" i="6" a="1"/>
  <c r="W8" i="6" s="1"/>
  <c r="X4" i="6"/>
  <c r="W13" i="6" a="1"/>
  <c r="W13" i="6" s="1"/>
  <c r="W6" i="6" a="1"/>
  <c r="W6" i="6" s="1"/>
  <c r="W5" i="6" a="1"/>
  <c r="W5" i="6" s="1"/>
  <c r="AB106" i="7"/>
  <c r="U5" i="7"/>
  <c r="U2" i="7"/>
  <c r="U8" i="7"/>
  <c r="U7" i="7"/>
  <c r="U6" i="7"/>
  <c r="U4" i="7"/>
  <c r="U3" i="7"/>
  <c r="U9" i="7"/>
  <c r="V78" i="7" a="1"/>
  <c r="V78" i="7" s="1"/>
  <c r="W82" i="7" a="1"/>
  <c r="W82" i="7" s="1"/>
  <c r="W74" i="7" a="1"/>
  <c r="W74" i="7" s="1"/>
  <c r="W81" i="7" a="1"/>
  <c r="W81" i="7" s="1"/>
  <c r="X67" i="7"/>
  <c r="W68" i="7" a="1"/>
  <c r="W68" i="7" s="1"/>
  <c r="W70" i="7" a="1"/>
  <c r="W70" i="7" s="1"/>
  <c r="W69" i="7" a="1"/>
  <c r="W69" i="7" s="1"/>
  <c r="V119" i="7" a="1"/>
  <c r="V119" i="7" s="1"/>
  <c r="W115" i="7"/>
  <c r="V118" i="7" a="1"/>
  <c r="V118" i="7" s="1"/>
  <c r="V116" i="7" a="1"/>
  <c r="V116" i="7" s="1"/>
  <c r="V117" i="7" a="1"/>
  <c r="V117" i="7" s="1"/>
  <c r="X110" i="7"/>
  <c r="Y66" i="6"/>
  <c r="Z106" i="5"/>
  <c r="U26" i="7"/>
  <c r="U27" i="7"/>
  <c r="U25" i="7"/>
  <c r="U24" i="7"/>
  <c r="U23" i="7"/>
  <c r="U30" i="7"/>
  <c r="U29" i="7"/>
  <c r="U28" i="7"/>
  <c r="V69" i="7" a="1"/>
  <c r="V69" i="7" s="1"/>
  <c r="BG93" i="5" l="1" a="1"/>
  <c r="BG93" i="5" s="1"/>
  <c r="CR48" i="5"/>
  <c r="CQ2" i="5" a="1"/>
  <c r="CQ107" i="5" a="1"/>
  <c r="CQ107" i="5" s="1"/>
  <c r="CP8" i="5"/>
  <c r="CP7" i="5"/>
  <c r="CP6" i="5"/>
  <c r="CP4" i="5"/>
  <c r="CP5" i="5"/>
  <c r="CP3" i="5"/>
  <c r="CP2" i="5"/>
  <c r="CP9" i="5"/>
  <c r="CR60" i="5"/>
  <c r="CR115" i="5"/>
  <c r="CS67" i="5"/>
  <c r="CV106" i="5"/>
  <c r="CR99" i="5" a="1"/>
  <c r="CR99" i="5" s="1"/>
  <c r="CR90" i="5" a="1"/>
  <c r="CR90" i="5" s="1"/>
  <c r="CR98" i="5" a="1"/>
  <c r="CR98" i="5" s="1"/>
  <c r="CR91" i="5" a="1"/>
  <c r="CR91" i="5" s="1"/>
  <c r="CS85" i="5"/>
  <c r="CR102" i="5" a="1"/>
  <c r="CR102" i="5" s="1"/>
  <c r="CR88" i="5" a="1"/>
  <c r="CR88" i="5" s="1"/>
  <c r="CR95" i="5" a="1"/>
  <c r="CR95" i="5" s="1"/>
  <c r="CR92" i="5" a="1"/>
  <c r="CR92" i="5" s="1"/>
  <c r="CR101" i="5" a="1"/>
  <c r="CR101" i="5" s="1"/>
  <c r="CR93" i="5" a="1"/>
  <c r="CR93" i="5" s="1"/>
  <c r="CR89" i="5" a="1"/>
  <c r="CR89" i="5" s="1"/>
  <c r="CR87" i="5" a="1"/>
  <c r="CR87" i="5" s="1"/>
  <c r="CR94" i="5" a="1"/>
  <c r="CR94" i="5" s="1"/>
  <c r="CR97" i="5" a="1"/>
  <c r="CR97" i="5" s="1"/>
  <c r="CR103" i="5" a="1"/>
  <c r="CR103" i="5" s="1"/>
  <c r="CR110" i="5"/>
  <c r="BG88" i="5" a="1"/>
  <c r="BG88" i="5" s="1"/>
  <c r="BG91" i="5" a="1"/>
  <c r="BG91" i="5" s="1"/>
  <c r="BH106" i="5"/>
  <c r="BG107" i="5" a="1"/>
  <c r="BG107" i="5" s="1"/>
  <c r="BG101" i="5" a="1"/>
  <c r="BG101" i="5" s="1"/>
  <c r="BH87" i="5" a="1"/>
  <c r="BH87" i="5" s="1"/>
  <c r="BH93" i="5" a="1"/>
  <c r="BH93" i="5" s="1"/>
  <c r="BH91" i="5" a="1"/>
  <c r="BH91" i="5" s="1"/>
  <c r="BI85" i="5"/>
  <c r="BH115" i="5"/>
  <c r="BG119" i="5" a="1"/>
  <c r="BG119" i="5" s="1"/>
  <c r="BG118" i="5" a="1"/>
  <c r="BG118" i="5" s="1"/>
  <c r="BG116" i="5" a="1"/>
  <c r="BG116" i="5" s="1"/>
  <c r="BG117" i="5" a="1"/>
  <c r="BG117" i="5" s="1"/>
  <c r="BG94" i="5" a="1"/>
  <c r="BG94" i="5" s="1"/>
  <c r="BG112" i="5" a="1"/>
  <c r="BG112" i="5" s="1"/>
  <c r="BG111" i="5" a="1"/>
  <c r="BG111" i="5" s="1"/>
  <c r="BH110" i="5"/>
  <c r="BG99" i="5" a="1"/>
  <c r="BG99" i="5" s="1"/>
  <c r="BG92" i="5" a="1"/>
  <c r="BG92" i="5" s="1"/>
  <c r="BG102" i="5" a="1"/>
  <c r="BG102" i="5" s="1"/>
  <c r="BF9" i="5"/>
  <c r="BF8" i="5"/>
  <c r="BF7" i="5"/>
  <c r="BF6" i="5"/>
  <c r="BF3" i="5"/>
  <c r="BF2" i="5"/>
  <c r="BF5" i="5"/>
  <c r="BF4" i="5"/>
  <c r="BH67" i="5"/>
  <c r="BH48" i="5"/>
  <c r="BH88" i="5" s="1" a="1"/>
  <c r="BH88" i="5" s="1"/>
  <c r="BG2" i="5" a="1"/>
  <c r="BG103" i="5" a="1"/>
  <c r="BG103" i="5" s="1"/>
  <c r="BG90" i="5" a="1"/>
  <c r="BG90" i="5" s="1"/>
  <c r="BG97" i="5" a="1"/>
  <c r="BG97" i="5" s="1"/>
  <c r="BG98" i="5" a="1"/>
  <c r="BG98" i="5" s="1"/>
  <c r="BH60" i="5"/>
  <c r="BG95" i="5" a="1"/>
  <c r="BG95" i="5" s="1"/>
  <c r="BG89" i="5" a="1"/>
  <c r="BG89" i="5" s="1"/>
  <c r="Y98" i="5" a="1"/>
  <c r="Y98" i="5" s="1"/>
  <c r="Y107" i="5" a="1"/>
  <c r="Y107" i="5" s="1"/>
  <c r="Y102" i="5" a="1"/>
  <c r="Y102" i="5" s="1"/>
  <c r="Y95" i="5" a="1"/>
  <c r="Y95" i="5" s="1"/>
  <c r="Y88" i="5" a="1"/>
  <c r="Y88" i="5" s="1"/>
  <c r="Y91" i="5" a="1"/>
  <c r="Y91" i="5" s="1"/>
  <c r="V7" i="7"/>
  <c r="V6" i="7"/>
  <c r="V4" i="7"/>
  <c r="V3" i="7"/>
  <c r="V9" i="7"/>
  <c r="V8" i="7"/>
  <c r="V5" i="7"/>
  <c r="V2" i="7"/>
  <c r="X62" i="6"/>
  <c r="W63" i="6" a="1"/>
  <c r="W63" i="6" s="1"/>
  <c r="W76" i="7" a="1"/>
  <c r="W76" i="7" s="1"/>
  <c r="W38" i="9" a="1"/>
  <c r="W38" i="9" s="1"/>
  <c r="W35" i="9" a="1"/>
  <c r="W35" i="9" s="1"/>
  <c r="W37" i="9" a="1"/>
  <c r="W37" i="9" s="1"/>
  <c r="W36" i="9" a="1"/>
  <c r="W36" i="9" s="1"/>
  <c r="X23" i="9"/>
  <c r="W97" i="7" a="1"/>
  <c r="W97" i="7" s="1"/>
  <c r="X37" i="6" a="1"/>
  <c r="X37" i="6" s="1"/>
  <c r="X38" i="6" a="1"/>
  <c r="X38" i="6" s="1"/>
  <c r="X36" i="6" a="1"/>
  <c r="X36" i="6" s="1"/>
  <c r="Y23" i="6"/>
  <c r="Y85" i="7"/>
  <c r="W87" i="7" a="1"/>
  <c r="W87" i="7" s="1"/>
  <c r="X60" i="5"/>
  <c r="Z48" i="5"/>
  <c r="Z91" i="5" s="1" a="1"/>
  <c r="Z91" i="5" s="1"/>
  <c r="Y2" i="5" a="1"/>
  <c r="W77" i="7" a="1"/>
  <c r="W77" i="7" s="1"/>
  <c r="Y93" i="5" a="1"/>
  <c r="Y93" i="5" s="1"/>
  <c r="W93" i="7" a="1"/>
  <c r="W93" i="7" s="1"/>
  <c r="X9" i="6" a="1"/>
  <c r="X9" i="6" s="1"/>
  <c r="X6" i="6" a="1"/>
  <c r="X6" i="6" s="1"/>
  <c r="X13" i="6" a="1"/>
  <c r="X13" i="6" s="1"/>
  <c r="X8" i="6" a="1"/>
  <c r="X8" i="6" s="1"/>
  <c r="X10" i="6" a="1"/>
  <c r="X10" i="6" s="1"/>
  <c r="X7" i="6" a="1"/>
  <c r="X7" i="6" s="1"/>
  <c r="X12" i="6" a="1"/>
  <c r="X12" i="6" s="1"/>
  <c r="X11" i="6" a="1"/>
  <c r="X11" i="6" s="1"/>
  <c r="X5" i="6" a="1"/>
  <c r="X5" i="6" s="1"/>
  <c r="Y4" i="6"/>
  <c r="AA106" i="5"/>
  <c r="Y67" i="6" a="1"/>
  <c r="Y67" i="6" s="1"/>
  <c r="Z66" i="6"/>
  <c r="Y68" i="6" a="1"/>
  <c r="Y68" i="6" s="1"/>
  <c r="W75" i="7" a="1"/>
  <c r="W75" i="7" s="1"/>
  <c r="W55" i="6" a="1"/>
  <c r="W55" i="6" s="1"/>
  <c r="W53" i="6" a="1"/>
  <c r="W53" i="6" s="1"/>
  <c r="X41" i="6"/>
  <c r="W50" i="6" a="1"/>
  <c r="W50" i="6" s="1"/>
  <c r="W46" i="6" a="1"/>
  <c r="W46" i="6" s="1"/>
  <c r="W54" i="6" a="1"/>
  <c r="W54" i="6" s="1"/>
  <c r="W49" i="6" a="1"/>
  <c r="W49" i="6" s="1"/>
  <c r="W59" i="6" a="1"/>
  <c r="W59" i="6" s="1"/>
  <c r="W44" i="6" a="1"/>
  <c r="W44" i="6" s="1"/>
  <c r="W48" i="6" a="1"/>
  <c r="W48" i="6" s="1"/>
  <c r="W47" i="6" a="1"/>
  <c r="W47" i="6" s="1"/>
  <c r="W43" i="6" a="1"/>
  <c r="W43" i="6" s="1"/>
  <c r="W57" i="6" a="1"/>
  <c r="W57" i="6" s="1"/>
  <c r="W58" i="6" a="1"/>
  <c r="W58" i="6" s="1"/>
  <c r="W51" i="6" a="1"/>
  <c r="W51" i="6" s="1"/>
  <c r="W45" i="6" a="1"/>
  <c r="W45" i="6" s="1"/>
  <c r="Y89" i="5" a="1"/>
  <c r="Y89" i="5" s="1"/>
  <c r="W95" i="7" a="1"/>
  <c r="W95" i="7" s="1"/>
  <c r="W62" i="7" a="1"/>
  <c r="W62" i="7" s="1"/>
  <c r="W63" i="7" a="1"/>
  <c r="W63" i="7" s="1"/>
  <c r="X60" i="7"/>
  <c r="W61" i="7" a="1"/>
  <c r="W61" i="7" s="1"/>
  <c r="W64" i="7" a="1"/>
  <c r="W64" i="7" s="1"/>
  <c r="X67" i="6" a="1"/>
  <c r="X67" i="6" s="1"/>
  <c r="W71" i="7" a="1"/>
  <c r="W71" i="7" s="1"/>
  <c r="Y117" i="5" a="1"/>
  <c r="Y117" i="5" s="1"/>
  <c r="Y118" i="5" a="1"/>
  <c r="Y118" i="5" s="1"/>
  <c r="Y116" i="5" a="1"/>
  <c r="Y116" i="5" s="1"/>
  <c r="Y119" i="5" a="1"/>
  <c r="Y119" i="5" s="1"/>
  <c r="Z115" i="5"/>
  <c r="Y103" i="5" a="1"/>
  <c r="Y103" i="5" s="1"/>
  <c r="W55" i="9" a="1"/>
  <c r="W55" i="9" s="1"/>
  <c r="W57" i="9" a="1"/>
  <c r="W57" i="9" s="1"/>
  <c r="W58" i="9" a="1"/>
  <c r="W58" i="9" s="1"/>
  <c r="W54" i="9" a="1"/>
  <c r="W54" i="9" s="1"/>
  <c r="W59" i="9" a="1"/>
  <c r="W59" i="9" s="1"/>
  <c r="W49" i="9" a="1"/>
  <c r="W49" i="9" s="1"/>
  <c r="W51" i="9" a="1"/>
  <c r="W51" i="9" s="1"/>
  <c r="W47" i="9" a="1"/>
  <c r="W47" i="9" s="1"/>
  <c r="W43" i="9" a="1"/>
  <c r="W43" i="9" s="1"/>
  <c r="W45" i="9" a="1"/>
  <c r="W45" i="9" s="1"/>
  <c r="W53" i="9" a="1"/>
  <c r="W53" i="9" s="1"/>
  <c r="W46" i="9" a="1"/>
  <c r="W46" i="9" s="1"/>
  <c r="W50" i="9" a="1"/>
  <c r="W50" i="9" s="1"/>
  <c r="X41" i="9"/>
  <c r="W44" i="9" a="1"/>
  <c r="W44" i="9" s="1"/>
  <c r="W48" i="9" a="1"/>
  <c r="W48" i="9" s="1"/>
  <c r="W55" i="7" a="1"/>
  <c r="W55" i="7" s="1"/>
  <c r="X48" i="7"/>
  <c r="X101" i="7" s="1" a="1"/>
  <c r="X101" i="7" s="1"/>
  <c r="W54" i="7" a="1"/>
  <c r="W54" i="7" s="1"/>
  <c r="W49" i="7" a="1"/>
  <c r="W49" i="7" s="1"/>
  <c r="W50" i="7" a="1"/>
  <c r="W50" i="7" s="1"/>
  <c r="W56" i="7" a="1"/>
  <c r="W56" i="7" s="1"/>
  <c r="W53" i="7" a="1"/>
  <c r="W53" i="7" s="1"/>
  <c r="W52" i="7" a="1"/>
  <c r="W52" i="7" s="1"/>
  <c r="W23" i="7" a="1"/>
  <c r="W57" i="7" a="1"/>
  <c r="W57" i="7" s="1"/>
  <c r="W51" i="7" a="1"/>
  <c r="W51" i="7" s="1"/>
  <c r="W2" i="7" a="1"/>
  <c r="W107" i="7" a="1"/>
  <c r="W107" i="7" s="1"/>
  <c r="W112" i="7" a="1"/>
  <c r="W112" i="7" s="1"/>
  <c r="W72" i="7" a="1"/>
  <c r="W72" i="7" s="1"/>
  <c r="Y92" i="5" a="1"/>
  <c r="Y92" i="5" s="1"/>
  <c r="W99" i="7" a="1"/>
  <c r="W99" i="7" s="1"/>
  <c r="X67" i="5"/>
  <c r="X9" i="5"/>
  <c r="X3" i="5"/>
  <c r="X8" i="5"/>
  <c r="X2" i="5"/>
  <c r="X5" i="5"/>
  <c r="X6" i="5"/>
  <c r="X7" i="5"/>
  <c r="X4" i="5"/>
  <c r="AA85" i="5"/>
  <c r="W81" i="9" a="1"/>
  <c r="W81" i="9" s="1"/>
  <c r="W75" i="9" a="1"/>
  <c r="W75" i="9" s="1"/>
  <c r="W74" i="9" a="1"/>
  <c r="W74" i="9" s="1"/>
  <c r="W82" i="9" a="1"/>
  <c r="W82" i="9" s="1"/>
  <c r="W79" i="9" a="1"/>
  <c r="W79" i="9" s="1"/>
  <c r="W80" i="9" a="1"/>
  <c r="W80" i="9" s="1"/>
  <c r="W73" i="9" a="1"/>
  <c r="W73" i="9" s="1"/>
  <c r="X71" i="9"/>
  <c r="W111" i="7" a="1"/>
  <c r="W111" i="7" s="1"/>
  <c r="W73" i="7" a="1"/>
  <c r="W73" i="7" s="1"/>
  <c r="Y101" i="5" a="1"/>
  <c r="Y101" i="5" s="1"/>
  <c r="W103" i="7" a="1"/>
  <c r="W103" i="7" s="1"/>
  <c r="X111" i="5" a="1"/>
  <c r="X111" i="5" s="1"/>
  <c r="Y110" i="5"/>
  <c r="X112" i="5" a="1"/>
  <c r="X112" i="5" s="1"/>
  <c r="W98" i="7" a="1"/>
  <c r="W98" i="7" s="1"/>
  <c r="Y110" i="7"/>
  <c r="W79" i="7" a="1"/>
  <c r="W79" i="7" s="1"/>
  <c r="AC106" i="7"/>
  <c r="X66" i="9"/>
  <c r="W68" i="9" a="1"/>
  <c r="W68" i="9" s="1"/>
  <c r="W67" i="9" a="1"/>
  <c r="W67" i="9" s="1"/>
  <c r="Y99" i="5" a="1"/>
  <c r="Y99" i="5" s="1"/>
  <c r="W94" i="7" a="1"/>
  <c r="W94" i="7" s="1"/>
  <c r="AF62" i="9"/>
  <c r="V28" i="7"/>
  <c r="V26" i="7"/>
  <c r="V24" i="7"/>
  <c r="V25" i="7"/>
  <c r="V23" i="7"/>
  <c r="V30" i="7"/>
  <c r="V29" i="7"/>
  <c r="V27" i="7"/>
  <c r="X68" i="6" a="1"/>
  <c r="X68" i="6" s="1"/>
  <c r="X80" i="7" a="1"/>
  <c r="X80" i="7" s="1"/>
  <c r="X74" i="7" a="1"/>
  <c r="X74" i="7" s="1"/>
  <c r="X71" i="7" a="1"/>
  <c r="X71" i="7" s="1"/>
  <c r="Y67" i="7"/>
  <c r="Y94" i="5" a="1"/>
  <c r="Y94" i="5" s="1"/>
  <c r="W89" i="7" a="1"/>
  <c r="W89" i="7" s="1"/>
  <c r="W116" i="7" a="1"/>
  <c r="W116" i="7" s="1"/>
  <c r="X115" i="7"/>
  <c r="W119" i="7" a="1"/>
  <c r="W119" i="7" s="1"/>
  <c r="W118" i="7" a="1"/>
  <c r="W118" i="7" s="1"/>
  <c r="W117" i="7" a="1"/>
  <c r="W117" i="7" s="1"/>
  <c r="X73" i="6" a="1"/>
  <c r="X73" i="6" s="1"/>
  <c r="Y71" i="6"/>
  <c r="X83" i="6" a="1"/>
  <c r="X83" i="6" s="1"/>
  <c r="X75" i="6" a="1"/>
  <c r="X75" i="6" s="1"/>
  <c r="X81" i="6" a="1"/>
  <c r="X81" i="6" s="1"/>
  <c r="X74" i="6" a="1"/>
  <c r="X74" i="6" s="1"/>
  <c r="X80" i="6" a="1"/>
  <c r="X80" i="6" s="1"/>
  <c r="X82" i="6" a="1"/>
  <c r="X82" i="6" s="1"/>
  <c r="W78" i="7" a="1"/>
  <c r="W78" i="7" s="1"/>
  <c r="W80" i="7" a="1"/>
  <c r="W80" i="7" s="1"/>
  <c r="Y87" i="5" a="1"/>
  <c r="Y87" i="5" s="1"/>
  <c r="W92" i="7" a="1"/>
  <c r="W92" i="7" s="1"/>
  <c r="X11" i="9" a="1"/>
  <c r="X11" i="9" s="1"/>
  <c r="X6" i="9" a="1"/>
  <c r="X6" i="9" s="1"/>
  <c r="X12" i="9" a="1"/>
  <c r="X12" i="9" s="1"/>
  <c r="Y4" i="9"/>
  <c r="X13" i="9" a="1"/>
  <c r="X13" i="9" s="1"/>
  <c r="X10" i="9" a="1"/>
  <c r="X10" i="9" s="1"/>
  <c r="X8" i="9" a="1"/>
  <c r="X8" i="9" s="1"/>
  <c r="X5" i="9" a="1"/>
  <c r="X5" i="9" s="1"/>
  <c r="X7" i="9" a="1"/>
  <c r="X7" i="9" s="1"/>
  <c r="X9" i="9" a="1"/>
  <c r="X9" i="9" s="1"/>
  <c r="X63" i="9" a="1"/>
  <c r="X63" i="9" s="1"/>
  <c r="CW106" i="5" l="1"/>
  <c r="CS115" i="5"/>
  <c r="CS48" i="5"/>
  <c r="CS101" i="5" s="1" a="1"/>
  <c r="CS101" i="5" s="1"/>
  <c r="CR2" i="5" a="1"/>
  <c r="CR107" i="5" a="1"/>
  <c r="CR107" i="5" s="1"/>
  <c r="CQ5" i="5"/>
  <c r="CQ3" i="5"/>
  <c r="CQ8" i="5"/>
  <c r="CQ9" i="5"/>
  <c r="CQ7" i="5"/>
  <c r="CQ2" i="5"/>
  <c r="CQ4" i="5"/>
  <c r="CQ6" i="5"/>
  <c r="CT85" i="5"/>
  <c r="CS103" i="5" a="1"/>
  <c r="CS103" i="5" s="1"/>
  <c r="CS110" i="5"/>
  <c r="CS60" i="5"/>
  <c r="CT67" i="5"/>
  <c r="BH112" i="5" a="1"/>
  <c r="BH112" i="5" s="1"/>
  <c r="BH111" i="5" a="1"/>
  <c r="BH111" i="5" s="1"/>
  <c r="BI110" i="5"/>
  <c r="BH94" i="5" a="1"/>
  <c r="BH94" i="5" s="1"/>
  <c r="BI48" i="5"/>
  <c r="BI97" i="5" s="1" a="1"/>
  <c r="BI97" i="5" s="1"/>
  <c r="BH2" i="5" a="1"/>
  <c r="BH92" i="5" a="1"/>
  <c r="BH92" i="5" s="1"/>
  <c r="BI60" i="5"/>
  <c r="BI67" i="5"/>
  <c r="BH102" i="5" a="1"/>
  <c r="BH102" i="5" s="1"/>
  <c r="BH99" i="5" a="1"/>
  <c r="BH99" i="5" s="1"/>
  <c r="BH95" i="5" a="1"/>
  <c r="BH95" i="5" s="1"/>
  <c r="BH101" i="5" a="1"/>
  <c r="BH101" i="5" s="1"/>
  <c r="BH90" i="5" a="1"/>
  <c r="BH90" i="5" s="1"/>
  <c r="BJ85" i="5"/>
  <c r="BI115" i="5"/>
  <c r="BH118" i="5" a="1"/>
  <c r="BH118" i="5" s="1"/>
  <c r="BH116" i="5" a="1"/>
  <c r="BH116" i="5" s="1"/>
  <c r="BH119" i="5" a="1"/>
  <c r="BH119" i="5" s="1"/>
  <c r="BH117" i="5" a="1"/>
  <c r="BH117" i="5" s="1"/>
  <c r="BH89" i="5" a="1"/>
  <c r="BH89" i="5" s="1"/>
  <c r="BH107" i="5" a="1"/>
  <c r="BH107" i="5" s="1"/>
  <c r="BI106" i="5"/>
  <c r="BH97" i="5" a="1"/>
  <c r="BH97" i="5" s="1"/>
  <c r="BG6" i="5"/>
  <c r="BG5" i="5"/>
  <c r="BG4" i="5"/>
  <c r="BG3" i="5"/>
  <c r="BG2" i="5"/>
  <c r="BG9" i="5"/>
  <c r="BG7" i="5"/>
  <c r="BG8" i="5"/>
  <c r="BH103" i="5" a="1"/>
  <c r="BH103" i="5" s="1"/>
  <c r="BH98" i="5" a="1"/>
  <c r="BH98" i="5" s="1"/>
  <c r="Z99" i="5" a="1"/>
  <c r="Z99" i="5" s="1"/>
  <c r="Z89" i="5" a="1"/>
  <c r="Z89" i="5" s="1"/>
  <c r="Z98" i="5" a="1"/>
  <c r="Z98" i="5" s="1"/>
  <c r="Z92" i="5" a="1"/>
  <c r="Z92" i="5" s="1"/>
  <c r="Z97" i="5" a="1"/>
  <c r="Z97" i="5" s="1"/>
  <c r="Z102" i="5" a="1"/>
  <c r="Z102" i="5" s="1"/>
  <c r="X61" i="7" a="1"/>
  <c r="X61" i="7" s="1"/>
  <c r="Y60" i="7"/>
  <c r="X64" i="7" a="1"/>
  <c r="X64" i="7" s="1"/>
  <c r="X62" i="7" a="1"/>
  <c r="X62" i="7" s="1"/>
  <c r="X63" i="7" a="1"/>
  <c r="X63" i="7" s="1"/>
  <c r="X87" i="7" a="1"/>
  <c r="X87" i="7" s="1"/>
  <c r="AA48" i="5"/>
  <c r="AA99" i="5" s="1" a="1"/>
  <c r="AA99" i="5" s="1"/>
  <c r="Z2" i="5" a="1"/>
  <c r="X91" i="7" a="1"/>
  <c r="X91" i="7" s="1"/>
  <c r="X82" i="7" a="1"/>
  <c r="X82" i="7" s="1"/>
  <c r="Z101" i="5" a="1"/>
  <c r="Z101" i="5" s="1"/>
  <c r="X54" i="6" a="1"/>
  <c r="X54" i="6" s="1"/>
  <c r="X59" i="6" a="1"/>
  <c r="X59" i="6" s="1"/>
  <c r="X49" i="6" a="1"/>
  <c r="X49" i="6" s="1"/>
  <c r="X44" i="6" a="1"/>
  <c r="X44" i="6" s="1"/>
  <c r="X55" i="6" a="1"/>
  <c r="X55" i="6" s="1"/>
  <c r="X48" i="6" a="1"/>
  <c r="X48" i="6" s="1"/>
  <c r="X57" i="6" a="1"/>
  <c r="X57" i="6" s="1"/>
  <c r="X46" i="6" a="1"/>
  <c r="X46" i="6" s="1"/>
  <c r="X50" i="6" a="1"/>
  <c r="X50" i="6" s="1"/>
  <c r="X45" i="6" a="1"/>
  <c r="X45" i="6" s="1"/>
  <c r="Y41" i="6"/>
  <c r="X58" i="6" a="1"/>
  <c r="X58" i="6" s="1"/>
  <c r="X51" i="6" a="1"/>
  <c r="X51" i="6" s="1"/>
  <c r="X43" i="6" a="1"/>
  <c r="X43" i="6" s="1"/>
  <c r="X53" i="6" a="1"/>
  <c r="X53" i="6" s="1"/>
  <c r="X47" i="6" a="1"/>
  <c r="X47" i="6" s="1"/>
  <c r="X94" i="7" a="1"/>
  <c r="X94" i="7" s="1"/>
  <c r="X72" i="7" a="1"/>
  <c r="X72" i="7" s="1"/>
  <c r="AG62" i="9"/>
  <c r="X79" i="7" a="1"/>
  <c r="X79" i="7" s="1"/>
  <c r="AB85" i="5"/>
  <c r="X99" i="7" a="1"/>
  <c r="X99" i="7" s="1"/>
  <c r="X95" i="7" a="1"/>
  <c r="X95" i="7" s="1"/>
  <c r="Z116" i="5" a="1"/>
  <c r="Z116" i="5" s="1"/>
  <c r="Z118" i="5" a="1"/>
  <c r="Z118" i="5" s="1"/>
  <c r="Z119" i="5" a="1"/>
  <c r="Z119" i="5" s="1"/>
  <c r="AA115" i="5"/>
  <c r="Z117" i="5" a="1"/>
  <c r="Z117" i="5" s="1"/>
  <c r="AA66" i="6"/>
  <c r="X102" i="7" a="1"/>
  <c r="X102" i="7" s="1"/>
  <c r="Y10" i="9" a="1"/>
  <c r="Y10" i="9" s="1"/>
  <c r="Z4" i="9"/>
  <c r="Y12" i="9" a="1"/>
  <c r="Y12" i="9" s="1"/>
  <c r="Y13" i="9" a="1"/>
  <c r="Y13" i="9" s="1"/>
  <c r="Y11" i="9" a="1"/>
  <c r="Y11" i="9" s="1"/>
  <c r="Y8" i="9" a="1"/>
  <c r="Y8" i="9" s="1"/>
  <c r="Y5" i="9" a="1"/>
  <c r="Y5" i="9" s="1"/>
  <c r="Y9" i="9" a="1"/>
  <c r="Y9" i="9" s="1"/>
  <c r="Y7" i="9" a="1"/>
  <c r="Y7" i="9" s="1"/>
  <c r="Y6" i="9" a="1"/>
  <c r="Y6" i="9" s="1"/>
  <c r="Y63" i="9" a="1"/>
  <c r="Y63" i="9" s="1"/>
  <c r="X69" i="7" a="1"/>
  <c r="X69" i="7" s="1"/>
  <c r="AD106" i="7"/>
  <c r="Z93" i="5" a="1"/>
  <c r="Z93" i="5" s="1"/>
  <c r="X54" i="9" a="1"/>
  <c r="X54" i="9" s="1"/>
  <c r="X58" i="9" a="1"/>
  <c r="X58" i="9" s="1"/>
  <c r="X44" i="9" a="1"/>
  <c r="X44" i="9" s="1"/>
  <c r="X55" i="9" a="1"/>
  <c r="X55" i="9" s="1"/>
  <c r="X49" i="9" a="1"/>
  <c r="X49" i="9" s="1"/>
  <c r="X59" i="9" a="1"/>
  <c r="X59" i="9" s="1"/>
  <c r="X51" i="9" a="1"/>
  <c r="X51" i="9" s="1"/>
  <c r="X48" i="9" a="1"/>
  <c r="X48" i="9" s="1"/>
  <c r="X45" i="9" a="1"/>
  <c r="X45" i="9" s="1"/>
  <c r="X53" i="9" a="1"/>
  <c r="X53" i="9" s="1"/>
  <c r="X57" i="9" a="1"/>
  <c r="X57" i="9" s="1"/>
  <c r="X46" i="9" a="1"/>
  <c r="X46" i="9" s="1"/>
  <c r="X50" i="9" a="1"/>
  <c r="X50" i="9" s="1"/>
  <c r="Y41" i="9"/>
  <c r="X43" i="9" a="1"/>
  <c r="X43" i="9" s="1"/>
  <c r="X47" i="9" a="1"/>
  <c r="X47" i="9" s="1"/>
  <c r="Y60" i="5"/>
  <c r="X89" i="7" a="1"/>
  <c r="X89" i="7" s="1"/>
  <c r="X88" i="7" a="1"/>
  <c r="X88" i="7" s="1"/>
  <c r="X76" i="7" a="1"/>
  <c r="X76" i="7" s="1"/>
  <c r="X112" i="7" a="1"/>
  <c r="X112" i="7" s="1"/>
  <c r="Z94" i="5" a="1"/>
  <c r="Z94" i="5" s="1"/>
  <c r="W9" i="7"/>
  <c r="W3" i="7"/>
  <c r="W2" i="7"/>
  <c r="W7" i="7"/>
  <c r="W6" i="7"/>
  <c r="W8" i="7"/>
  <c r="W5" i="7"/>
  <c r="W4" i="7"/>
  <c r="Z107" i="5" a="1"/>
  <c r="Z107" i="5" s="1"/>
  <c r="X98" i="7" a="1"/>
  <c r="X98" i="7" s="1"/>
  <c r="Z23" i="6"/>
  <c r="Y37" i="6" a="1"/>
  <c r="Y37" i="6" s="1"/>
  <c r="Y38" i="6" a="1"/>
  <c r="Y38" i="6" s="1"/>
  <c r="Y36" i="6" a="1"/>
  <c r="Y36" i="6" s="1"/>
  <c r="Z110" i="5"/>
  <c r="Y111" i="5" a="1"/>
  <c r="Y111" i="5" s="1"/>
  <c r="Y112" i="5" a="1"/>
  <c r="Y112" i="5" s="1"/>
  <c r="Y66" i="9"/>
  <c r="X67" i="9" a="1"/>
  <c r="X67" i="9" s="1"/>
  <c r="X68" i="9" a="1"/>
  <c r="X68" i="9" s="1"/>
  <c r="AB106" i="5"/>
  <c r="X118" i="7" a="1"/>
  <c r="X118" i="7" s="1"/>
  <c r="X116" i="7" a="1"/>
  <c r="X116" i="7" s="1"/>
  <c r="X119" i="7" a="1"/>
  <c r="X119" i="7" s="1"/>
  <c r="Y115" i="7"/>
  <c r="X117" i="7" a="1"/>
  <c r="X117" i="7" s="1"/>
  <c r="X68" i="7" a="1"/>
  <c r="X68" i="7" s="1"/>
  <c r="Z110" i="7"/>
  <c r="Z87" i="5" a="1"/>
  <c r="Z87" i="5" s="1"/>
  <c r="Y19" i="6" a="1"/>
  <c r="Y19" i="6" s="1"/>
  <c r="Y17" i="6" a="1"/>
  <c r="Y17" i="6" s="1"/>
  <c r="Z4" i="6"/>
  <c r="Z68" i="6" s="1" a="1"/>
  <c r="Z68" i="6" s="1"/>
  <c r="Y12" i="6" a="1"/>
  <c r="Y12" i="6" s="1"/>
  <c r="Y8" i="6" a="1"/>
  <c r="Y8" i="6" s="1"/>
  <c r="Y13" i="6" a="1"/>
  <c r="Y13" i="6" s="1"/>
  <c r="Y5" i="6" a="1"/>
  <c r="Y5" i="6" s="1"/>
  <c r="Y10" i="6" a="1"/>
  <c r="Y10" i="6" s="1"/>
  <c r="Y7" i="6" a="1"/>
  <c r="Y7" i="6" s="1"/>
  <c r="Y18" i="6" a="1"/>
  <c r="Y18" i="6" s="1"/>
  <c r="Y11" i="6" a="1"/>
  <c r="Y11" i="6" s="1"/>
  <c r="Y20" i="6" a="1"/>
  <c r="Y20" i="6" s="1"/>
  <c r="Y6" i="6" a="1"/>
  <c r="Y6" i="6" s="1"/>
  <c r="Y9" i="6" a="1"/>
  <c r="Y9" i="6" s="1"/>
  <c r="X97" i="7" a="1"/>
  <c r="X97" i="7" s="1"/>
  <c r="X75" i="7" a="1"/>
  <c r="X75" i="7" s="1"/>
  <c r="Z103" i="5" a="1"/>
  <c r="Z103" i="5" s="1"/>
  <c r="Y80" i="7" a="1"/>
  <c r="Y80" i="7" s="1"/>
  <c r="Y79" i="7" a="1"/>
  <c r="Y79" i="7" s="1"/>
  <c r="Y74" i="7" a="1"/>
  <c r="Y74" i="7" s="1"/>
  <c r="Y71" i="7" a="1"/>
  <c r="Y71" i="7" s="1"/>
  <c r="Y68" i="7" a="1"/>
  <c r="Y68" i="7" s="1"/>
  <c r="Y72" i="7" a="1"/>
  <c r="Y72" i="7" s="1"/>
  <c r="Y76" i="7" a="1"/>
  <c r="Y76" i="7" s="1"/>
  <c r="Z67" i="7"/>
  <c r="X111" i="7" a="1"/>
  <c r="X111" i="7" s="1"/>
  <c r="Z95" i="5" a="1"/>
  <c r="Z95" i="5" s="1"/>
  <c r="X93" i="7" a="1"/>
  <c r="X93" i="7" s="1"/>
  <c r="Y89" i="7" a="1"/>
  <c r="Y89" i="7" s="1"/>
  <c r="Z85" i="7"/>
  <c r="Y99" i="7" a="1"/>
  <c r="Y99" i="7" s="1"/>
  <c r="Y87" i="7" a="1"/>
  <c r="Y87" i="7" s="1"/>
  <c r="Y91" i="7" a="1"/>
  <c r="Y91" i="7" s="1"/>
  <c r="Y101" i="7" a="1"/>
  <c r="Y101" i="7" s="1"/>
  <c r="Y102" i="7" a="1"/>
  <c r="Y102" i="7" s="1"/>
  <c r="Y94" i="7" a="1"/>
  <c r="Y94" i="7" s="1"/>
  <c r="Y98" i="7" a="1"/>
  <c r="Y98" i="7" s="1"/>
  <c r="X73" i="7" a="1"/>
  <c r="X73" i="7" s="1"/>
  <c r="X74" i="9" a="1"/>
  <c r="X74" i="9" s="1"/>
  <c r="X73" i="9" a="1"/>
  <c r="X73" i="9" s="1"/>
  <c r="X82" i="9" a="1"/>
  <c r="X82" i="9" s="1"/>
  <c r="X80" i="9" a="1"/>
  <c r="X80" i="9" s="1"/>
  <c r="Y71" i="9"/>
  <c r="X75" i="9" a="1"/>
  <c r="X75" i="9" s="1"/>
  <c r="X79" i="9" a="1"/>
  <c r="X79" i="9" s="1"/>
  <c r="X81" i="9" a="1"/>
  <c r="X81" i="9" s="1"/>
  <c r="Y67" i="5"/>
  <c r="X90" i="7" a="1"/>
  <c r="X90" i="7" s="1"/>
  <c r="Y75" i="6" a="1"/>
  <c r="Y75" i="6" s="1"/>
  <c r="Y74" i="6" a="1"/>
  <c r="Y74" i="6" s="1"/>
  <c r="Z71" i="6"/>
  <c r="Y73" i="6" a="1"/>
  <c r="Y73" i="6" s="1"/>
  <c r="Y81" i="6" a="1"/>
  <c r="Y81" i="6" s="1"/>
  <c r="Y80" i="6" a="1"/>
  <c r="Y80" i="6" s="1"/>
  <c r="Y82" i="6" a="1"/>
  <c r="Y82" i="6" s="1"/>
  <c r="X77" i="7" a="1"/>
  <c r="X77" i="7" s="1"/>
  <c r="X78" i="7" a="1"/>
  <c r="X78" i="7" s="1"/>
  <c r="Z90" i="5" a="1"/>
  <c r="Z90" i="5" s="1"/>
  <c r="W30" i="7"/>
  <c r="W24" i="7"/>
  <c r="W29" i="7"/>
  <c r="W28" i="7"/>
  <c r="W27" i="7"/>
  <c r="W26" i="7"/>
  <c r="W25" i="7"/>
  <c r="W23" i="7"/>
  <c r="X38" i="9" a="1"/>
  <c r="X38" i="9" s="1"/>
  <c r="X35" i="9" a="1"/>
  <c r="X35" i="9" s="1"/>
  <c r="X37" i="9" a="1"/>
  <c r="X37" i="9" s="1"/>
  <c r="X36" i="9" a="1"/>
  <c r="X36" i="9" s="1"/>
  <c r="Y23" i="9"/>
  <c r="X54" i="7" a="1"/>
  <c r="X54" i="7" s="1"/>
  <c r="Y48" i="7"/>
  <c r="X53" i="7" a="1"/>
  <c r="X53" i="7" s="1"/>
  <c r="X49" i="7" a="1"/>
  <c r="X49" i="7" s="1"/>
  <c r="X55" i="7" a="1"/>
  <c r="X55" i="7" s="1"/>
  <c r="X50" i="7" a="1"/>
  <c r="X50" i="7" s="1"/>
  <c r="X56" i="7" a="1"/>
  <c r="X56" i="7" s="1"/>
  <c r="X51" i="7" a="1"/>
  <c r="X51" i="7" s="1"/>
  <c r="X57" i="7" a="1"/>
  <c r="X57" i="7" s="1"/>
  <c r="X23" i="7" a="1"/>
  <c r="X2" i="7" a="1"/>
  <c r="X52" i="7" a="1"/>
  <c r="X52" i="7" s="1"/>
  <c r="X107" i="7" a="1"/>
  <c r="X107" i="7" s="1"/>
  <c r="X103" i="7" a="1"/>
  <c r="X103" i="7" s="1"/>
  <c r="X81" i="7" a="1"/>
  <c r="X81" i="7" s="1"/>
  <c r="X63" i="6" a="1"/>
  <c r="X63" i="6" s="1"/>
  <c r="Y62" i="6"/>
  <c r="X70" i="7" a="1"/>
  <c r="X70" i="7" s="1"/>
  <c r="Z88" i="5" a="1"/>
  <c r="Z88" i="5" s="1"/>
  <c r="Y5" i="5"/>
  <c r="Y4" i="5"/>
  <c r="Y3" i="5"/>
  <c r="Y2" i="5"/>
  <c r="Y9" i="5"/>
  <c r="Y8" i="5"/>
  <c r="Y6" i="5"/>
  <c r="Y7" i="5"/>
  <c r="X92" i="7" a="1"/>
  <c r="X92" i="7" s="1"/>
  <c r="BI103" i="5" l="1" a="1"/>
  <c r="BI103" i="5" s="1"/>
  <c r="BI101" i="5" a="1"/>
  <c r="BI101" i="5" s="1"/>
  <c r="BI95" i="5" a="1"/>
  <c r="BI95" i="5" s="1"/>
  <c r="BI90" i="5" a="1"/>
  <c r="BI90" i="5" s="1"/>
  <c r="BI87" i="5" a="1"/>
  <c r="BI87" i="5" s="1"/>
  <c r="CS90" i="5" a="1"/>
  <c r="CS90" i="5" s="1"/>
  <c r="BI98" i="5" a="1"/>
  <c r="BI98" i="5" s="1"/>
  <c r="CS99" i="5" a="1"/>
  <c r="CS99" i="5" s="1"/>
  <c r="CS91" i="5" a="1"/>
  <c r="CS91" i="5" s="1"/>
  <c r="AA94" i="5" a="1"/>
  <c r="AA94" i="5" s="1"/>
  <c r="CT110" i="5"/>
  <c r="CS97" i="5" a="1"/>
  <c r="CS97" i="5" s="1"/>
  <c r="CS98" i="5" a="1"/>
  <c r="CS98" i="5" s="1"/>
  <c r="CS87" i="5" a="1"/>
  <c r="CS87" i="5" s="1"/>
  <c r="CS89" i="5" a="1"/>
  <c r="CS89" i="5" s="1"/>
  <c r="CS94" i="5" a="1"/>
  <c r="CS94" i="5" s="1"/>
  <c r="CS93" i="5" a="1"/>
  <c r="CS93" i="5" s="1"/>
  <c r="CU85" i="5"/>
  <c r="CT99" i="5" a="1"/>
  <c r="CT99" i="5" s="1"/>
  <c r="CT102" i="5" a="1"/>
  <c r="CT102" i="5" s="1"/>
  <c r="CS2" i="5" a="1"/>
  <c r="CT48" i="5"/>
  <c r="CT92" i="5" s="1" a="1"/>
  <c r="CT92" i="5" s="1"/>
  <c r="CS107" i="5" a="1"/>
  <c r="CS107" i="5" s="1"/>
  <c r="CS102" i="5" a="1"/>
  <c r="CS102" i="5" s="1"/>
  <c r="CS88" i="5" a="1"/>
  <c r="CS88" i="5" s="1"/>
  <c r="CT115" i="5"/>
  <c r="CT60" i="5"/>
  <c r="CU67" i="5"/>
  <c r="CS92" i="5" a="1"/>
  <c r="CS92" i="5" s="1"/>
  <c r="CS95" i="5" a="1"/>
  <c r="CS95" i="5" s="1"/>
  <c r="CR8" i="5"/>
  <c r="CR7" i="5"/>
  <c r="CR6" i="5"/>
  <c r="CR4" i="5"/>
  <c r="CR9" i="5"/>
  <c r="CR3" i="5"/>
  <c r="CR5" i="5"/>
  <c r="CR2" i="5"/>
  <c r="CX106" i="5"/>
  <c r="BI93" i="5" a="1"/>
  <c r="BI93" i="5" s="1"/>
  <c r="BH7" i="5"/>
  <c r="BH6" i="5"/>
  <c r="BH5" i="5"/>
  <c r="BH4" i="5"/>
  <c r="BH9" i="5"/>
  <c r="BH8" i="5"/>
  <c r="BH2" i="5"/>
  <c r="BH3" i="5"/>
  <c r="BI94" i="5" a="1"/>
  <c r="BI94" i="5" s="1"/>
  <c r="BJ60" i="5"/>
  <c r="BJ48" i="5"/>
  <c r="BJ102" i="5" s="1" a="1"/>
  <c r="BJ102" i="5" s="1"/>
  <c r="BI2" i="5" a="1"/>
  <c r="BI88" i="5" a="1"/>
  <c r="BI88" i="5" s="1"/>
  <c r="BJ115" i="5"/>
  <c r="BI117" i="5" a="1"/>
  <c r="BI117" i="5" s="1"/>
  <c r="BI116" i="5" a="1"/>
  <c r="BI116" i="5" s="1"/>
  <c r="BI119" i="5" a="1"/>
  <c r="BI119" i="5" s="1"/>
  <c r="BI118" i="5" a="1"/>
  <c r="BI118" i="5" s="1"/>
  <c r="BI92" i="5" a="1"/>
  <c r="BI92" i="5" s="1"/>
  <c r="BI111" i="5" a="1"/>
  <c r="BI111" i="5" s="1"/>
  <c r="BI112" i="5" a="1"/>
  <c r="BI112" i="5" s="1"/>
  <c r="BJ110" i="5"/>
  <c r="BK85" i="5"/>
  <c r="BJ91" i="5" a="1"/>
  <c r="BJ91" i="5" s="1"/>
  <c r="BI99" i="5" a="1"/>
  <c r="BI99" i="5" s="1"/>
  <c r="BI102" i="5" a="1"/>
  <c r="BI102" i="5" s="1"/>
  <c r="BJ106" i="5"/>
  <c r="BI107" i="5" a="1"/>
  <c r="BI107" i="5" s="1"/>
  <c r="BI91" i="5" a="1"/>
  <c r="BI91" i="5" s="1"/>
  <c r="BJ67" i="5"/>
  <c r="BI89" i="5" a="1"/>
  <c r="BI89" i="5" s="1"/>
  <c r="AA88" i="5" a="1"/>
  <c r="AA88" i="5" s="1"/>
  <c r="AA87" i="5" a="1"/>
  <c r="AA87" i="5" s="1"/>
  <c r="AA107" i="5" a="1"/>
  <c r="AA107" i="5" s="1"/>
  <c r="AA91" i="5" a="1"/>
  <c r="AA91" i="5" s="1"/>
  <c r="AA92" i="5" a="1"/>
  <c r="AA92" i="5" s="1"/>
  <c r="Y53" i="6" a="1"/>
  <c r="Y53" i="6" s="1"/>
  <c r="Y59" i="6" a="1"/>
  <c r="Y59" i="6" s="1"/>
  <c r="Y44" i="6" a="1"/>
  <c r="Y44" i="6" s="1"/>
  <c r="Y55" i="6" a="1"/>
  <c r="Y55" i="6" s="1"/>
  <c r="Y48" i="6" a="1"/>
  <c r="Y48" i="6" s="1"/>
  <c r="Y57" i="6" a="1"/>
  <c r="Y57" i="6" s="1"/>
  <c r="Y50" i="6" a="1"/>
  <c r="Y50" i="6" s="1"/>
  <c r="Y45" i="6" a="1"/>
  <c r="Y45" i="6" s="1"/>
  <c r="Y58" i="6" a="1"/>
  <c r="Y58" i="6" s="1"/>
  <c r="Y54" i="6" a="1"/>
  <c r="Y54" i="6" s="1"/>
  <c r="Z41" i="6"/>
  <c r="Y43" i="6" a="1"/>
  <c r="Y43" i="6" s="1"/>
  <c r="Y46" i="6" a="1"/>
  <c r="Y46" i="6" s="1"/>
  <c r="Y49" i="6" a="1"/>
  <c r="Y49" i="6" s="1"/>
  <c r="Y47" i="6" a="1"/>
  <c r="Y47" i="6" s="1"/>
  <c r="Y51" i="6" a="1"/>
  <c r="Y51" i="6" s="1"/>
  <c r="AA102" i="5" a="1"/>
  <c r="AA102" i="5" s="1"/>
  <c r="Z48" i="7"/>
  <c r="Z79" i="7" s="1" a="1"/>
  <c r="Z79" i="7" s="1"/>
  <c r="Y53" i="7" a="1"/>
  <c r="Y53" i="7" s="1"/>
  <c r="Y52" i="7" a="1"/>
  <c r="Y52" i="7" s="1"/>
  <c r="Y50" i="7" a="1"/>
  <c r="Y50" i="7" s="1"/>
  <c r="Y56" i="7" a="1"/>
  <c r="Y56" i="7" s="1"/>
  <c r="Y51" i="7" a="1"/>
  <c r="Y51" i="7" s="1"/>
  <c r="Y57" i="7" a="1"/>
  <c r="Y57" i="7" s="1"/>
  <c r="Y55" i="7" a="1"/>
  <c r="Y55" i="7" s="1"/>
  <c r="Y54" i="7" a="1"/>
  <c r="Y54" i="7" s="1"/>
  <c r="Y2" i="7" a="1"/>
  <c r="Y49" i="7" a="1"/>
  <c r="Y49" i="7" s="1"/>
  <c r="Y23" i="7" a="1"/>
  <c r="Y107" i="7" a="1"/>
  <c r="Y107" i="7" s="1"/>
  <c r="Y90" i="7" a="1"/>
  <c r="Y90" i="7" s="1"/>
  <c r="Y70" i="7" a="1"/>
  <c r="Y70" i="7" s="1"/>
  <c r="AA93" i="5" a="1"/>
  <c r="AA93" i="5" s="1"/>
  <c r="Y73" i="9" a="1"/>
  <c r="Y73" i="9" s="1"/>
  <c r="Y80" i="9" a="1"/>
  <c r="Y80" i="9" s="1"/>
  <c r="Y75" i="9" a="1"/>
  <c r="Y75" i="9" s="1"/>
  <c r="Z71" i="9"/>
  <c r="Y81" i="9" a="1"/>
  <c r="Y81" i="9" s="1"/>
  <c r="Y82" i="9" a="1"/>
  <c r="Y82" i="9" s="1"/>
  <c r="Y74" i="9" a="1"/>
  <c r="Y74" i="9" s="1"/>
  <c r="Y79" i="9" a="1"/>
  <c r="Y79" i="9" s="1"/>
  <c r="Y63" i="6" a="1"/>
  <c r="Y63" i="6" s="1"/>
  <c r="Z62" i="6"/>
  <c r="Z91" i="7" a="1"/>
  <c r="Z91" i="7" s="1"/>
  <c r="Z88" i="7" a="1"/>
  <c r="Z88" i="7" s="1"/>
  <c r="AA85" i="7"/>
  <c r="Z90" i="7" a="1"/>
  <c r="Z90" i="7" s="1"/>
  <c r="Z89" i="7" a="1"/>
  <c r="Z89" i="7" s="1"/>
  <c r="Z102" i="7" a="1"/>
  <c r="Z102" i="7" s="1"/>
  <c r="Y75" i="7" a="1"/>
  <c r="Y75" i="7" s="1"/>
  <c r="AC106" i="5"/>
  <c r="AA103" i="5" a="1"/>
  <c r="AA103" i="5" s="1"/>
  <c r="Z7" i="5"/>
  <c r="Z9" i="5"/>
  <c r="Z8" i="5"/>
  <c r="Z2" i="5"/>
  <c r="Z3" i="5"/>
  <c r="Z6" i="5"/>
  <c r="Z5" i="5"/>
  <c r="Z4" i="5"/>
  <c r="Y68" i="9" a="1"/>
  <c r="Y68" i="9" s="1"/>
  <c r="Z66" i="9"/>
  <c r="Y67" i="9" a="1"/>
  <c r="Y67" i="9" s="1"/>
  <c r="AA101" i="5" a="1"/>
  <c r="AA101" i="5" s="1"/>
  <c r="AH62" i="9"/>
  <c r="Z74" i="6" a="1"/>
  <c r="Z74" i="6" s="1"/>
  <c r="Z75" i="6" a="1"/>
  <c r="Z75" i="6" s="1"/>
  <c r="Z73" i="6" a="1"/>
  <c r="Z73" i="6" s="1"/>
  <c r="Z82" i="6" a="1"/>
  <c r="Z82" i="6" s="1"/>
  <c r="Z81" i="6" a="1"/>
  <c r="Z81" i="6" s="1"/>
  <c r="Z80" i="6" a="1"/>
  <c r="Z80" i="6" s="1"/>
  <c r="AA71" i="6"/>
  <c r="Y97" i="7" a="1"/>
  <c r="Y97" i="7" s="1"/>
  <c r="Y81" i="7" a="1"/>
  <c r="Y81" i="7" s="1"/>
  <c r="Z9" i="9" a="1"/>
  <c r="Z9" i="9" s="1"/>
  <c r="AA4" i="9"/>
  <c r="Z11" i="9" a="1"/>
  <c r="Z11" i="9" s="1"/>
  <c r="Z8" i="9" a="1"/>
  <c r="Z8" i="9" s="1"/>
  <c r="Z13" i="9" a="1"/>
  <c r="Z13" i="9" s="1"/>
  <c r="Z5" i="9" a="1"/>
  <c r="Z5" i="9" s="1"/>
  <c r="Z10" i="9" a="1"/>
  <c r="Z10" i="9" s="1"/>
  <c r="Z6" i="9" a="1"/>
  <c r="Z6" i="9" s="1"/>
  <c r="Z7" i="9" a="1"/>
  <c r="Z7" i="9" s="1"/>
  <c r="Z12" i="9" a="1"/>
  <c r="Z12" i="9" s="1"/>
  <c r="Z63" i="9" a="1"/>
  <c r="Z63" i="9" s="1"/>
  <c r="AA98" i="5" a="1"/>
  <c r="AA98" i="5" s="1"/>
  <c r="X26" i="7"/>
  <c r="X24" i="7"/>
  <c r="X23" i="7"/>
  <c r="X30" i="7"/>
  <c r="X29" i="7"/>
  <c r="X28" i="7"/>
  <c r="X27" i="7"/>
  <c r="X25" i="7"/>
  <c r="Y93" i="7" a="1"/>
  <c r="Y93" i="7" s="1"/>
  <c r="Y78" i="7" a="1"/>
  <c r="Y78" i="7" s="1"/>
  <c r="AA110" i="7"/>
  <c r="Z111" i="5" a="1"/>
  <c r="Z111" i="5" s="1"/>
  <c r="Z112" i="5" a="1"/>
  <c r="Z112" i="5" s="1"/>
  <c r="AA110" i="5"/>
  <c r="Z60" i="5"/>
  <c r="AA90" i="5" a="1"/>
  <c r="AA90" i="5" s="1"/>
  <c r="Y118" i="7" a="1"/>
  <c r="Y118" i="7" s="1"/>
  <c r="Z115" i="7"/>
  <c r="Y116" i="7" a="1"/>
  <c r="Y116" i="7" s="1"/>
  <c r="Y119" i="7" a="1"/>
  <c r="Y119" i="7" s="1"/>
  <c r="Y117" i="7" a="1"/>
  <c r="Y117" i="7" s="1"/>
  <c r="AA117" i="5" a="1"/>
  <c r="AA117" i="5" s="1"/>
  <c r="AA118" i="5" a="1"/>
  <c r="AA118" i="5" s="1"/>
  <c r="AA119" i="5" a="1"/>
  <c r="AA119" i="5" s="1"/>
  <c r="AB115" i="5"/>
  <c r="AA116" i="5" a="1"/>
  <c r="AA116" i="5" s="1"/>
  <c r="Y88" i="7" a="1"/>
  <c r="Y88" i="7" s="1"/>
  <c r="Y82" i="7" a="1"/>
  <c r="Y82" i="7" s="1"/>
  <c r="Y112" i="7" a="1"/>
  <c r="Y112" i="7" s="1"/>
  <c r="AC85" i="5"/>
  <c r="AA97" i="5" a="1"/>
  <c r="AA97" i="5" s="1"/>
  <c r="Z67" i="5"/>
  <c r="Y92" i="7" a="1"/>
  <c r="Y92" i="7" s="1"/>
  <c r="Y69" i="7" a="1"/>
  <c r="Y69" i="7" s="1"/>
  <c r="Y111" i="7" a="1"/>
  <c r="Y111" i="7" s="1"/>
  <c r="AB66" i="6"/>
  <c r="AA68" i="6" a="1"/>
  <c r="AA68" i="6" s="1"/>
  <c r="AA95" i="5" a="1"/>
  <c r="AA95" i="5" s="1"/>
  <c r="Z20" i="6" a="1"/>
  <c r="Z20" i="6" s="1"/>
  <c r="Z12" i="6" a="1"/>
  <c r="Z12" i="6" s="1"/>
  <c r="Z7" i="6" a="1"/>
  <c r="Z7" i="6" s="1"/>
  <c r="Z11" i="6" a="1"/>
  <c r="Z11" i="6" s="1"/>
  <c r="Z18" i="6" a="1"/>
  <c r="Z18" i="6" s="1"/>
  <c r="Z6" i="6" a="1"/>
  <c r="Z6" i="6" s="1"/>
  <c r="Z13" i="6" a="1"/>
  <c r="Z13" i="6" s="1"/>
  <c r="Z17" i="6" a="1"/>
  <c r="Z17" i="6" s="1"/>
  <c r="Z19" i="6" a="1"/>
  <c r="Z19" i="6" s="1"/>
  <c r="Z9" i="6" a="1"/>
  <c r="Z9" i="6" s="1"/>
  <c r="Z5" i="6" a="1"/>
  <c r="Z5" i="6" s="1"/>
  <c r="Z10" i="6" a="1"/>
  <c r="Z10" i="6" s="1"/>
  <c r="Z8" i="6" a="1"/>
  <c r="Z8" i="6" s="1"/>
  <c r="AA4" i="6"/>
  <c r="X5" i="7"/>
  <c r="X4" i="7"/>
  <c r="X2" i="7"/>
  <c r="X9" i="7"/>
  <c r="X6" i="7"/>
  <c r="X3" i="7"/>
  <c r="X7" i="7"/>
  <c r="X8" i="7"/>
  <c r="Z75" i="7" a="1"/>
  <c r="Z75" i="7" s="1"/>
  <c r="Z70" i="7" a="1"/>
  <c r="Z70" i="7" s="1"/>
  <c r="Z81" i="7" a="1"/>
  <c r="Z81" i="7" s="1"/>
  <c r="Z76" i="7" a="1"/>
  <c r="Z76" i="7" s="1"/>
  <c r="AA67" i="7"/>
  <c r="Z74" i="7" a="1"/>
  <c r="Z74" i="7" s="1"/>
  <c r="Z82" i="7" a="1"/>
  <c r="Z82" i="7" s="1"/>
  <c r="Y103" i="7" a="1"/>
  <c r="Y103" i="7" s="1"/>
  <c r="Y77" i="7" a="1"/>
  <c r="Y77" i="7" s="1"/>
  <c r="Y53" i="9" a="1"/>
  <c r="Y53" i="9" s="1"/>
  <c r="Y59" i="9" a="1"/>
  <c r="Y59" i="9" s="1"/>
  <c r="Y54" i="9" a="1"/>
  <c r="Y54" i="9" s="1"/>
  <c r="Y55" i="9" a="1"/>
  <c r="Y55" i="9" s="1"/>
  <c r="Y45" i="9" a="1"/>
  <c r="Y45" i="9" s="1"/>
  <c r="Y43" i="9" a="1"/>
  <c r="Y43" i="9" s="1"/>
  <c r="Y48" i="9" a="1"/>
  <c r="Y48" i="9" s="1"/>
  <c r="Y58" i="9" a="1"/>
  <c r="Y58" i="9" s="1"/>
  <c r="Y57" i="9" a="1"/>
  <c r="Y57" i="9" s="1"/>
  <c r="Y50" i="9" a="1"/>
  <c r="Y50" i="9" s="1"/>
  <c r="Z41" i="9"/>
  <c r="Y51" i="9" a="1"/>
  <c r="Y51" i="9" s="1"/>
  <c r="Y46" i="9" a="1"/>
  <c r="Y46" i="9" s="1"/>
  <c r="Y49" i="9" a="1"/>
  <c r="Y49" i="9" s="1"/>
  <c r="Y47" i="9" a="1"/>
  <c r="Y47" i="9" s="1"/>
  <c r="Y44" i="9" a="1"/>
  <c r="Y44" i="9" s="1"/>
  <c r="AE106" i="7"/>
  <c r="Z67" i="6" a="1"/>
  <c r="Z67" i="6" s="1"/>
  <c r="Y61" i="7" a="1"/>
  <c r="Y61" i="7" s="1"/>
  <c r="Y64" i="7" a="1"/>
  <c r="Y64" i="7" s="1"/>
  <c r="Y62" i="7" a="1"/>
  <c r="Y62" i="7" s="1"/>
  <c r="Y63" i="7" a="1"/>
  <c r="Y63" i="7" s="1"/>
  <c r="Z60" i="7"/>
  <c r="Y38" i="9" a="1"/>
  <c r="Y38" i="9" s="1"/>
  <c r="Y37" i="9" a="1"/>
  <c r="Y37" i="9" s="1"/>
  <c r="Y36" i="9" a="1"/>
  <c r="Y36" i="9" s="1"/>
  <c r="Y35" i="9" a="1"/>
  <c r="Y35" i="9" s="1"/>
  <c r="Z23" i="9"/>
  <c r="AB48" i="5"/>
  <c r="AB103" i="5" s="1" a="1"/>
  <c r="AB103" i="5" s="1"/>
  <c r="AA2" i="5" a="1"/>
  <c r="Y95" i="7" a="1"/>
  <c r="Y95" i="7" s="1"/>
  <c r="Y73" i="7" a="1"/>
  <c r="Y73" i="7" s="1"/>
  <c r="Z37" i="6" a="1"/>
  <c r="Z37" i="6" s="1"/>
  <c r="Z35" i="6" a="1"/>
  <c r="Z35" i="6" s="1"/>
  <c r="AA23" i="6"/>
  <c r="Z36" i="6" a="1"/>
  <c r="Z36" i="6" s="1"/>
  <c r="Z38" i="6" a="1"/>
  <c r="Z38" i="6" s="1"/>
  <c r="AA89" i="5" a="1"/>
  <c r="AA89" i="5" s="1"/>
  <c r="BJ92" i="5" l="1" a="1"/>
  <c r="BJ92" i="5" s="1"/>
  <c r="BJ95" i="5" a="1"/>
  <c r="BJ95" i="5" s="1"/>
  <c r="BJ90" i="5" a="1"/>
  <c r="BJ90" i="5" s="1"/>
  <c r="CT93" i="5" a="1"/>
  <c r="CT93" i="5" s="1"/>
  <c r="BJ97" i="5" a="1"/>
  <c r="BJ97" i="5" s="1"/>
  <c r="BJ103" i="5" a="1"/>
  <c r="BJ103" i="5" s="1"/>
  <c r="BJ89" i="5" a="1"/>
  <c r="BJ89" i="5" s="1"/>
  <c r="CT91" i="5" a="1"/>
  <c r="CT91" i="5" s="1"/>
  <c r="BJ101" i="5" a="1"/>
  <c r="BJ101" i="5" s="1"/>
  <c r="CT90" i="5" a="1"/>
  <c r="CT90" i="5" s="1"/>
  <c r="BJ94" i="5" a="1"/>
  <c r="BJ94" i="5" s="1"/>
  <c r="CT94" i="5" a="1"/>
  <c r="CT94" i="5" s="1"/>
  <c r="BJ99" i="5" a="1"/>
  <c r="BJ99" i="5" s="1"/>
  <c r="BJ88" i="5" a="1"/>
  <c r="BJ88" i="5" s="1"/>
  <c r="CT101" i="5" a="1"/>
  <c r="CT101" i="5" s="1"/>
  <c r="BJ87" i="5" a="1"/>
  <c r="BJ87" i="5" s="1"/>
  <c r="CT95" i="5" a="1"/>
  <c r="CT95" i="5" s="1"/>
  <c r="BJ98" i="5" a="1"/>
  <c r="BJ98" i="5" s="1"/>
  <c r="BJ93" i="5" a="1"/>
  <c r="BJ93" i="5" s="1"/>
  <c r="CV85" i="5"/>
  <c r="CU115" i="5"/>
  <c r="CT97" i="5" a="1"/>
  <c r="CT97" i="5" s="1"/>
  <c r="CU48" i="5"/>
  <c r="CU99" i="5" s="1" a="1"/>
  <c r="CU99" i="5" s="1"/>
  <c r="CT2" i="5" a="1"/>
  <c r="CT107" i="5" a="1"/>
  <c r="CT107" i="5" s="1"/>
  <c r="CS3" i="5"/>
  <c r="CS5" i="5"/>
  <c r="CS4" i="5"/>
  <c r="CS2" i="5"/>
  <c r="CS8" i="5"/>
  <c r="CS7" i="5"/>
  <c r="CS9" i="5"/>
  <c r="CS6" i="5"/>
  <c r="CT89" i="5" a="1"/>
  <c r="CT89" i="5" s="1"/>
  <c r="CT88" i="5" a="1"/>
  <c r="CT88" i="5" s="1"/>
  <c r="CT87" i="5" a="1"/>
  <c r="CT87" i="5" s="1"/>
  <c r="CU110" i="5"/>
  <c r="CY106" i="5"/>
  <c r="CU60" i="5"/>
  <c r="CT103" i="5" a="1"/>
  <c r="CT103" i="5" s="1"/>
  <c r="CV67" i="5"/>
  <c r="CT98" i="5" a="1"/>
  <c r="CT98" i="5" s="1"/>
  <c r="BK60" i="5"/>
  <c r="BK115" i="5"/>
  <c r="BJ119" i="5" a="1"/>
  <c r="BJ119" i="5" s="1"/>
  <c r="BJ116" i="5" a="1"/>
  <c r="BJ116" i="5" s="1"/>
  <c r="BJ117" i="5" a="1"/>
  <c r="BJ117" i="5" s="1"/>
  <c r="BJ118" i="5" a="1"/>
  <c r="BJ118" i="5" s="1"/>
  <c r="BK67" i="5"/>
  <c r="BK95" i="5" a="1"/>
  <c r="BK95" i="5" s="1"/>
  <c r="BK99" i="5" a="1"/>
  <c r="BK99" i="5" s="1"/>
  <c r="BK92" i="5" a="1"/>
  <c r="BK92" i="5" s="1"/>
  <c r="BK90" i="5" a="1"/>
  <c r="BK90" i="5" s="1"/>
  <c r="BK103" i="5" a="1"/>
  <c r="BK103" i="5" s="1"/>
  <c r="BK93" i="5" a="1"/>
  <c r="BK93" i="5" s="1"/>
  <c r="BL85" i="5"/>
  <c r="BK48" i="5"/>
  <c r="BK87" i="5" s="1" a="1"/>
  <c r="BK87" i="5" s="1"/>
  <c r="BJ2" i="5" a="1"/>
  <c r="BJ112" i="5" a="1"/>
  <c r="BJ112" i="5" s="1"/>
  <c r="BJ111" i="5" a="1"/>
  <c r="BJ111" i="5" s="1"/>
  <c r="BK110" i="5"/>
  <c r="BJ107" i="5" a="1"/>
  <c r="BJ107" i="5" s="1"/>
  <c r="BK106" i="5"/>
  <c r="BI8" i="5"/>
  <c r="BI7" i="5"/>
  <c r="BI6" i="5"/>
  <c r="BI5" i="5"/>
  <c r="BI4" i="5"/>
  <c r="BI2" i="5"/>
  <c r="BI9" i="5"/>
  <c r="BI3" i="5"/>
  <c r="AB88" i="5" a="1"/>
  <c r="AB88" i="5" s="1"/>
  <c r="AB98" i="5" a="1"/>
  <c r="AB98" i="5" s="1"/>
  <c r="AB102" i="5" a="1"/>
  <c r="AB102" i="5" s="1"/>
  <c r="AB93" i="5" a="1"/>
  <c r="AB93" i="5" s="1"/>
  <c r="AB97" i="5" a="1"/>
  <c r="AB97" i="5" s="1"/>
  <c r="AB94" i="5" a="1"/>
  <c r="AB94" i="5" s="1"/>
  <c r="AB90" i="5" a="1"/>
  <c r="AB90" i="5" s="1"/>
  <c r="Z87" i="7" a="1"/>
  <c r="Z87" i="7" s="1"/>
  <c r="Z75" i="9" a="1"/>
  <c r="Z75" i="9" s="1"/>
  <c r="AA71" i="9"/>
  <c r="Z82" i="9" a="1"/>
  <c r="Z82" i="9" s="1"/>
  <c r="Z81" i="9" a="1"/>
  <c r="Z81" i="9" s="1"/>
  <c r="Z80" i="9" a="1"/>
  <c r="Z80" i="9" s="1"/>
  <c r="Z74" i="9" a="1"/>
  <c r="Z74" i="9" s="1"/>
  <c r="Z73" i="9" a="1"/>
  <c r="Z73" i="9" s="1"/>
  <c r="AC48" i="5"/>
  <c r="AC93" i="5" s="1" a="1"/>
  <c r="AC93" i="5" s="1"/>
  <c r="AB2" i="5" a="1"/>
  <c r="AD85" i="5"/>
  <c r="AA73" i="6" a="1"/>
  <c r="AA73" i="6" s="1"/>
  <c r="AA74" i="6" a="1"/>
  <c r="AA74" i="6" s="1"/>
  <c r="AB71" i="6"/>
  <c r="AA81" i="6" a="1"/>
  <c r="AA81" i="6" s="1"/>
  <c r="AA82" i="6" a="1"/>
  <c r="AA82" i="6" s="1"/>
  <c r="AA80" i="6" a="1"/>
  <c r="AA80" i="6" s="1"/>
  <c r="AA75" i="6" a="1"/>
  <c r="AA75" i="6" s="1"/>
  <c r="AA95" i="7" a="1"/>
  <c r="AA95" i="7" s="1"/>
  <c r="AA101" i="7" a="1"/>
  <c r="AA101" i="7" s="1"/>
  <c r="AA92" i="7" a="1"/>
  <c r="AA92" i="7" s="1"/>
  <c r="AA99" i="7" a="1"/>
  <c r="AA99" i="7" s="1"/>
  <c r="AA98" i="7" a="1"/>
  <c r="AA98" i="7" s="1"/>
  <c r="AB85" i="7"/>
  <c r="AA88" i="7" a="1"/>
  <c r="AA88" i="7" s="1"/>
  <c r="AA97" i="7" a="1"/>
  <c r="AA97" i="7" s="1"/>
  <c r="AA3" i="5"/>
  <c r="AA2" i="5"/>
  <c r="AA8" i="5"/>
  <c r="AA5" i="5"/>
  <c r="AA4" i="5"/>
  <c r="AA6" i="5"/>
  <c r="AA9" i="5"/>
  <c r="AA7" i="5"/>
  <c r="Z37" i="9" a="1"/>
  <c r="Z37" i="9" s="1"/>
  <c r="Z36" i="9" a="1"/>
  <c r="Z36" i="9" s="1"/>
  <c r="Z38" i="9" a="1"/>
  <c r="Z38" i="9" s="1"/>
  <c r="AA23" i="9"/>
  <c r="Z35" i="9" a="1"/>
  <c r="Z35" i="9" s="1"/>
  <c r="Z52" i="7" a="1"/>
  <c r="Z52" i="7" s="1"/>
  <c r="Z51" i="7" a="1"/>
  <c r="Z51" i="7" s="1"/>
  <c r="Z57" i="7" a="1"/>
  <c r="Z57" i="7" s="1"/>
  <c r="AA48" i="7"/>
  <c r="Z54" i="7" a="1"/>
  <c r="Z54" i="7" s="1"/>
  <c r="Z55" i="7" a="1"/>
  <c r="Z55" i="7" s="1"/>
  <c r="Z2" i="7" a="1"/>
  <c r="Z53" i="7" a="1"/>
  <c r="Z53" i="7" s="1"/>
  <c r="Z23" i="7" a="1"/>
  <c r="Z50" i="7" a="1"/>
  <c r="Z50" i="7" s="1"/>
  <c r="Z49" i="7" a="1"/>
  <c r="Z49" i="7" s="1"/>
  <c r="Z56" i="7" a="1"/>
  <c r="Z56" i="7" s="1"/>
  <c r="Z107" i="7" a="1"/>
  <c r="Z107" i="7" s="1"/>
  <c r="Z51" i="9" a="1"/>
  <c r="Z51" i="9" s="1"/>
  <c r="Z55" i="9" a="1"/>
  <c r="Z55" i="9" s="1"/>
  <c r="Z50" i="9" a="1"/>
  <c r="Z50" i="9" s="1"/>
  <c r="Z57" i="9" a="1"/>
  <c r="Z57" i="9" s="1"/>
  <c r="Z45" i="9" a="1"/>
  <c r="Z45" i="9" s="1"/>
  <c r="Z48" i="9" a="1"/>
  <c r="Z48" i="9" s="1"/>
  <c r="Z59" i="9" a="1"/>
  <c r="Z59" i="9" s="1"/>
  <c r="Z53" i="9" a="1"/>
  <c r="Z53" i="9" s="1"/>
  <c r="Z46" i="9" a="1"/>
  <c r="Z46" i="9" s="1"/>
  <c r="AA41" i="9"/>
  <c r="Z43" i="9" a="1"/>
  <c r="Z43" i="9" s="1"/>
  <c r="Z49" i="9" a="1"/>
  <c r="Z49" i="9" s="1"/>
  <c r="Z58" i="9" a="1"/>
  <c r="Z58" i="9" s="1"/>
  <c r="Z47" i="9" a="1"/>
  <c r="Z47" i="9" s="1"/>
  <c r="Z44" i="9" a="1"/>
  <c r="Z44" i="9" s="1"/>
  <c r="Z54" i="9" a="1"/>
  <c r="Z54" i="9" s="1"/>
  <c r="Z97" i="7" a="1"/>
  <c r="Z97" i="7" s="1"/>
  <c r="AA12" i="9" a="1"/>
  <c r="AA12" i="9" s="1"/>
  <c r="AA8" i="9" a="1"/>
  <c r="AA8" i="9" s="1"/>
  <c r="AA10" i="9" a="1"/>
  <c r="AA10" i="9" s="1"/>
  <c r="AA5" i="9" a="1"/>
  <c r="AA5" i="9" s="1"/>
  <c r="AB4" i="9"/>
  <c r="AA13" i="9" a="1"/>
  <c r="AA13" i="9" s="1"/>
  <c r="AA11" i="9" a="1"/>
  <c r="AA11" i="9" s="1"/>
  <c r="AA6" i="9" a="1"/>
  <c r="AA6" i="9" s="1"/>
  <c r="AA7" i="9" a="1"/>
  <c r="AA7" i="9" s="1"/>
  <c r="AA9" i="9" a="1"/>
  <c r="AA9" i="9" s="1"/>
  <c r="AA63" i="9" a="1"/>
  <c r="AA63" i="9" s="1"/>
  <c r="Z92" i="7" a="1"/>
  <c r="Z92" i="7" s="1"/>
  <c r="Z78" i="7" a="1"/>
  <c r="Z78" i="7" s="1"/>
  <c r="AB87" i="5" a="1"/>
  <c r="AB87" i="5" s="1"/>
  <c r="Z112" i="7" a="1"/>
  <c r="Z112" i="7" s="1"/>
  <c r="Z101" i="7" a="1"/>
  <c r="Z101" i="7" s="1"/>
  <c r="AB117" i="5" a="1"/>
  <c r="AB117" i="5" s="1"/>
  <c r="AB119" i="5" a="1"/>
  <c r="AB119" i="5" s="1"/>
  <c r="AB118" i="5" a="1"/>
  <c r="AB118" i="5" s="1"/>
  <c r="AC115" i="5"/>
  <c r="AB116" i="5" a="1"/>
  <c r="AB116" i="5" s="1"/>
  <c r="AA78" i="7" a="1"/>
  <c r="AA78" i="7" s="1"/>
  <c r="AA68" i="7" a="1"/>
  <c r="AA68" i="7" s="1"/>
  <c r="AA73" i="7" a="1"/>
  <c r="AA73" i="7" s="1"/>
  <c r="AA80" i="7" a="1"/>
  <c r="AA80" i="7" s="1"/>
  <c r="AA69" i="7" a="1"/>
  <c r="AA69" i="7" s="1"/>
  <c r="AA79" i="7" a="1"/>
  <c r="AA79" i="7" s="1"/>
  <c r="AA75" i="7" a="1"/>
  <c r="AA75" i="7" s="1"/>
  <c r="AB67" i="7"/>
  <c r="AA82" i="7" a="1"/>
  <c r="AA82" i="7" s="1"/>
  <c r="AA71" i="7" a="1"/>
  <c r="AA71" i="7" s="1"/>
  <c r="AA72" i="7" a="1"/>
  <c r="AA72" i="7" s="1"/>
  <c r="AB95" i="5" a="1"/>
  <c r="AB95" i="5" s="1"/>
  <c r="Z111" i="7" a="1"/>
  <c r="Z111" i="7" s="1"/>
  <c r="AD106" i="5"/>
  <c r="Z95" i="7" a="1"/>
  <c r="Z95" i="7" s="1"/>
  <c r="AF106" i="7"/>
  <c r="Z68" i="7" a="1"/>
  <c r="Z68" i="7" s="1"/>
  <c r="Z64" i="7" a="1"/>
  <c r="Z64" i="7" s="1"/>
  <c r="Z62" i="7" a="1"/>
  <c r="Z62" i="7" s="1"/>
  <c r="Z63" i="7" a="1"/>
  <c r="Z63" i="7" s="1"/>
  <c r="Z61" i="7" a="1"/>
  <c r="Z61" i="7" s="1"/>
  <c r="AA60" i="7"/>
  <c r="Z77" i="7" a="1"/>
  <c r="Z77" i="7" s="1"/>
  <c r="AB99" i="5" a="1"/>
  <c r="AB99" i="5" s="1"/>
  <c r="AA111" i="7" a="1"/>
  <c r="AA111" i="7" s="1"/>
  <c r="AB110" i="7"/>
  <c r="AI62" i="9"/>
  <c r="AB107" i="5" a="1"/>
  <c r="AB107" i="5" s="1"/>
  <c r="Z93" i="7" a="1"/>
  <c r="Z93" i="7" s="1"/>
  <c r="Y29" i="7"/>
  <c r="Y28" i="7"/>
  <c r="Y23" i="7"/>
  <c r="Y30" i="7"/>
  <c r="Y27" i="7"/>
  <c r="Y26" i="7"/>
  <c r="Y25" i="7"/>
  <c r="Y24" i="7"/>
  <c r="Z71" i="7" a="1"/>
  <c r="Z71" i="7" s="1"/>
  <c r="Z73" i="7" a="1"/>
  <c r="Z73" i="7" s="1"/>
  <c r="AB89" i="5" a="1"/>
  <c r="AB89" i="5" s="1"/>
  <c r="Z99" i="7" a="1"/>
  <c r="Z99" i="7" s="1"/>
  <c r="AA60" i="5"/>
  <c r="Z80" i="7" a="1"/>
  <c r="Z80" i="7" s="1"/>
  <c r="AA11" i="6" a="1"/>
  <c r="AA11" i="6" s="1"/>
  <c r="AA10" i="6" a="1"/>
  <c r="AA10" i="6" s="1"/>
  <c r="AA13" i="6" a="1"/>
  <c r="AA13" i="6" s="1"/>
  <c r="AA6" i="6" a="1"/>
  <c r="AA6" i="6" s="1"/>
  <c r="AA9" i="6" a="1"/>
  <c r="AA9" i="6" s="1"/>
  <c r="AA19" i="6" a="1"/>
  <c r="AA19" i="6" s="1"/>
  <c r="AA12" i="6" a="1"/>
  <c r="AA12" i="6" s="1"/>
  <c r="AA18" i="6" a="1"/>
  <c r="AA18" i="6" s="1"/>
  <c r="AA5" i="6" a="1"/>
  <c r="AA5" i="6" s="1"/>
  <c r="AA7" i="6" a="1"/>
  <c r="AA7" i="6" s="1"/>
  <c r="AA17" i="6" a="1"/>
  <c r="AA17" i="6" s="1"/>
  <c r="AA20" i="6" a="1"/>
  <c r="AA20" i="6" s="1"/>
  <c r="AA8" i="6" a="1"/>
  <c r="AA8" i="6" s="1"/>
  <c r="AB4" i="6"/>
  <c r="AB68" i="6" s="1" a="1"/>
  <c r="AB68" i="6" s="1"/>
  <c r="AC66" i="6"/>
  <c r="AD66" i="6" s="1"/>
  <c r="AE66" i="6" s="1"/>
  <c r="AF66" i="6" s="1"/>
  <c r="AG66" i="6" s="1"/>
  <c r="AH66" i="6" s="1"/>
  <c r="AI66" i="6" s="1"/>
  <c r="AB67" i="6" a="1"/>
  <c r="AB67" i="6" s="1"/>
  <c r="AB91" i="5" a="1"/>
  <c r="AB91" i="5" s="1"/>
  <c r="Z94" i="7" a="1"/>
  <c r="Z94" i="7" s="1"/>
  <c r="Z63" i="6" a="1"/>
  <c r="Z63" i="6" s="1"/>
  <c r="AA62" i="6"/>
  <c r="Y9" i="7"/>
  <c r="Y8" i="7"/>
  <c r="Y7" i="7"/>
  <c r="Y2" i="7"/>
  <c r="Y6" i="7"/>
  <c r="Y5" i="7"/>
  <c r="Y4" i="7"/>
  <c r="Y3" i="7"/>
  <c r="AA67" i="5"/>
  <c r="Z51" i="6" a="1"/>
  <c r="Z51" i="6" s="1"/>
  <c r="Z55" i="6" a="1"/>
  <c r="Z55" i="6" s="1"/>
  <c r="Z57" i="6" a="1"/>
  <c r="Z57" i="6" s="1"/>
  <c r="Z45" i="6" a="1"/>
  <c r="Z45" i="6" s="1"/>
  <c r="Z58" i="6" a="1"/>
  <c r="Z58" i="6" s="1"/>
  <c r="Z47" i="6" a="1"/>
  <c r="Z47" i="6" s="1"/>
  <c r="Z50" i="6" a="1"/>
  <c r="Z50" i="6" s="1"/>
  <c r="Z54" i="6" a="1"/>
  <c r="Z54" i="6" s="1"/>
  <c r="Z43" i="6" a="1"/>
  <c r="Z43" i="6" s="1"/>
  <c r="Z46" i="6" a="1"/>
  <c r="Z46" i="6" s="1"/>
  <c r="Z59" i="6" a="1"/>
  <c r="Z59" i="6" s="1"/>
  <c r="Z49" i="6" a="1"/>
  <c r="Z49" i="6" s="1"/>
  <c r="Z48" i="6" a="1"/>
  <c r="Z48" i="6" s="1"/>
  <c r="AA41" i="6"/>
  <c r="Z53" i="6" a="1"/>
  <c r="Z53" i="6" s="1"/>
  <c r="Z44" i="6" a="1"/>
  <c r="Z44" i="6" s="1"/>
  <c r="Z72" i="7" a="1"/>
  <c r="Z72" i="7" s="1"/>
  <c r="AA67" i="6" a="1"/>
  <c r="AA67" i="6" s="1"/>
  <c r="AB101" i="5" a="1"/>
  <c r="AB101" i="5" s="1"/>
  <c r="Z116" i="7" a="1"/>
  <c r="Z116" i="7" s="1"/>
  <c r="Z117" i="7" a="1"/>
  <c r="Z117" i="7" s="1"/>
  <c r="Z119" i="7" a="1"/>
  <c r="Z119" i="7" s="1"/>
  <c r="AA115" i="7"/>
  <c r="Z118" i="7" a="1"/>
  <c r="Z118" i="7" s="1"/>
  <c r="Z103" i="7" a="1"/>
  <c r="Z103" i="7" s="1"/>
  <c r="AA38" i="6" a="1"/>
  <c r="AA38" i="6" s="1"/>
  <c r="AA35" i="6" a="1"/>
  <c r="AA35" i="6" s="1"/>
  <c r="AB23" i="6"/>
  <c r="AA37" i="6" a="1"/>
  <c r="AA37" i="6" s="1"/>
  <c r="AA36" i="6" a="1"/>
  <c r="AA36" i="6" s="1"/>
  <c r="AA112" i="5" a="1"/>
  <c r="AA112" i="5" s="1"/>
  <c r="AB110" i="5"/>
  <c r="AA111" i="5" a="1"/>
  <c r="AA111" i="5" s="1"/>
  <c r="Z69" i="7" a="1"/>
  <c r="Z69" i="7" s="1"/>
  <c r="AB92" i="5" a="1"/>
  <c r="AB92" i="5" s="1"/>
  <c r="Z68" i="9" a="1"/>
  <c r="Z68" i="9" s="1"/>
  <c r="AA66" i="9"/>
  <c r="Z67" i="9" a="1"/>
  <c r="Z67" i="9" s="1"/>
  <c r="Z98" i="7" a="1"/>
  <c r="Z98" i="7" s="1"/>
  <c r="BK102" i="5" l="1" a="1"/>
  <c r="BK102" i="5" s="1"/>
  <c r="BK91" i="5" a="1"/>
  <c r="BK91" i="5" s="1"/>
  <c r="CU93" i="5" a="1"/>
  <c r="CU93" i="5" s="1"/>
  <c r="BK98" i="5" a="1"/>
  <c r="BK98" i="5" s="1"/>
  <c r="CU88" i="5" a="1"/>
  <c r="CU88" i="5" s="1"/>
  <c r="BK89" i="5" a="1"/>
  <c r="BK89" i="5" s="1"/>
  <c r="BK97" i="5" a="1"/>
  <c r="BK97" i="5" s="1"/>
  <c r="BK101" i="5" a="1"/>
  <c r="BK101" i="5" s="1"/>
  <c r="BK88" i="5" a="1"/>
  <c r="BK88" i="5" s="1"/>
  <c r="CU2" i="5" a="1"/>
  <c r="CV48" i="5"/>
  <c r="CV93" i="5" s="1" a="1"/>
  <c r="CV93" i="5" s="1"/>
  <c r="CU107" i="5" a="1"/>
  <c r="CU107" i="5" s="1"/>
  <c r="CU91" i="5" a="1"/>
  <c r="CU91" i="5" s="1"/>
  <c r="CU102" i="5" a="1"/>
  <c r="CU102" i="5" s="1"/>
  <c r="CV60" i="5"/>
  <c r="CU87" i="5" a="1"/>
  <c r="CU87" i="5" s="1"/>
  <c r="CU103" i="5" a="1"/>
  <c r="CU103" i="5" s="1"/>
  <c r="CW85" i="5"/>
  <c r="CU89" i="5" a="1"/>
  <c r="CU89" i="5" s="1"/>
  <c r="CZ106" i="5"/>
  <c r="CU92" i="5" a="1"/>
  <c r="CU92" i="5" s="1"/>
  <c r="CT8" i="5"/>
  <c r="CT9" i="5"/>
  <c r="CT7" i="5"/>
  <c r="CT6" i="5"/>
  <c r="CT4" i="5"/>
  <c r="CT2" i="5"/>
  <c r="CT5" i="5"/>
  <c r="CT3" i="5"/>
  <c r="CW67" i="5"/>
  <c r="CV110" i="5"/>
  <c r="CU98" i="5" a="1"/>
  <c r="CU98" i="5" s="1"/>
  <c r="CU97" i="5" a="1"/>
  <c r="CU97" i="5" s="1"/>
  <c r="CU101" i="5" a="1"/>
  <c r="CU101" i="5" s="1"/>
  <c r="CU94" i="5" a="1"/>
  <c r="CU94" i="5" s="1"/>
  <c r="CU90" i="5" a="1"/>
  <c r="CU90" i="5" s="1"/>
  <c r="CV115" i="5"/>
  <c r="CU95" i="5" a="1"/>
  <c r="CU95" i="5" s="1"/>
  <c r="BK119" i="5" a="1"/>
  <c r="BK119" i="5" s="1"/>
  <c r="BK118" i="5" a="1"/>
  <c r="BK118" i="5" s="1"/>
  <c r="BK117" i="5" a="1"/>
  <c r="BK117" i="5" s="1"/>
  <c r="BL115" i="5"/>
  <c r="BK116" i="5" a="1"/>
  <c r="BK116" i="5" s="1"/>
  <c r="BL60" i="5"/>
  <c r="BJ5" i="5"/>
  <c r="BJ4" i="5"/>
  <c r="BJ3" i="5"/>
  <c r="BJ2" i="5"/>
  <c r="BJ9" i="5"/>
  <c r="BJ8" i="5"/>
  <c r="BJ7" i="5"/>
  <c r="BJ6" i="5"/>
  <c r="BM85" i="5"/>
  <c r="BL101" i="5" a="1"/>
  <c r="BL101" i="5" s="1"/>
  <c r="BL98" i="5" a="1"/>
  <c r="BL98" i="5" s="1"/>
  <c r="BL93" i="5" a="1"/>
  <c r="BL93" i="5" s="1"/>
  <c r="BL91" i="5" a="1"/>
  <c r="BL91" i="5" s="1"/>
  <c r="BL90" i="5" a="1"/>
  <c r="BL90" i="5" s="1"/>
  <c r="BK107" i="5" a="1"/>
  <c r="BK107" i="5" s="1"/>
  <c r="BL106" i="5"/>
  <c r="BL67" i="5"/>
  <c r="BL110" i="5"/>
  <c r="BK112" i="5" a="1"/>
  <c r="BK112" i="5" s="1"/>
  <c r="BK111" i="5" a="1"/>
  <c r="BK111" i="5" s="1"/>
  <c r="BK2" i="5" a="1"/>
  <c r="BL48" i="5"/>
  <c r="BL87" i="5" s="1" a="1"/>
  <c r="BL87" i="5" s="1"/>
  <c r="BK94" i="5" a="1"/>
  <c r="BK94" i="5" s="1"/>
  <c r="AC90" i="5" a="1"/>
  <c r="AC90" i="5" s="1"/>
  <c r="AC103" i="5" a="1"/>
  <c r="AC103" i="5" s="1"/>
  <c r="AC98" i="5" a="1"/>
  <c r="AC98" i="5" s="1"/>
  <c r="AC88" i="5" a="1"/>
  <c r="AC88" i="5" s="1"/>
  <c r="AB81" i="7" a="1"/>
  <c r="AB81" i="7" s="1"/>
  <c r="AB75" i="7" a="1"/>
  <c r="AB75" i="7" s="1"/>
  <c r="AB80" i="7" a="1"/>
  <c r="AB80" i="7" s="1"/>
  <c r="AB69" i="7" a="1"/>
  <c r="AB69" i="7" s="1"/>
  <c r="AB73" i="7" a="1"/>
  <c r="AB73" i="7" s="1"/>
  <c r="AC67" i="7"/>
  <c r="AB70" i="7" a="1"/>
  <c r="AB70" i="7" s="1"/>
  <c r="AB68" i="7" a="1"/>
  <c r="AB68" i="7" s="1"/>
  <c r="AB72" i="7" a="1"/>
  <c r="AB72" i="7" s="1"/>
  <c r="AB71" i="7" a="1"/>
  <c r="AB71" i="7" s="1"/>
  <c r="AC95" i="5" a="1"/>
  <c r="AC95" i="5" s="1"/>
  <c r="AA51" i="7" a="1"/>
  <c r="AA51" i="7" s="1"/>
  <c r="AA50" i="7" a="1"/>
  <c r="AA50" i="7" s="1"/>
  <c r="AB48" i="7"/>
  <c r="AB79" i="7" s="1" a="1"/>
  <c r="AB79" i="7" s="1"/>
  <c r="AA52" i="7" a="1"/>
  <c r="AA52" i="7" s="1"/>
  <c r="AA55" i="7" a="1"/>
  <c r="AA55" i="7" s="1"/>
  <c r="AA53" i="7" a="1"/>
  <c r="AA53" i="7" s="1"/>
  <c r="AA56" i="7" a="1"/>
  <c r="AA56" i="7" s="1"/>
  <c r="AA54" i="7" a="1"/>
  <c r="AA54" i="7" s="1"/>
  <c r="AA49" i="7" a="1"/>
  <c r="AA49" i="7" s="1"/>
  <c r="AA57" i="7" a="1"/>
  <c r="AA57" i="7" s="1"/>
  <c r="AA2" i="7" a="1"/>
  <c r="AA23" i="7" a="1"/>
  <c r="AA107" i="7" a="1"/>
  <c r="AA107" i="7" s="1"/>
  <c r="AA103" i="7" a="1"/>
  <c r="AA103" i="7" s="1"/>
  <c r="AC94" i="5" a="1"/>
  <c r="AC94" i="5" s="1"/>
  <c r="AB112" i="5" a="1"/>
  <c r="AB112" i="5" s="1"/>
  <c r="AC110" i="5"/>
  <c r="AB111" i="5" a="1"/>
  <c r="AB111" i="5" s="1"/>
  <c r="AA51" i="9" a="1"/>
  <c r="AA51" i="9" s="1"/>
  <c r="AA57" i="9" a="1"/>
  <c r="AA57" i="9" s="1"/>
  <c r="AA53" i="9" a="1"/>
  <c r="AA53" i="9" s="1"/>
  <c r="AA46" i="9" a="1"/>
  <c r="AA46" i="9" s="1"/>
  <c r="AA45" i="9" a="1"/>
  <c r="AA45" i="9" s="1"/>
  <c r="AA43" i="9" a="1"/>
  <c r="AA43" i="9" s="1"/>
  <c r="AA54" i="9" a="1"/>
  <c r="AA54" i="9" s="1"/>
  <c r="AA47" i="9" a="1"/>
  <c r="AA47" i="9" s="1"/>
  <c r="AA50" i="9" a="1"/>
  <c r="AA50" i="9" s="1"/>
  <c r="AA49" i="9" a="1"/>
  <c r="AA49" i="9" s="1"/>
  <c r="AA59" i="9" a="1"/>
  <c r="AA59" i="9" s="1"/>
  <c r="AA48" i="9" a="1"/>
  <c r="AA48" i="9" s="1"/>
  <c r="AA58" i="9" a="1"/>
  <c r="AA58" i="9" s="1"/>
  <c r="AB41" i="9"/>
  <c r="AA55" i="9" a="1"/>
  <c r="AA55" i="9" s="1"/>
  <c r="AA44" i="9" a="1"/>
  <c r="AA44" i="9" s="1"/>
  <c r="AB7" i="9" a="1"/>
  <c r="AB7" i="9" s="1"/>
  <c r="AB9" i="9" a="1"/>
  <c r="AB9" i="9" s="1"/>
  <c r="AB13" i="9" a="1"/>
  <c r="AB13" i="9" s="1"/>
  <c r="AB11" i="9" a="1"/>
  <c r="AB11" i="9" s="1"/>
  <c r="AB8" i="9" a="1"/>
  <c r="AB8" i="9" s="1"/>
  <c r="AB5" i="9" a="1"/>
  <c r="AB5" i="9" s="1"/>
  <c r="AB10" i="9" a="1"/>
  <c r="AB10" i="9" s="1"/>
  <c r="AB6" i="9" a="1"/>
  <c r="AB6" i="9" s="1"/>
  <c r="AB12" i="9" a="1"/>
  <c r="AB12" i="9" s="1"/>
  <c r="AC4" i="9"/>
  <c r="AB63" i="9" a="1"/>
  <c r="AB63" i="9" s="1"/>
  <c r="AC107" i="5" a="1"/>
  <c r="AC107" i="5" s="1"/>
  <c r="AA77" i="7" a="1"/>
  <c r="AA77" i="7" s="1"/>
  <c r="AA36" i="9" a="1"/>
  <c r="AA36" i="9" s="1"/>
  <c r="AA38" i="9" a="1"/>
  <c r="AA38" i="9" s="1"/>
  <c r="AB23" i="9"/>
  <c r="AA37" i="9" a="1"/>
  <c r="AA37" i="9" s="1"/>
  <c r="AA35" i="9" a="1"/>
  <c r="AA35" i="9" s="1"/>
  <c r="AA102" i="7" a="1"/>
  <c r="AA102" i="7" s="1"/>
  <c r="AB75" i="6" a="1"/>
  <c r="AB75" i="6" s="1"/>
  <c r="AB73" i="6" a="1"/>
  <c r="AB73" i="6" s="1"/>
  <c r="AC71" i="6"/>
  <c r="AB80" i="6" a="1"/>
  <c r="AB80" i="6" s="1"/>
  <c r="AB82" i="6" a="1"/>
  <c r="AB82" i="6" s="1"/>
  <c r="AB74" i="6" a="1"/>
  <c r="AB74" i="6" s="1"/>
  <c r="AB81" i="6" a="1"/>
  <c r="AB81" i="6" s="1"/>
  <c r="AC101" i="5" a="1"/>
  <c r="AC101" i="5" s="1"/>
  <c r="AA63" i="6" a="1"/>
  <c r="AA63" i="6" s="1"/>
  <c r="AB62" i="6"/>
  <c r="AA62" i="7" a="1"/>
  <c r="AA62" i="7" s="1"/>
  <c r="AA63" i="7" a="1"/>
  <c r="AA63" i="7" s="1"/>
  <c r="AA61" i="7" a="1"/>
  <c r="AA61" i="7" s="1"/>
  <c r="AB60" i="7"/>
  <c r="AA64" i="7" a="1"/>
  <c r="AA64" i="7" s="1"/>
  <c r="AC99" i="5" a="1"/>
  <c r="AC99" i="5" s="1"/>
  <c r="AA50" i="6" a="1"/>
  <c r="AA50" i="6" s="1"/>
  <c r="AA58" i="6" a="1"/>
  <c r="AA58" i="6" s="1"/>
  <c r="AA57" i="6" a="1"/>
  <c r="AA57" i="6" s="1"/>
  <c r="AA47" i="6" a="1"/>
  <c r="AA47" i="6" s="1"/>
  <c r="AA45" i="6" a="1"/>
  <c r="AA45" i="6" s="1"/>
  <c r="AA54" i="6" a="1"/>
  <c r="AA54" i="6" s="1"/>
  <c r="AA51" i="6" a="1"/>
  <c r="AA51" i="6" s="1"/>
  <c r="AA49" i="6" a="1"/>
  <c r="AA49" i="6" s="1"/>
  <c r="AA46" i="6" a="1"/>
  <c r="AA46" i="6" s="1"/>
  <c r="AA53" i="6" a="1"/>
  <c r="AA53" i="6" s="1"/>
  <c r="AA48" i="6" a="1"/>
  <c r="AA48" i="6" s="1"/>
  <c r="AA43" i="6" a="1"/>
  <c r="AA43" i="6" s="1"/>
  <c r="AA44" i="6" a="1"/>
  <c r="AA44" i="6" s="1"/>
  <c r="AB41" i="6"/>
  <c r="AA59" i="6" a="1"/>
  <c r="AA59" i="6" s="1"/>
  <c r="AA55" i="6" a="1"/>
  <c r="AA55" i="6" s="1"/>
  <c r="AB60" i="5"/>
  <c r="AE106" i="5"/>
  <c r="AA76" i="7" a="1"/>
  <c r="AA76" i="7" s="1"/>
  <c r="AA89" i="7" a="1"/>
  <c r="AA89" i="7" s="1"/>
  <c r="AC92" i="5" a="1"/>
  <c r="AC92" i="5" s="1"/>
  <c r="AB97" i="7" a="1"/>
  <c r="AB97" i="7" s="1"/>
  <c r="AB91" i="7" a="1"/>
  <c r="AB91" i="7" s="1"/>
  <c r="AB95" i="7" a="1"/>
  <c r="AB95" i="7" s="1"/>
  <c r="AB101" i="7" a="1"/>
  <c r="AB101" i="7" s="1"/>
  <c r="AB92" i="7" a="1"/>
  <c r="AB92" i="7" s="1"/>
  <c r="AB93" i="7" a="1"/>
  <c r="AB93" i="7" s="1"/>
  <c r="AB94" i="7" a="1"/>
  <c r="AB94" i="7" s="1"/>
  <c r="AB90" i="7" a="1"/>
  <c r="AB90" i="7" s="1"/>
  <c r="AB89" i="7" a="1"/>
  <c r="AB89" i="7" s="1"/>
  <c r="AB88" i="7" a="1"/>
  <c r="AB88" i="7" s="1"/>
  <c r="AB99" i="7" a="1"/>
  <c r="AB99" i="7" s="1"/>
  <c r="AB87" i="7" a="1"/>
  <c r="AB87" i="7" s="1"/>
  <c r="AB98" i="7" a="1"/>
  <c r="AB98" i="7" s="1"/>
  <c r="AB102" i="7" a="1"/>
  <c r="AB102" i="7" s="1"/>
  <c r="AB103" i="7" a="1"/>
  <c r="AB103" i="7" s="1"/>
  <c r="AC85" i="7"/>
  <c r="AB112" i="7" a="1"/>
  <c r="AB112" i="7" s="1"/>
  <c r="AC110" i="7"/>
  <c r="AB111" i="7" a="1"/>
  <c r="AB111" i="7" s="1"/>
  <c r="AA81" i="7" a="1"/>
  <c r="AA81" i="7" s="1"/>
  <c r="AA90" i="7" a="1"/>
  <c r="AA90" i="7" s="1"/>
  <c r="AC102" i="5" a="1"/>
  <c r="AC102" i="5" s="1"/>
  <c r="AA116" i="7" a="1"/>
  <c r="AA116" i="7" s="1"/>
  <c r="AB115" i="7"/>
  <c r="AA117" i="7" a="1"/>
  <c r="AA117" i="7" s="1"/>
  <c r="AA119" i="7" a="1"/>
  <c r="AA119" i="7" s="1"/>
  <c r="AA118" i="7" a="1"/>
  <c r="AA118" i="7" s="1"/>
  <c r="AE85" i="5"/>
  <c r="AB13" i="6" a="1"/>
  <c r="AB13" i="6" s="1"/>
  <c r="AB10" i="6" a="1"/>
  <c r="AB10" i="6" s="1"/>
  <c r="AB11" i="6" a="1"/>
  <c r="AB11" i="6" s="1"/>
  <c r="AB6" i="6" a="1"/>
  <c r="AB6" i="6" s="1"/>
  <c r="AB8" i="6" a="1"/>
  <c r="AB8" i="6" s="1"/>
  <c r="AB12" i="6" a="1"/>
  <c r="AB12" i="6" s="1"/>
  <c r="AB5" i="6" a="1"/>
  <c r="AB5" i="6" s="1"/>
  <c r="AC4" i="6"/>
  <c r="AB7" i="6" a="1"/>
  <c r="AB7" i="6" s="1"/>
  <c r="AB9" i="6" a="1"/>
  <c r="AB9" i="6" s="1"/>
  <c r="AB38" i="6" a="1"/>
  <c r="AB38" i="6" s="1"/>
  <c r="AB37" i="6" a="1"/>
  <c r="AB37" i="6" s="1"/>
  <c r="AC23" i="6"/>
  <c r="AB36" i="6" a="1"/>
  <c r="AB36" i="6" s="1"/>
  <c r="AB35" i="6" a="1"/>
  <c r="AB35" i="6" s="1"/>
  <c r="AA91" i="7" a="1"/>
  <c r="AA91" i="7" s="1"/>
  <c r="AC87" i="5" a="1"/>
  <c r="AC87" i="5" s="1"/>
  <c r="AG106" i="7"/>
  <c r="AA112" i="7" a="1"/>
  <c r="AA112" i="7" s="1"/>
  <c r="AA70" i="7" a="1"/>
  <c r="AA70" i="7" s="1"/>
  <c r="AA94" i="7" a="1"/>
  <c r="AA94" i="7" s="1"/>
  <c r="AC89" i="5" a="1"/>
  <c r="AC89" i="5" s="1"/>
  <c r="AA80" i="9" a="1"/>
  <c r="AA80" i="9" s="1"/>
  <c r="AA74" i="9" a="1"/>
  <c r="AA74" i="9" s="1"/>
  <c r="AB71" i="9"/>
  <c r="AA82" i="9" a="1"/>
  <c r="AA82" i="9" s="1"/>
  <c r="AA81" i="9" a="1"/>
  <c r="AA81" i="9" s="1"/>
  <c r="AA75" i="9" a="1"/>
  <c r="AA75" i="9" s="1"/>
  <c r="AA73" i="9" a="1"/>
  <c r="AA73" i="9" s="1"/>
  <c r="AC91" i="5" a="1"/>
  <c r="AC91" i="5" s="1"/>
  <c r="AB67" i="5"/>
  <c r="AA74" i="7" a="1"/>
  <c r="AA74" i="7" s="1"/>
  <c r="AA87" i="7" a="1"/>
  <c r="AA87" i="7" s="1"/>
  <c r="Z3" i="7"/>
  <c r="Z8" i="7"/>
  <c r="Z7" i="7"/>
  <c r="Z6" i="7"/>
  <c r="Z9" i="7"/>
  <c r="Z5" i="7"/>
  <c r="Z4" i="7"/>
  <c r="Z2" i="7"/>
  <c r="AA68" i="9" a="1"/>
  <c r="AA68" i="9" s="1"/>
  <c r="AA67" i="9" a="1"/>
  <c r="AA67" i="9" s="1"/>
  <c r="AB66" i="9"/>
  <c r="AC119" i="5" a="1"/>
  <c r="AC119" i="5" s="1"/>
  <c r="AC117" i="5" a="1"/>
  <c r="AC117" i="5" s="1"/>
  <c r="AC118" i="5" a="1"/>
  <c r="AC118" i="5" s="1"/>
  <c r="AD115" i="5"/>
  <c r="AC116" i="5" a="1"/>
  <c r="AC116" i="5" s="1"/>
  <c r="AD48" i="5"/>
  <c r="AD94" i="5" s="1" a="1"/>
  <c r="AD94" i="5" s="1"/>
  <c r="AC2" i="5" a="1"/>
  <c r="Z24" i="7"/>
  <c r="Z23" i="7"/>
  <c r="Z29" i="7"/>
  <c r="Z28" i="7"/>
  <c r="Z27" i="7"/>
  <c r="Z26" i="7"/>
  <c r="Z25" i="7"/>
  <c r="Z30" i="7"/>
  <c r="AA93" i="7" a="1"/>
  <c r="AA93" i="7" s="1"/>
  <c r="AC97" i="5" a="1"/>
  <c r="AC97" i="5" s="1"/>
  <c r="AB9" i="5"/>
  <c r="AB5" i="5"/>
  <c r="AB8" i="5"/>
  <c r="AB7" i="5"/>
  <c r="AB6" i="5"/>
  <c r="AB4" i="5"/>
  <c r="AB3" i="5"/>
  <c r="AB2" i="5"/>
  <c r="CV99" i="5" l="1" a="1"/>
  <c r="CV99" i="5" s="1"/>
  <c r="CV91" i="5" a="1"/>
  <c r="CV91" i="5" s="1"/>
  <c r="CV98" i="5" a="1"/>
  <c r="CV98" i="5" s="1"/>
  <c r="CV95" i="5" a="1"/>
  <c r="CV95" i="5" s="1"/>
  <c r="CV97" i="5" a="1"/>
  <c r="CV97" i="5" s="1"/>
  <c r="CV101" i="5" a="1"/>
  <c r="CV101" i="5" s="1"/>
  <c r="BL95" i="5" a="1"/>
  <c r="BL95" i="5" s="1"/>
  <c r="CV89" i="5" a="1"/>
  <c r="CV89" i="5" s="1"/>
  <c r="CV92" i="5" a="1"/>
  <c r="CV92" i="5" s="1"/>
  <c r="CV87" i="5" a="1"/>
  <c r="CV87" i="5" s="1"/>
  <c r="CV102" i="5" a="1"/>
  <c r="CV102" i="5" s="1"/>
  <c r="BL99" i="5" a="1"/>
  <c r="BL99" i="5" s="1"/>
  <c r="CV103" i="5" a="1"/>
  <c r="CV103" i="5" s="1"/>
  <c r="CV88" i="5" a="1"/>
  <c r="CV88" i="5" s="1"/>
  <c r="CV90" i="5" a="1"/>
  <c r="CV90" i="5" s="1"/>
  <c r="BL97" i="5" a="1"/>
  <c r="BL97" i="5" s="1"/>
  <c r="CV94" i="5" a="1"/>
  <c r="CV94" i="5" s="1"/>
  <c r="BL89" i="5" a="1"/>
  <c r="BL89" i="5" s="1"/>
  <c r="DA106" i="5"/>
  <c r="CX67" i="5"/>
  <c r="CW115" i="5"/>
  <c r="CW60" i="5"/>
  <c r="CW48" i="5"/>
  <c r="CW88" i="5" s="1" a="1"/>
  <c r="CW88" i="5" s="1"/>
  <c r="CV2" i="5" a="1"/>
  <c r="CV107" i="5" a="1"/>
  <c r="CV107" i="5" s="1"/>
  <c r="CW103" i="5" a="1"/>
  <c r="CW103" i="5" s="1"/>
  <c r="CW93" i="5" a="1"/>
  <c r="CW93" i="5" s="1"/>
  <c r="CW102" i="5" a="1"/>
  <c r="CW102" i="5" s="1"/>
  <c r="CX85" i="5"/>
  <c r="CW92" i="5" a="1"/>
  <c r="CW92" i="5" s="1"/>
  <c r="CW95" i="5" a="1"/>
  <c r="CW95" i="5" s="1"/>
  <c r="CW110" i="5"/>
  <c r="CU9" i="5"/>
  <c r="CU8" i="5"/>
  <c r="CU7" i="5"/>
  <c r="CU6" i="5"/>
  <c r="CU4" i="5"/>
  <c r="CU3" i="5"/>
  <c r="CU2" i="5"/>
  <c r="CU5" i="5"/>
  <c r="BK5" i="5"/>
  <c r="BK8" i="5"/>
  <c r="BK9" i="5"/>
  <c r="BK6" i="5"/>
  <c r="BK4" i="5"/>
  <c r="BK2" i="5"/>
  <c r="BK7" i="5"/>
  <c r="BK3" i="5"/>
  <c r="BL88" i="5" a="1"/>
  <c r="BL88" i="5" s="1"/>
  <c r="BM60" i="5"/>
  <c r="BM110" i="5"/>
  <c r="BL111" i="5" a="1"/>
  <c r="BL111" i="5" s="1"/>
  <c r="BL112" i="5" a="1"/>
  <c r="BL112" i="5" s="1"/>
  <c r="BL92" i="5" a="1"/>
  <c r="BL92" i="5" s="1"/>
  <c r="BN85" i="5"/>
  <c r="BM94" i="5" a="1"/>
  <c r="BM94" i="5" s="1"/>
  <c r="BM89" i="5" a="1"/>
  <c r="BM89" i="5" s="1"/>
  <c r="BM99" i="5" a="1"/>
  <c r="BM99" i="5" s="1"/>
  <c r="BM95" i="5" a="1"/>
  <c r="BM95" i="5" s="1"/>
  <c r="BM106" i="5"/>
  <c r="BL107" i="5" a="1"/>
  <c r="BL107" i="5" s="1"/>
  <c r="BL103" i="5" a="1"/>
  <c r="BL103" i="5" s="1"/>
  <c r="BL118" i="5" a="1"/>
  <c r="BL118" i="5" s="1"/>
  <c r="BL117" i="5" a="1"/>
  <c r="BL117" i="5" s="1"/>
  <c r="BL119" i="5" a="1"/>
  <c r="BL119" i="5" s="1"/>
  <c r="BM115" i="5"/>
  <c r="BL116" i="5" a="1"/>
  <c r="BL116" i="5" s="1"/>
  <c r="BM67" i="5"/>
  <c r="BL94" i="5" a="1"/>
  <c r="BL94" i="5" s="1"/>
  <c r="BL2" i="5" a="1"/>
  <c r="BM48" i="5"/>
  <c r="BM102" i="5" s="1" a="1"/>
  <c r="BM102" i="5" s="1"/>
  <c r="BL102" i="5" a="1"/>
  <c r="BL102" i="5" s="1"/>
  <c r="AD97" i="5" a="1"/>
  <c r="AD97" i="5" s="1"/>
  <c r="AD102" i="5" a="1"/>
  <c r="AD102" i="5" s="1"/>
  <c r="AD90" i="5" a="1"/>
  <c r="AD90" i="5" s="1"/>
  <c r="AD99" i="5" a="1"/>
  <c r="AD99" i="5" s="1"/>
  <c r="AD91" i="5" a="1"/>
  <c r="AD91" i="5" s="1"/>
  <c r="AD101" i="5" a="1"/>
  <c r="AD101" i="5" s="1"/>
  <c r="AD107" i="5" a="1"/>
  <c r="AD107" i="5" s="1"/>
  <c r="AD93" i="5" a="1"/>
  <c r="AD93" i="5" s="1"/>
  <c r="AD95" i="5" a="1"/>
  <c r="AD95" i="5" s="1"/>
  <c r="AC67" i="5"/>
  <c r="AF106" i="5"/>
  <c r="AC6" i="9" a="1"/>
  <c r="AC6" i="9" s="1"/>
  <c r="AC8" i="9" a="1"/>
  <c r="AC8" i="9" s="1"/>
  <c r="AC7" i="9" a="1"/>
  <c r="AC7" i="9" s="1"/>
  <c r="AC5" i="9" a="1"/>
  <c r="AC5" i="9" s="1"/>
  <c r="AC10" i="9" a="1"/>
  <c r="AC10" i="9" s="1"/>
  <c r="AC12" i="9" a="1"/>
  <c r="AC12" i="9" s="1"/>
  <c r="AC9" i="9" a="1"/>
  <c r="AC9" i="9" s="1"/>
  <c r="AC11" i="9" a="1"/>
  <c r="AC11" i="9" s="1"/>
  <c r="AC13" i="9" a="1"/>
  <c r="AC13" i="9" s="1"/>
  <c r="AD4" i="9"/>
  <c r="AC63" i="9" a="1"/>
  <c r="AC63" i="9" s="1"/>
  <c r="AA29" i="7"/>
  <c r="AA27" i="7"/>
  <c r="AA26" i="7"/>
  <c r="AA25" i="7"/>
  <c r="AA23" i="7"/>
  <c r="AA30" i="7"/>
  <c r="AA24" i="7"/>
  <c r="AA28" i="7"/>
  <c r="AD87" i="5" a="1"/>
  <c r="AD87" i="5" s="1"/>
  <c r="AA9" i="7"/>
  <c r="AA7" i="7"/>
  <c r="AA6" i="7"/>
  <c r="AA5" i="7"/>
  <c r="AA2" i="7"/>
  <c r="AA8" i="7"/>
  <c r="AA4" i="7"/>
  <c r="AA3" i="7"/>
  <c r="AC82" i="7" a="1"/>
  <c r="AC82" i="7" s="1"/>
  <c r="AD67" i="7"/>
  <c r="AB63" i="6" a="1"/>
  <c r="AB63" i="6" s="1"/>
  <c r="AC62" i="6"/>
  <c r="AB80" i="9" a="1"/>
  <c r="AB80" i="9" s="1"/>
  <c r="AB82" i="9" a="1"/>
  <c r="AB82" i="9" s="1"/>
  <c r="AB73" i="9" a="1"/>
  <c r="AB73" i="9" s="1"/>
  <c r="AB81" i="9" a="1"/>
  <c r="AB81" i="9" s="1"/>
  <c r="AC71" i="9"/>
  <c r="AB74" i="9" a="1"/>
  <c r="AB74" i="9" s="1"/>
  <c r="AB75" i="9" a="1"/>
  <c r="AB75" i="9" s="1"/>
  <c r="AH106" i="7"/>
  <c r="AB67" i="9" a="1"/>
  <c r="AB67" i="9" s="1"/>
  <c r="AC66" i="9"/>
  <c r="AB68" i="9" a="1"/>
  <c r="AB68" i="9" s="1"/>
  <c r="AE48" i="5"/>
  <c r="AE88" i="5" s="1" a="1"/>
  <c r="AE88" i="5" s="1"/>
  <c r="AD2" i="5" a="1"/>
  <c r="AD88" i="5" a="1"/>
  <c r="AD88" i="5" s="1"/>
  <c r="AB74" i="7" a="1"/>
  <c r="AB74" i="7" s="1"/>
  <c r="AD103" i="5" a="1"/>
  <c r="AD103" i="5" s="1"/>
  <c r="AC60" i="5"/>
  <c r="AC38" i="6" a="1"/>
  <c r="AC38" i="6" s="1"/>
  <c r="AC37" i="6" a="1"/>
  <c r="AC37" i="6" s="1"/>
  <c r="AC35" i="6" a="1"/>
  <c r="AC35" i="6" s="1"/>
  <c r="AC36" i="6" a="1"/>
  <c r="AC36" i="6" s="1"/>
  <c r="AD23" i="6"/>
  <c r="AD118" i="5" a="1"/>
  <c r="AD118" i="5" s="1"/>
  <c r="AE115" i="5"/>
  <c r="AD119" i="5" a="1"/>
  <c r="AD119" i="5" s="1"/>
  <c r="AD117" i="5" a="1"/>
  <c r="AD117" i="5" s="1"/>
  <c r="AD116" i="5" a="1"/>
  <c r="AD116" i="5" s="1"/>
  <c r="AC13" i="6" a="1"/>
  <c r="AC13" i="6" s="1"/>
  <c r="AC9" i="6" a="1"/>
  <c r="AC9" i="6" s="1"/>
  <c r="AC12" i="6" a="1"/>
  <c r="AC12" i="6" s="1"/>
  <c r="AC6" i="6" a="1"/>
  <c r="AC6" i="6" s="1"/>
  <c r="AC5" i="6" a="1"/>
  <c r="AC5" i="6" s="1"/>
  <c r="AD4" i="6"/>
  <c r="AC19" i="6" a="1"/>
  <c r="AC19" i="6" s="1"/>
  <c r="AC7" i="6" a="1"/>
  <c r="AC7" i="6" s="1"/>
  <c r="AC18" i="6" a="1"/>
  <c r="AC18" i="6" s="1"/>
  <c r="AC10" i="6" a="1"/>
  <c r="AC10" i="6" s="1"/>
  <c r="AC20" i="6" a="1"/>
  <c r="AC20" i="6" s="1"/>
  <c r="AC8" i="6" a="1"/>
  <c r="AC8" i="6" s="1"/>
  <c r="AC11" i="6" a="1"/>
  <c r="AC11" i="6" s="1"/>
  <c r="AD92" i="5" a="1"/>
  <c r="AD92" i="5" s="1"/>
  <c r="AB59" i="6" a="1"/>
  <c r="AB59" i="6" s="1"/>
  <c r="AB49" i="6" a="1"/>
  <c r="AB49" i="6" s="1"/>
  <c r="AB58" i="6" a="1"/>
  <c r="AB58" i="6" s="1"/>
  <c r="AB57" i="6" a="1"/>
  <c r="AB57" i="6" s="1"/>
  <c r="AB47" i="6" a="1"/>
  <c r="AB47" i="6" s="1"/>
  <c r="AB45" i="6" a="1"/>
  <c r="AB45" i="6" s="1"/>
  <c r="AB43" i="6" a="1"/>
  <c r="AB43" i="6" s="1"/>
  <c r="AB51" i="6" a="1"/>
  <c r="AB51" i="6" s="1"/>
  <c r="AB44" i="6" a="1"/>
  <c r="AB44" i="6" s="1"/>
  <c r="AB48" i="6" a="1"/>
  <c r="AB48" i="6" s="1"/>
  <c r="AB46" i="6" a="1"/>
  <c r="AB46" i="6" s="1"/>
  <c r="AB55" i="6" a="1"/>
  <c r="AB55" i="6" s="1"/>
  <c r="AB53" i="6" a="1"/>
  <c r="AB53" i="6" s="1"/>
  <c r="AC41" i="6"/>
  <c r="AB54" i="6" a="1"/>
  <c r="AB54" i="6" s="1"/>
  <c r="AB50" i="6" a="1"/>
  <c r="AB50" i="6" s="1"/>
  <c r="AB62" i="7" a="1"/>
  <c r="AB62" i="7" s="1"/>
  <c r="AB63" i="7" a="1"/>
  <c r="AB63" i="7" s="1"/>
  <c r="AB61" i="7" a="1"/>
  <c r="AB61" i="7" s="1"/>
  <c r="AC60" i="7"/>
  <c r="AB64" i="7" a="1"/>
  <c r="AB64" i="7" s="1"/>
  <c r="AB50" i="7" a="1"/>
  <c r="AB50" i="7" s="1"/>
  <c r="AB57" i="7" a="1"/>
  <c r="AB57" i="7" s="1"/>
  <c r="AB49" i="7" a="1"/>
  <c r="AB49" i="7" s="1"/>
  <c r="AB51" i="7" a="1"/>
  <c r="AB51" i="7" s="1"/>
  <c r="AB52" i="7" a="1"/>
  <c r="AB52" i="7" s="1"/>
  <c r="AC48" i="7"/>
  <c r="AC74" i="7" s="1" a="1"/>
  <c r="AC74" i="7" s="1"/>
  <c r="AB53" i="7" a="1"/>
  <c r="AB53" i="7" s="1"/>
  <c r="AB56" i="7" a="1"/>
  <c r="AB56" i="7" s="1"/>
  <c r="AB54" i="7" a="1"/>
  <c r="AB54" i="7" s="1"/>
  <c r="AB2" i="7" a="1"/>
  <c r="AB23" i="7" a="1"/>
  <c r="AB55" i="7" a="1"/>
  <c r="AB55" i="7" s="1"/>
  <c r="AB107" i="7" a="1"/>
  <c r="AB107" i="7" s="1"/>
  <c r="AB82" i="7" a="1"/>
  <c r="AB82" i="7" s="1"/>
  <c r="AC75" i="6" a="1"/>
  <c r="AC75" i="6" s="1"/>
  <c r="AC74" i="6" a="1"/>
  <c r="AC74" i="6" s="1"/>
  <c r="AD71" i="6"/>
  <c r="AC80" i="6" a="1"/>
  <c r="AC80" i="6" s="1"/>
  <c r="AC82" i="6" a="1"/>
  <c r="AC82" i="6" s="1"/>
  <c r="AC81" i="6" a="1"/>
  <c r="AC81" i="6" s="1"/>
  <c r="AC73" i="6" a="1"/>
  <c r="AC73" i="6" s="1"/>
  <c r="AF85" i="5"/>
  <c r="AC112" i="7" a="1"/>
  <c r="AC112" i="7" s="1"/>
  <c r="AD110" i="7"/>
  <c r="AB38" i="9" a="1"/>
  <c r="AB38" i="9" s="1"/>
  <c r="AB36" i="9" a="1"/>
  <c r="AB36" i="9" s="1"/>
  <c r="AC23" i="9"/>
  <c r="AB37" i="9" a="1"/>
  <c r="AB37" i="9" s="1"/>
  <c r="AB35" i="9" a="1"/>
  <c r="AB35" i="9" s="1"/>
  <c r="AB76" i="7" a="1"/>
  <c r="AB76" i="7" s="1"/>
  <c r="AB119" i="7" a="1"/>
  <c r="AB119" i="7" s="1"/>
  <c r="AC115" i="7"/>
  <c r="AB117" i="7" a="1"/>
  <c r="AB117" i="7" s="1"/>
  <c r="AB116" i="7" a="1"/>
  <c r="AB116" i="7" s="1"/>
  <c r="AB118" i="7" a="1"/>
  <c r="AB118" i="7" s="1"/>
  <c r="AD89" i="5" a="1"/>
  <c r="AD89" i="5" s="1"/>
  <c r="AC111" i="5" a="1"/>
  <c r="AC111" i="5" s="1"/>
  <c r="AC112" i="5" a="1"/>
  <c r="AC112" i="5" s="1"/>
  <c r="AD110" i="5"/>
  <c r="AB78" i="7" a="1"/>
  <c r="AB78" i="7" s="1"/>
  <c r="AC2" i="5"/>
  <c r="AC6" i="5"/>
  <c r="AC5" i="5"/>
  <c r="AC4" i="5"/>
  <c r="AC3" i="5"/>
  <c r="AC9" i="5"/>
  <c r="AC8" i="5"/>
  <c r="AC7" i="5"/>
  <c r="AD98" i="5" a="1"/>
  <c r="AD98" i="5" s="1"/>
  <c r="AC89" i="7" a="1"/>
  <c r="AC89" i="7" s="1"/>
  <c r="AC95" i="7" a="1"/>
  <c r="AC95" i="7" s="1"/>
  <c r="AD85" i="7"/>
  <c r="AB59" i="9" a="1"/>
  <c r="AB59" i="9" s="1"/>
  <c r="AB53" i="9" a="1"/>
  <c r="AB53" i="9" s="1"/>
  <c r="AB57" i="9" a="1"/>
  <c r="AB57" i="9" s="1"/>
  <c r="AB51" i="9" a="1"/>
  <c r="AB51" i="9" s="1"/>
  <c r="AB47" i="9" a="1"/>
  <c r="AB47" i="9" s="1"/>
  <c r="AB45" i="9" a="1"/>
  <c r="AB45" i="9" s="1"/>
  <c r="AB43" i="9" a="1"/>
  <c r="AB43" i="9" s="1"/>
  <c r="AB55" i="9" a="1"/>
  <c r="AB55" i="9" s="1"/>
  <c r="AB48" i="9" a="1"/>
  <c r="AB48" i="9" s="1"/>
  <c r="AB46" i="9" a="1"/>
  <c r="AB46" i="9" s="1"/>
  <c r="AB49" i="9" a="1"/>
  <c r="AB49" i="9" s="1"/>
  <c r="AB44" i="9" a="1"/>
  <c r="AB44" i="9" s="1"/>
  <c r="AB54" i="9" a="1"/>
  <c r="AB54" i="9" s="1"/>
  <c r="AC41" i="9"/>
  <c r="AB58" i="9" a="1"/>
  <c r="AB58" i="9" s="1"/>
  <c r="AB50" i="9" a="1"/>
  <c r="AB50" i="9" s="1"/>
  <c r="AB77" i="7" a="1"/>
  <c r="AB77" i="7" s="1"/>
  <c r="CW87" i="5" l="1" a="1"/>
  <c r="CW87" i="5" s="1"/>
  <c r="BM101" i="5" a="1"/>
  <c r="BM101" i="5" s="1"/>
  <c r="CW94" i="5" a="1"/>
  <c r="CW94" i="5" s="1"/>
  <c r="BM88" i="5" a="1"/>
  <c r="BM88" i="5" s="1"/>
  <c r="CW98" i="5" a="1"/>
  <c r="CW98" i="5" s="1"/>
  <c r="BM98" i="5" a="1"/>
  <c r="BM98" i="5" s="1"/>
  <c r="BM91" i="5" a="1"/>
  <c r="BM91" i="5" s="1"/>
  <c r="CW99" i="5" a="1"/>
  <c r="CW99" i="5" s="1"/>
  <c r="CW101" i="5" a="1"/>
  <c r="CW101" i="5" s="1"/>
  <c r="CW91" i="5" a="1"/>
  <c r="CW91" i="5" s="1"/>
  <c r="CW89" i="5" a="1"/>
  <c r="CW89" i="5" s="1"/>
  <c r="BM92" i="5" a="1"/>
  <c r="BM92" i="5" s="1"/>
  <c r="CW90" i="5" a="1"/>
  <c r="CW90" i="5" s="1"/>
  <c r="CW97" i="5" a="1"/>
  <c r="CW97" i="5" s="1"/>
  <c r="BM90" i="5" a="1"/>
  <c r="BM90" i="5" s="1"/>
  <c r="CX88" i="5" a="1"/>
  <c r="CX88" i="5" s="1"/>
  <c r="CY85" i="5"/>
  <c r="CV8" i="5"/>
  <c r="CV6" i="5"/>
  <c r="CV9" i="5"/>
  <c r="CV7" i="5"/>
  <c r="CV4" i="5"/>
  <c r="CV3" i="5"/>
  <c r="CV2" i="5"/>
  <c r="CV5" i="5"/>
  <c r="CX48" i="5"/>
  <c r="CX90" i="5" s="1" a="1"/>
  <c r="CX90" i="5" s="1"/>
  <c r="CW2" i="5" a="1"/>
  <c r="CW107" i="5" a="1"/>
  <c r="CW107" i="5" s="1"/>
  <c r="CX115" i="5"/>
  <c r="CX110" i="5"/>
  <c r="CX60" i="5"/>
  <c r="CY67" i="5"/>
  <c r="DB106" i="5"/>
  <c r="BN60" i="5"/>
  <c r="BM117" i="5" a="1"/>
  <c r="BM117" i="5" s="1"/>
  <c r="BM116" i="5" a="1"/>
  <c r="BM116" i="5" s="1"/>
  <c r="BM119" i="5" a="1"/>
  <c r="BM119" i="5" s="1"/>
  <c r="BN115" i="5"/>
  <c r="BM118" i="5" a="1"/>
  <c r="BM118" i="5" s="1"/>
  <c r="BN67" i="5"/>
  <c r="BN102" i="5" a="1"/>
  <c r="BN102" i="5" s="1"/>
  <c r="BO85" i="5"/>
  <c r="BN90" i="5" a="1"/>
  <c r="BN90" i="5" s="1"/>
  <c r="BN87" i="5" a="1"/>
  <c r="BN87" i="5" s="1"/>
  <c r="BM2" i="5" a="1"/>
  <c r="BN48" i="5"/>
  <c r="BN101" i="5" s="1" a="1"/>
  <c r="BN101" i="5" s="1"/>
  <c r="BM93" i="5" a="1"/>
  <c r="BM93" i="5" s="1"/>
  <c r="BN110" i="5"/>
  <c r="BM111" i="5" a="1"/>
  <c r="BM111" i="5" s="1"/>
  <c r="BM112" i="5" a="1"/>
  <c r="BM112" i="5" s="1"/>
  <c r="BN106" i="5"/>
  <c r="BM107" i="5" a="1"/>
  <c r="BM107" i="5" s="1"/>
  <c r="BM103" i="5" a="1"/>
  <c r="BM103" i="5" s="1"/>
  <c r="BM97" i="5" a="1"/>
  <c r="BM97" i="5" s="1"/>
  <c r="BL8" i="5"/>
  <c r="BL5" i="5"/>
  <c r="BL4" i="5"/>
  <c r="BL3" i="5"/>
  <c r="BL2" i="5"/>
  <c r="BL7" i="5"/>
  <c r="BL6" i="5"/>
  <c r="BL9" i="5"/>
  <c r="BM87" i="5" a="1"/>
  <c r="BM87" i="5" s="1"/>
  <c r="AE97" i="5" a="1"/>
  <c r="AE97" i="5" s="1"/>
  <c r="AE98" i="5" a="1"/>
  <c r="AE98" i="5" s="1"/>
  <c r="AE89" i="5" a="1"/>
  <c r="AE89" i="5" s="1"/>
  <c r="AE90" i="5" a="1"/>
  <c r="AE90" i="5" s="1"/>
  <c r="AE99" i="5" a="1"/>
  <c r="AE99" i="5" s="1"/>
  <c r="AE87" i="5" a="1"/>
  <c r="AE87" i="5" s="1"/>
  <c r="AE101" i="5" a="1"/>
  <c r="AE101" i="5" s="1"/>
  <c r="AE92" i="5" a="1"/>
  <c r="AE92" i="5" s="1"/>
  <c r="AE102" i="5" a="1"/>
  <c r="AE102" i="5" s="1"/>
  <c r="AE95" i="5" a="1"/>
  <c r="AE95" i="5" s="1"/>
  <c r="AE91" i="5" a="1"/>
  <c r="AE91" i="5" s="1"/>
  <c r="AE94" i="5" a="1"/>
  <c r="AE94" i="5" s="1"/>
  <c r="AE93" i="5" a="1"/>
  <c r="AE93" i="5" s="1"/>
  <c r="AE103" i="5" a="1"/>
  <c r="AE103" i="5" s="1"/>
  <c r="AC99" i="7" a="1"/>
  <c r="AC99" i="7" s="1"/>
  <c r="AG85" i="5"/>
  <c r="AC59" i="6" a="1"/>
  <c r="AC59" i="6" s="1"/>
  <c r="AC58" i="6" a="1"/>
  <c r="AC58" i="6" s="1"/>
  <c r="AC55" i="6" a="1"/>
  <c r="AC55" i="6" s="1"/>
  <c r="AC47" i="6" a="1"/>
  <c r="AC47" i="6" s="1"/>
  <c r="AC43" i="6" a="1"/>
  <c r="AC43" i="6" s="1"/>
  <c r="AC46" i="6" a="1"/>
  <c r="AC46" i="6" s="1"/>
  <c r="AC53" i="6" a="1"/>
  <c r="AC53" i="6" s="1"/>
  <c r="AC51" i="6" a="1"/>
  <c r="AC51" i="6" s="1"/>
  <c r="AC45" i="6" a="1"/>
  <c r="AC45" i="6" s="1"/>
  <c r="AC44" i="6" a="1"/>
  <c r="AC44" i="6" s="1"/>
  <c r="AC49" i="6" a="1"/>
  <c r="AC49" i="6" s="1"/>
  <c r="AC57" i="6" a="1"/>
  <c r="AC57" i="6" s="1"/>
  <c r="AC54" i="6" a="1"/>
  <c r="AC54" i="6" s="1"/>
  <c r="AC50" i="6" a="1"/>
  <c r="AC50" i="6" s="1"/>
  <c r="AD41" i="6"/>
  <c r="AC48" i="6" a="1"/>
  <c r="AC48" i="6" s="1"/>
  <c r="AD8" i="5"/>
  <c r="AD7" i="5"/>
  <c r="AD3" i="5"/>
  <c r="AD6" i="5"/>
  <c r="AD5" i="5"/>
  <c r="AD4" i="5"/>
  <c r="AD2" i="5"/>
  <c r="AD9" i="5"/>
  <c r="AC72" i="7" a="1"/>
  <c r="AC72" i="7" s="1"/>
  <c r="AC103" i="7" a="1"/>
  <c r="AC103" i="7" s="1"/>
  <c r="AC111" i="7" a="1"/>
  <c r="AC111" i="7" s="1"/>
  <c r="AD36" i="6" a="1"/>
  <c r="AD36" i="6" s="1"/>
  <c r="AD37" i="6" a="1"/>
  <c r="AD37" i="6" s="1"/>
  <c r="AD35" i="6" a="1"/>
  <c r="AD35" i="6" s="1"/>
  <c r="AD38" i="6" a="1"/>
  <c r="AD38" i="6" s="1"/>
  <c r="AE23" i="6"/>
  <c r="AC80" i="9" a="1"/>
  <c r="AC80" i="9" s="1"/>
  <c r="AC82" i="9" a="1"/>
  <c r="AC82" i="9" s="1"/>
  <c r="AC81" i="9" a="1"/>
  <c r="AC81" i="9" s="1"/>
  <c r="AD71" i="9"/>
  <c r="AC75" i="9" a="1"/>
  <c r="AC75" i="9" s="1"/>
  <c r="AC73" i="9" a="1"/>
  <c r="AC73" i="9" s="1"/>
  <c r="AC74" i="9" a="1"/>
  <c r="AC74" i="9" s="1"/>
  <c r="AC71" i="7" a="1"/>
  <c r="AC71" i="7" s="1"/>
  <c r="AB2" i="7"/>
  <c r="AB6" i="7"/>
  <c r="AB7" i="7"/>
  <c r="AB5" i="7"/>
  <c r="AB4" i="7"/>
  <c r="AB3" i="7"/>
  <c r="AB9" i="7"/>
  <c r="AB8" i="7"/>
  <c r="AE119" i="5" a="1"/>
  <c r="AE119" i="5" s="1"/>
  <c r="AE117" i="5" a="1"/>
  <c r="AE117" i="5" s="1"/>
  <c r="AE116" i="5" a="1"/>
  <c r="AE116" i="5" s="1"/>
  <c r="AE118" i="5" a="1"/>
  <c r="AE118" i="5" s="1"/>
  <c r="AF115" i="5"/>
  <c r="AC76" i="7" a="1"/>
  <c r="AC76" i="7" s="1"/>
  <c r="AC88" i="7" a="1"/>
  <c r="AC88" i="7" s="1"/>
  <c r="AC94" i="7" a="1"/>
  <c r="AC94" i="7" s="1"/>
  <c r="AE110" i="5"/>
  <c r="AD112" i="5" a="1"/>
  <c r="AD112" i="5" s="1"/>
  <c r="AD111" i="5" a="1"/>
  <c r="AD111" i="5" s="1"/>
  <c r="AE110" i="7"/>
  <c r="AD111" i="7" a="1"/>
  <c r="AD111" i="7" s="1"/>
  <c r="AF48" i="5"/>
  <c r="AF95" i="5" s="1" a="1"/>
  <c r="AF95" i="5" s="1"/>
  <c r="AE2" i="5" a="1"/>
  <c r="AC81" i="7" a="1"/>
  <c r="AC81" i="7" s="1"/>
  <c r="AD13" i="9" a="1"/>
  <c r="AD13" i="9" s="1"/>
  <c r="AD5" i="9" a="1"/>
  <c r="AD5" i="9" s="1"/>
  <c r="AD7" i="9" a="1"/>
  <c r="AD7" i="9" s="1"/>
  <c r="AD10" i="9" a="1"/>
  <c r="AD10" i="9" s="1"/>
  <c r="AD6" i="9" a="1"/>
  <c r="AD6" i="9" s="1"/>
  <c r="AD12" i="9" a="1"/>
  <c r="AD12" i="9" s="1"/>
  <c r="AD8" i="9" a="1"/>
  <c r="AD8" i="9" s="1"/>
  <c r="AD9" i="9" a="1"/>
  <c r="AD9" i="9" s="1"/>
  <c r="AE4" i="9"/>
  <c r="AD11" i="9" a="1"/>
  <c r="AD11" i="9" s="1"/>
  <c r="AD63" i="9" a="1"/>
  <c r="AD63" i="9" s="1"/>
  <c r="AB23" i="7"/>
  <c r="AB27" i="7"/>
  <c r="AB30" i="7"/>
  <c r="AB29" i="7"/>
  <c r="AB28" i="7"/>
  <c r="AB26" i="7"/>
  <c r="AB25" i="7"/>
  <c r="AB24" i="7"/>
  <c r="AC98" i="7" a="1"/>
  <c r="AC98" i="7" s="1"/>
  <c r="AD75" i="6" a="1"/>
  <c r="AD75" i="6" s="1"/>
  <c r="AD74" i="6" a="1"/>
  <c r="AD74" i="6" s="1"/>
  <c r="AD73" i="6" a="1"/>
  <c r="AD73" i="6" s="1"/>
  <c r="AE71" i="6"/>
  <c r="AD80" i="6" a="1"/>
  <c r="AD80" i="6" s="1"/>
  <c r="AD82" i="6" a="1"/>
  <c r="AD82" i="6" s="1"/>
  <c r="AD81" i="6" a="1"/>
  <c r="AD81" i="6" s="1"/>
  <c r="AC77" i="7" a="1"/>
  <c r="AC77" i="7" s="1"/>
  <c r="AD67" i="5"/>
  <c r="AC90" i="7" a="1"/>
  <c r="AC90" i="7" s="1"/>
  <c r="AC117" i="7" a="1"/>
  <c r="AC117" i="7" s="1"/>
  <c r="AC116" i="7" a="1"/>
  <c r="AC116" i="7" s="1"/>
  <c r="AC118" i="7" a="1"/>
  <c r="AC118" i="7" s="1"/>
  <c r="AC119" i="7" a="1"/>
  <c r="AC119" i="7" s="1"/>
  <c r="AD115" i="7"/>
  <c r="AC69" i="7" a="1"/>
  <c r="AC69" i="7" s="1"/>
  <c r="AD75" i="7" a="1"/>
  <c r="AD75" i="7" s="1"/>
  <c r="AD70" i="7" a="1"/>
  <c r="AD70" i="7" s="1"/>
  <c r="AD69" i="7" a="1"/>
  <c r="AD69" i="7" s="1"/>
  <c r="AD73" i="7" a="1"/>
  <c r="AD73" i="7" s="1"/>
  <c r="AE67" i="7"/>
  <c r="AD78" i="7" a="1"/>
  <c r="AD78" i="7" s="1"/>
  <c r="AD76" i="7" a="1"/>
  <c r="AD76" i="7" s="1"/>
  <c r="AC70" i="7" a="1"/>
  <c r="AC70" i="7" s="1"/>
  <c r="AD60" i="5"/>
  <c r="AC75" i="7" a="1"/>
  <c r="AC75" i="7" s="1"/>
  <c r="AC58" i="9" a="1"/>
  <c r="AC58" i="9" s="1"/>
  <c r="AC54" i="9" a="1"/>
  <c r="AC54" i="9" s="1"/>
  <c r="AC55" i="9" a="1"/>
  <c r="AC55" i="9" s="1"/>
  <c r="AC50" i="9" a="1"/>
  <c r="AC50" i="9" s="1"/>
  <c r="AC48" i="9" a="1"/>
  <c r="AC48" i="9" s="1"/>
  <c r="AC47" i="9" a="1"/>
  <c r="AC47" i="9" s="1"/>
  <c r="AC44" i="9" a="1"/>
  <c r="AC44" i="9" s="1"/>
  <c r="AC59" i="9" a="1"/>
  <c r="AC59" i="9" s="1"/>
  <c r="AC57" i="9" a="1"/>
  <c r="AC57" i="9" s="1"/>
  <c r="AC46" i="9" a="1"/>
  <c r="AC46" i="9" s="1"/>
  <c r="AC43" i="9" a="1"/>
  <c r="AC43" i="9" s="1"/>
  <c r="AC49" i="9" a="1"/>
  <c r="AC49" i="9" s="1"/>
  <c r="AC45" i="9" a="1"/>
  <c r="AC45" i="9" s="1"/>
  <c r="AD41" i="9"/>
  <c r="AC51" i="9" a="1"/>
  <c r="AC51" i="9" s="1"/>
  <c r="AC53" i="9" a="1"/>
  <c r="AC53" i="9" s="1"/>
  <c r="AC87" i="7" a="1"/>
  <c r="AC87" i="7" s="1"/>
  <c r="AC64" i="7" a="1"/>
  <c r="AC64" i="7" s="1"/>
  <c r="AD60" i="7"/>
  <c r="AC63" i="7" a="1"/>
  <c r="AC63" i="7" s="1"/>
  <c r="AC62" i="7" a="1"/>
  <c r="AC62" i="7" s="1"/>
  <c r="AC61" i="7" a="1"/>
  <c r="AC61" i="7" s="1"/>
  <c r="AD62" i="6"/>
  <c r="AC63" i="6" a="1"/>
  <c r="AC63" i="6" s="1"/>
  <c r="AC57" i="7" a="1"/>
  <c r="AC57" i="7" s="1"/>
  <c r="AC49" i="7" a="1"/>
  <c r="AC49" i="7" s="1"/>
  <c r="AC56" i="7" a="1"/>
  <c r="AC56" i="7" s="1"/>
  <c r="AC52" i="7" a="1"/>
  <c r="AC52" i="7" s="1"/>
  <c r="AD48" i="7"/>
  <c r="AD72" i="7" s="1" a="1"/>
  <c r="AD72" i="7" s="1"/>
  <c r="AC53" i="7" a="1"/>
  <c r="AC53" i="7" s="1"/>
  <c r="AC54" i="7" a="1"/>
  <c r="AC54" i="7" s="1"/>
  <c r="AC23" i="7" a="1"/>
  <c r="AC51" i="7" a="1"/>
  <c r="AC51" i="7" s="1"/>
  <c r="AC55" i="7" a="1"/>
  <c r="AC55" i="7" s="1"/>
  <c r="AC2" i="7" a="1"/>
  <c r="AC50" i="7" a="1"/>
  <c r="AC50" i="7" s="1"/>
  <c r="AC107" i="7" a="1"/>
  <c r="AC107" i="7" s="1"/>
  <c r="AC97" i="7" a="1"/>
  <c r="AC97" i="7" s="1"/>
  <c r="AD11" i="6" a="1"/>
  <c r="AD11" i="6" s="1"/>
  <c r="AD12" i="6" a="1"/>
  <c r="AD12" i="6" s="1"/>
  <c r="AD8" i="6" a="1"/>
  <c r="AD8" i="6" s="1"/>
  <c r="AD13" i="6" a="1"/>
  <c r="AD13" i="6" s="1"/>
  <c r="AD5" i="6" a="1"/>
  <c r="AD5" i="6" s="1"/>
  <c r="AE4" i="6"/>
  <c r="AD18" i="6" a="1"/>
  <c r="AD18" i="6" s="1"/>
  <c r="AD10" i="6" a="1"/>
  <c r="AD10" i="6" s="1"/>
  <c r="AD6" i="6" a="1"/>
  <c r="AD6" i="6" s="1"/>
  <c r="AD7" i="6" a="1"/>
  <c r="AD7" i="6" s="1"/>
  <c r="AD9" i="6" a="1"/>
  <c r="AD9" i="6" s="1"/>
  <c r="AD20" i="6" a="1"/>
  <c r="AD20" i="6" s="1"/>
  <c r="AD19" i="6" a="1"/>
  <c r="AD19" i="6" s="1"/>
  <c r="AC73" i="7" a="1"/>
  <c r="AC73" i="7" s="1"/>
  <c r="AC101" i="7" a="1"/>
  <c r="AC101" i="7" s="1"/>
  <c r="AC92" i="7" a="1"/>
  <c r="AC92" i="7" s="1"/>
  <c r="AC67" i="9" a="1"/>
  <c r="AC67" i="9" s="1"/>
  <c r="AD66" i="9"/>
  <c r="AC68" i="9" a="1"/>
  <c r="AC68" i="9" s="1"/>
  <c r="AC79" i="7" a="1"/>
  <c r="AC79" i="7" s="1"/>
  <c r="AC68" i="7" a="1"/>
  <c r="AC68" i="7" s="1"/>
  <c r="AC93" i="7" a="1"/>
  <c r="AC93" i="7" s="1"/>
  <c r="AD103" i="7" a="1"/>
  <c r="AD103" i="7" s="1"/>
  <c r="AD94" i="7" a="1"/>
  <c r="AD94" i="7" s="1"/>
  <c r="AD102" i="7" a="1"/>
  <c r="AD102" i="7" s="1"/>
  <c r="AD89" i="7" a="1"/>
  <c r="AD89" i="7" s="1"/>
  <c r="AD98" i="7" a="1"/>
  <c r="AD98" i="7" s="1"/>
  <c r="AD90" i="7" a="1"/>
  <c r="AD90" i="7" s="1"/>
  <c r="AD88" i="7" a="1"/>
  <c r="AD88" i="7" s="1"/>
  <c r="AD101" i="7" a="1"/>
  <c r="AD101" i="7" s="1"/>
  <c r="AD99" i="7" a="1"/>
  <c r="AD99" i="7" s="1"/>
  <c r="AD93" i="7" a="1"/>
  <c r="AD93" i="7" s="1"/>
  <c r="AE85" i="7"/>
  <c r="AD87" i="7" a="1"/>
  <c r="AD87" i="7" s="1"/>
  <c r="AD92" i="7" a="1"/>
  <c r="AD92" i="7" s="1"/>
  <c r="AC80" i="7" a="1"/>
  <c r="AC80" i="7" s="1"/>
  <c r="AE107" i="5" a="1"/>
  <c r="AE107" i="5" s="1"/>
  <c r="AC38" i="9" a="1"/>
  <c r="AC38" i="9" s="1"/>
  <c r="AD23" i="9"/>
  <c r="AC36" i="9" a="1"/>
  <c r="AC36" i="9" s="1"/>
  <c r="AC37" i="9" a="1"/>
  <c r="AC37" i="9" s="1"/>
  <c r="AC35" i="9" a="1"/>
  <c r="AC35" i="9" s="1"/>
  <c r="AC102" i="7" a="1"/>
  <c r="AC102" i="7" s="1"/>
  <c r="AC91" i="7" a="1"/>
  <c r="AC91" i="7" s="1"/>
  <c r="AI106" i="7"/>
  <c r="AC78" i="7" a="1"/>
  <c r="AC78" i="7" s="1"/>
  <c r="AG106" i="5"/>
  <c r="BN99" i="5" l="1" a="1"/>
  <c r="BN99" i="5" s="1"/>
  <c r="BN97" i="5" a="1"/>
  <c r="BN97" i="5" s="1"/>
  <c r="BN89" i="5" a="1"/>
  <c r="BN89" i="5" s="1"/>
  <c r="BN98" i="5" a="1"/>
  <c r="BN98" i="5" s="1"/>
  <c r="BN103" i="5" a="1"/>
  <c r="BN103" i="5" s="1"/>
  <c r="CX95" i="5" a="1"/>
  <c r="CX95" i="5" s="1"/>
  <c r="CX94" i="5" a="1"/>
  <c r="CX94" i="5" s="1"/>
  <c r="CY110" i="5"/>
  <c r="CW9" i="5"/>
  <c r="CW7" i="5"/>
  <c r="CW6" i="5"/>
  <c r="CW4" i="5"/>
  <c r="CW3" i="5"/>
  <c r="CW5" i="5"/>
  <c r="CW8" i="5"/>
  <c r="CW2" i="5"/>
  <c r="CX99" i="5" a="1"/>
  <c r="CX99" i="5" s="1"/>
  <c r="CY115" i="5"/>
  <c r="DC106" i="5"/>
  <c r="CX87" i="5" a="1"/>
  <c r="CX87" i="5" s="1"/>
  <c r="CX98" i="5" a="1"/>
  <c r="CX98" i="5" s="1"/>
  <c r="CX91" i="5" a="1"/>
  <c r="CX91" i="5" s="1"/>
  <c r="CX103" i="5" a="1"/>
  <c r="CX103" i="5" s="1"/>
  <c r="CY101" i="5" a="1"/>
  <c r="CY101" i="5" s="1"/>
  <c r="CY89" i="5" a="1"/>
  <c r="CY89" i="5" s="1"/>
  <c r="CY98" i="5" a="1"/>
  <c r="CY98" i="5" s="1"/>
  <c r="CZ85" i="5"/>
  <c r="CY87" i="5" a="1"/>
  <c r="CY87" i="5" s="1"/>
  <c r="CY48" i="5"/>
  <c r="CY99" i="5" s="1" a="1"/>
  <c r="CY99" i="5" s="1"/>
  <c r="CX2" i="5" a="1"/>
  <c r="CX107" i="5" a="1"/>
  <c r="CX107" i="5" s="1"/>
  <c r="CX89" i="5" a="1"/>
  <c r="CX89" i="5" s="1"/>
  <c r="CZ67" i="5"/>
  <c r="CX97" i="5" a="1"/>
  <c r="CX97" i="5" s="1"/>
  <c r="CX101" i="5" a="1"/>
  <c r="CX101" i="5" s="1"/>
  <c r="CX93" i="5" a="1"/>
  <c r="CX93" i="5" s="1"/>
  <c r="CX92" i="5" a="1"/>
  <c r="CX92" i="5" s="1"/>
  <c r="CY60" i="5"/>
  <c r="CX102" i="5" a="1"/>
  <c r="CX102" i="5" s="1"/>
  <c r="BO95" i="5" a="1"/>
  <c r="BO95" i="5" s="1"/>
  <c r="BO103" i="5" a="1"/>
  <c r="BO103" i="5" s="1"/>
  <c r="BO92" i="5" a="1"/>
  <c r="BO92" i="5" s="1"/>
  <c r="BO89" i="5" a="1"/>
  <c r="BO89" i="5" s="1"/>
  <c r="BP85" i="5"/>
  <c r="BO90" i="5" a="1"/>
  <c r="BO90" i="5" s="1"/>
  <c r="BO99" i="5" a="1"/>
  <c r="BO99" i="5" s="1"/>
  <c r="BN92" i="5" a="1"/>
  <c r="BN92" i="5" s="1"/>
  <c r="BO106" i="5"/>
  <c r="BN107" i="5" a="1"/>
  <c r="BN107" i="5" s="1"/>
  <c r="BN116" i="5" a="1"/>
  <c r="BN116" i="5" s="1"/>
  <c r="BN119" i="5" a="1"/>
  <c r="BN119" i="5" s="1"/>
  <c r="BO115" i="5"/>
  <c r="BN117" i="5" a="1"/>
  <c r="BN117" i="5" s="1"/>
  <c r="BN118" i="5" a="1"/>
  <c r="BN118" i="5" s="1"/>
  <c r="BO67" i="5"/>
  <c r="BN2" i="5" a="1"/>
  <c r="BO48" i="5"/>
  <c r="BO94" i="5" s="1" a="1"/>
  <c r="BO94" i="5" s="1"/>
  <c r="BN88" i="5" a="1"/>
  <c r="BN88" i="5" s="1"/>
  <c r="BN94" i="5" a="1"/>
  <c r="BN94" i="5" s="1"/>
  <c r="BO60" i="5"/>
  <c r="BN93" i="5" a="1"/>
  <c r="BN93" i="5" s="1"/>
  <c r="BM3" i="5"/>
  <c r="BM2" i="5"/>
  <c r="BM8" i="5"/>
  <c r="BM7" i="5"/>
  <c r="BM6" i="5"/>
  <c r="BM9" i="5"/>
  <c r="BM5" i="5"/>
  <c r="BM4" i="5"/>
  <c r="BN95" i="5" a="1"/>
  <c r="BN95" i="5" s="1"/>
  <c r="BO110" i="5"/>
  <c r="BN112" i="5" a="1"/>
  <c r="BN112" i="5" s="1"/>
  <c r="BN111" i="5" a="1"/>
  <c r="BN111" i="5" s="1"/>
  <c r="BN91" i="5" a="1"/>
  <c r="BN91" i="5" s="1"/>
  <c r="AF107" i="5" a="1"/>
  <c r="AF107" i="5" s="1"/>
  <c r="AF99" i="5" a="1"/>
  <c r="AF99" i="5" s="1"/>
  <c r="AF93" i="5" a="1"/>
  <c r="AF93" i="5" s="1"/>
  <c r="AF92" i="5" a="1"/>
  <c r="AF92" i="5" s="1"/>
  <c r="AF102" i="5" a="1"/>
  <c r="AF102" i="5" s="1"/>
  <c r="AF91" i="5" a="1"/>
  <c r="AF91" i="5" s="1"/>
  <c r="AF94" i="5" a="1"/>
  <c r="AF94" i="5" s="1"/>
  <c r="AF87" i="5" a="1"/>
  <c r="AF87" i="5" s="1"/>
  <c r="AD36" i="9" a="1"/>
  <c r="AD36" i="9" s="1"/>
  <c r="AE23" i="9"/>
  <c r="AD38" i="9" a="1"/>
  <c r="AD38" i="9" s="1"/>
  <c r="AD37" i="9" a="1"/>
  <c r="AD37" i="9" s="1"/>
  <c r="AD35" i="9" a="1"/>
  <c r="AD35" i="9" s="1"/>
  <c r="AD67" i="9" a="1"/>
  <c r="AD67" i="9" s="1"/>
  <c r="AD68" i="9" a="1"/>
  <c r="AD68" i="9" s="1"/>
  <c r="AE66" i="9"/>
  <c r="AD117" i="7" a="1"/>
  <c r="AD117" i="7" s="1"/>
  <c r="AD119" i="7" a="1"/>
  <c r="AD119" i="7" s="1"/>
  <c r="AD116" i="7" a="1"/>
  <c r="AD116" i="7" s="1"/>
  <c r="AE115" i="7"/>
  <c r="AD118" i="7" a="1"/>
  <c r="AD118" i="7" s="1"/>
  <c r="AE111" i="7" a="1"/>
  <c r="AE111" i="7" s="1"/>
  <c r="AF110" i="7"/>
  <c r="AD97" i="7" a="1"/>
  <c r="AD97" i="7" s="1"/>
  <c r="AD63" i="6" a="1"/>
  <c r="AD63" i="6" s="1"/>
  <c r="AE62" i="6"/>
  <c r="AD71" i="7" a="1"/>
  <c r="AD71" i="7" s="1"/>
  <c r="AE67" i="5"/>
  <c r="AD112" i="7" a="1"/>
  <c r="AD112" i="7" s="1"/>
  <c r="AF101" i="5" a="1"/>
  <c r="AF101" i="5" s="1"/>
  <c r="AD68" i="7" a="1"/>
  <c r="AD68" i="7" s="1"/>
  <c r="AF103" i="5" a="1"/>
  <c r="AF103" i="5" s="1"/>
  <c r="AH106" i="5"/>
  <c r="AD77" i="7" a="1"/>
  <c r="AD77" i="7" s="1"/>
  <c r="AC29" i="7"/>
  <c r="AC27" i="7"/>
  <c r="AC25" i="7"/>
  <c r="AC24" i="7"/>
  <c r="AC23" i="7"/>
  <c r="AC30" i="7"/>
  <c r="AC28" i="7"/>
  <c r="AC26" i="7"/>
  <c r="AD74" i="7" a="1"/>
  <c r="AD74" i="7" s="1"/>
  <c r="AF118" i="5" a="1"/>
  <c r="AF118" i="5" s="1"/>
  <c r="AF116" i="5" a="1"/>
  <c r="AF116" i="5" s="1"/>
  <c r="AF119" i="5" a="1"/>
  <c r="AF119" i="5" s="1"/>
  <c r="AG115" i="5"/>
  <c r="AF117" i="5" a="1"/>
  <c r="AF117" i="5" s="1"/>
  <c r="AH85" i="5"/>
  <c r="AF110" i="5"/>
  <c r="AE112" i="5" a="1"/>
  <c r="AE112" i="5" s="1"/>
  <c r="AE111" i="5" a="1"/>
  <c r="AE111" i="5" s="1"/>
  <c r="AD91" i="7" a="1"/>
  <c r="AD91" i="7" s="1"/>
  <c r="AD79" i="7" a="1"/>
  <c r="AD79" i="7" s="1"/>
  <c r="AE6" i="9" a="1"/>
  <c r="AE6" i="9" s="1"/>
  <c r="AE12" i="9" a="1"/>
  <c r="AE12" i="9" s="1"/>
  <c r="AE9" i="9" a="1"/>
  <c r="AE9" i="9" s="1"/>
  <c r="AE5" i="9" a="1"/>
  <c r="AE5" i="9" s="1"/>
  <c r="AE7" i="9" a="1"/>
  <c r="AE7" i="9" s="1"/>
  <c r="AF4" i="9"/>
  <c r="AE13" i="9" a="1"/>
  <c r="AE13" i="9" s="1"/>
  <c r="AE10" i="9" a="1"/>
  <c r="AE10" i="9" s="1"/>
  <c r="AE8" i="9" a="1"/>
  <c r="AE8" i="9" s="1"/>
  <c r="AE11" i="9" a="1"/>
  <c r="AE11" i="9" s="1"/>
  <c r="AE63" i="9" a="1"/>
  <c r="AE63" i="9" s="1"/>
  <c r="AG48" i="5"/>
  <c r="AG87" i="5" s="1" a="1"/>
  <c r="AG87" i="5" s="1"/>
  <c r="AF2" i="5" a="1"/>
  <c r="AD82" i="9" a="1"/>
  <c r="AD82" i="9" s="1"/>
  <c r="AD72" i="9" a="1"/>
  <c r="AD72" i="9" s="1"/>
  <c r="AD81" i="9" a="1"/>
  <c r="AD81" i="9" s="1"/>
  <c r="AD75" i="9" a="1"/>
  <c r="AD75" i="9" s="1"/>
  <c r="AD80" i="9" a="1"/>
  <c r="AD80" i="9" s="1"/>
  <c r="AD73" i="9" a="1"/>
  <c r="AD73" i="9" s="1"/>
  <c r="AD74" i="9" a="1"/>
  <c r="AD74" i="9" s="1"/>
  <c r="AE71" i="9"/>
  <c r="AF88" i="5" a="1"/>
  <c r="AF88" i="5" s="1"/>
  <c r="AC8" i="7"/>
  <c r="AC7" i="7"/>
  <c r="AC5" i="7"/>
  <c r="AC4" i="7"/>
  <c r="AC3" i="7"/>
  <c r="AC6" i="7"/>
  <c r="AC9" i="7"/>
  <c r="AC2" i="7"/>
  <c r="AE98" i="7" a="1"/>
  <c r="AE98" i="7" s="1"/>
  <c r="AF85" i="7"/>
  <c r="AE95" i="7" a="1"/>
  <c r="AE95" i="7" s="1"/>
  <c r="AE88" i="7" a="1"/>
  <c r="AE88" i="7" s="1"/>
  <c r="AE103" i="7" a="1"/>
  <c r="AE103" i="7" s="1"/>
  <c r="AE99" i="7" a="1"/>
  <c r="AE99" i="7" s="1"/>
  <c r="AD95" i="7" a="1"/>
  <c r="AD95" i="7" s="1"/>
  <c r="AD57" i="9" a="1"/>
  <c r="AD57" i="9" s="1"/>
  <c r="AD53" i="9" a="1"/>
  <c r="AD53" i="9" s="1"/>
  <c r="AD47" i="9" a="1"/>
  <c r="AD47" i="9" s="1"/>
  <c r="AD44" i="9" a="1"/>
  <c r="AD44" i="9" s="1"/>
  <c r="AD54" i="9" a="1"/>
  <c r="AD54" i="9" s="1"/>
  <c r="AD43" i="9" a="1"/>
  <c r="AD43" i="9" s="1"/>
  <c r="AE41" i="9"/>
  <c r="AD49" i="9" a="1"/>
  <c r="AD49" i="9" s="1"/>
  <c r="AD55" i="9" a="1"/>
  <c r="AD55" i="9" s="1"/>
  <c r="AD51" i="9" a="1"/>
  <c r="AD51" i="9" s="1"/>
  <c r="AD58" i="9" a="1"/>
  <c r="AD58" i="9" s="1"/>
  <c r="AD50" i="9" a="1"/>
  <c r="AD50" i="9" s="1"/>
  <c r="AD59" i="9" a="1"/>
  <c r="AD59" i="9" s="1"/>
  <c r="AD46" i="9" a="1"/>
  <c r="AD46" i="9" s="1"/>
  <c r="AD45" i="9" a="1"/>
  <c r="AD45" i="9" s="1"/>
  <c r="AD48" i="9" a="1"/>
  <c r="AD48" i="9" s="1"/>
  <c r="AE60" i="5"/>
  <c r="AE74" i="6" a="1"/>
  <c r="AE74" i="6" s="1"/>
  <c r="AE73" i="6" a="1"/>
  <c r="AE73" i="6" s="1"/>
  <c r="AE80" i="6" a="1"/>
  <c r="AE80" i="6" s="1"/>
  <c r="AF71" i="6"/>
  <c r="AE82" i="6" a="1"/>
  <c r="AE82" i="6" s="1"/>
  <c r="AE81" i="6" a="1"/>
  <c r="AE81" i="6" s="1"/>
  <c r="AE75" i="6" a="1"/>
  <c r="AE75" i="6" s="1"/>
  <c r="AF97" i="5" a="1"/>
  <c r="AF97" i="5" s="1"/>
  <c r="AE74" i="7" a="1"/>
  <c r="AE74" i="7" s="1"/>
  <c r="AE81" i="7" a="1"/>
  <c r="AE81" i="7" s="1"/>
  <c r="AF67" i="7"/>
  <c r="AE79" i="7" a="1"/>
  <c r="AE79" i="7" s="1"/>
  <c r="AE75" i="7" a="1"/>
  <c r="AE75" i="7" s="1"/>
  <c r="AE4" i="5"/>
  <c r="AE6" i="5"/>
  <c r="AE9" i="5"/>
  <c r="AE8" i="5"/>
  <c r="AE5" i="5"/>
  <c r="AE7" i="5"/>
  <c r="AE3" i="5"/>
  <c r="AE2" i="5"/>
  <c r="AD56" i="7" a="1"/>
  <c r="AD56" i="7" s="1"/>
  <c r="AD55" i="7" a="1"/>
  <c r="AD55" i="7" s="1"/>
  <c r="AD53" i="7" a="1"/>
  <c r="AD53" i="7" s="1"/>
  <c r="AE48" i="7"/>
  <c r="AE70" i="7" s="1" a="1"/>
  <c r="AE70" i="7" s="1"/>
  <c r="AD54" i="7" a="1"/>
  <c r="AD54" i="7" s="1"/>
  <c r="AD50" i="7" a="1"/>
  <c r="AD50" i="7" s="1"/>
  <c r="AD51" i="7" a="1"/>
  <c r="AD51" i="7" s="1"/>
  <c r="AD57" i="7" a="1"/>
  <c r="AD57" i="7" s="1"/>
  <c r="AD23" i="7" a="1"/>
  <c r="AD52" i="7" a="1"/>
  <c r="AD52" i="7" s="1"/>
  <c r="AD2" i="7" a="1"/>
  <c r="AD49" i="7" a="1"/>
  <c r="AD49" i="7" s="1"/>
  <c r="AD107" i="7" a="1"/>
  <c r="AD107" i="7" s="1"/>
  <c r="AD80" i="7" a="1"/>
  <c r="AD80" i="7" s="1"/>
  <c r="AF89" i="5" a="1"/>
  <c r="AF89" i="5" s="1"/>
  <c r="AD64" i="7" a="1"/>
  <c r="AD64" i="7" s="1"/>
  <c r="AD63" i="7" a="1"/>
  <c r="AD63" i="7" s="1"/>
  <c r="AE60" i="7"/>
  <c r="AD61" i="7" a="1"/>
  <c r="AD61" i="7" s="1"/>
  <c r="AD62" i="7" a="1"/>
  <c r="AD62" i="7" s="1"/>
  <c r="AE11" i="6" a="1"/>
  <c r="AE11" i="6" s="1"/>
  <c r="AE10" i="6" a="1"/>
  <c r="AE10" i="6" s="1"/>
  <c r="AE18" i="6" a="1"/>
  <c r="AE18" i="6" s="1"/>
  <c r="AE7" i="6" a="1"/>
  <c r="AE7" i="6" s="1"/>
  <c r="AE5" i="6" a="1"/>
  <c r="AE5" i="6" s="1"/>
  <c r="AF4" i="6"/>
  <c r="AE9" i="6" a="1"/>
  <c r="AE9" i="6" s="1"/>
  <c r="AE20" i="6" a="1"/>
  <c r="AE20" i="6" s="1"/>
  <c r="AE13" i="6" a="1"/>
  <c r="AE13" i="6" s="1"/>
  <c r="AE6" i="6" a="1"/>
  <c r="AE6" i="6" s="1"/>
  <c r="AE12" i="6" a="1"/>
  <c r="AE12" i="6" s="1"/>
  <c r="AE8" i="6" a="1"/>
  <c r="AE8" i="6" s="1"/>
  <c r="AE19" i="6" a="1"/>
  <c r="AE19" i="6" s="1"/>
  <c r="AD81" i="7" a="1"/>
  <c r="AD81" i="7" s="1"/>
  <c r="AF98" i="5" a="1"/>
  <c r="AF98" i="5" s="1"/>
  <c r="AD57" i="6" a="1"/>
  <c r="AD57" i="6" s="1"/>
  <c r="AD59" i="6" a="1"/>
  <c r="AD59" i="6" s="1"/>
  <c r="AD54" i="6" a="1"/>
  <c r="AD54" i="6" s="1"/>
  <c r="AD43" i="6" a="1"/>
  <c r="AD43" i="6" s="1"/>
  <c r="AD58" i="6" a="1"/>
  <c r="AD58" i="6" s="1"/>
  <c r="AD53" i="6" a="1"/>
  <c r="AD53" i="6" s="1"/>
  <c r="AD51" i="6" a="1"/>
  <c r="AD51" i="6" s="1"/>
  <c r="AD46" i="6" a="1"/>
  <c r="AD46" i="6" s="1"/>
  <c r="AE41" i="6"/>
  <c r="AD50" i="6" a="1"/>
  <c r="AD50" i="6" s="1"/>
  <c r="AD44" i="6" a="1"/>
  <c r="AD44" i="6" s="1"/>
  <c r="AD55" i="6" a="1"/>
  <c r="AD55" i="6" s="1"/>
  <c r="AD45" i="6" a="1"/>
  <c r="AD45" i="6" s="1"/>
  <c r="AD47" i="6" a="1"/>
  <c r="AD47" i="6" s="1"/>
  <c r="AD49" i="6" a="1"/>
  <c r="AD49" i="6" s="1"/>
  <c r="AD48" i="6" a="1"/>
  <c r="AD48" i="6" s="1"/>
  <c r="AD82" i="7" a="1"/>
  <c r="AD82" i="7" s="1"/>
  <c r="AE36" i="6" a="1"/>
  <c r="AE36" i="6" s="1"/>
  <c r="AE35" i="6" a="1"/>
  <c r="AE35" i="6" s="1"/>
  <c r="AE38" i="6" a="1"/>
  <c r="AE38" i="6" s="1"/>
  <c r="AF23" i="6"/>
  <c r="AE37" i="6" a="1"/>
  <c r="AE37" i="6" s="1"/>
  <c r="AF90" i="5" a="1"/>
  <c r="AF90" i="5" s="1"/>
  <c r="CY97" i="5" l="1" a="1"/>
  <c r="CY97" i="5" s="1"/>
  <c r="BO87" i="5" a="1"/>
  <c r="BO87" i="5" s="1"/>
  <c r="CY95" i="5" a="1"/>
  <c r="CY95" i="5" s="1"/>
  <c r="BO93" i="5" a="1"/>
  <c r="BO93" i="5" s="1"/>
  <c r="CY88" i="5" a="1"/>
  <c r="CY88" i="5" s="1"/>
  <c r="CY94" i="5" a="1"/>
  <c r="CY94" i="5" s="1"/>
  <c r="CY90" i="5" a="1"/>
  <c r="CY90" i="5" s="1"/>
  <c r="CY92" i="5" a="1"/>
  <c r="CY92" i="5" s="1"/>
  <c r="CZ95" i="5" a="1"/>
  <c r="CZ95" i="5" s="1"/>
  <c r="CZ92" i="5" a="1"/>
  <c r="CZ92" i="5" s="1"/>
  <c r="CZ94" i="5" a="1"/>
  <c r="CZ94" i="5" s="1"/>
  <c r="CZ91" i="5" a="1"/>
  <c r="CZ91" i="5" s="1"/>
  <c r="CZ88" i="5" a="1"/>
  <c r="CZ88" i="5" s="1"/>
  <c r="DA85" i="5"/>
  <c r="CZ89" i="5" a="1"/>
  <c r="CZ89" i="5" s="1"/>
  <c r="CY93" i="5" a="1"/>
  <c r="CY93" i="5" s="1"/>
  <c r="CY102" i="5" a="1"/>
  <c r="CY102" i="5" s="1"/>
  <c r="CZ110" i="5"/>
  <c r="CZ60" i="5"/>
  <c r="CY103" i="5" a="1"/>
  <c r="CY103" i="5" s="1"/>
  <c r="CZ115" i="5"/>
  <c r="DA67" i="5"/>
  <c r="CX6" i="5"/>
  <c r="CX4" i="5"/>
  <c r="CX9" i="5"/>
  <c r="CX8" i="5"/>
  <c r="CX5" i="5"/>
  <c r="CX7" i="5"/>
  <c r="CX3" i="5"/>
  <c r="CX2" i="5"/>
  <c r="CZ48" i="5"/>
  <c r="CZ87" i="5" s="1" a="1"/>
  <c r="CZ87" i="5" s="1"/>
  <c r="CY2" i="5" a="1"/>
  <c r="CY107" i="5" a="1"/>
  <c r="CY107" i="5" s="1"/>
  <c r="CY91" i="5" a="1"/>
  <c r="CY91" i="5" s="1"/>
  <c r="BO97" i="5" a="1"/>
  <c r="BO97" i="5" s="1"/>
  <c r="BO119" i="5" a="1"/>
  <c r="BO119" i="5" s="1"/>
  <c r="BO116" i="5" a="1"/>
  <c r="BO116" i="5" s="1"/>
  <c r="BP115" i="5"/>
  <c r="BO118" i="5" a="1"/>
  <c r="BO118" i="5" s="1"/>
  <c r="BO117" i="5" a="1"/>
  <c r="BO117" i="5" s="1"/>
  <c r="BO98" i="5" a="1"/>
  <c r="BO98" i="5" s="1"/>
  <c r="BP99" i="5" a="1"/>
  <c r="BP99" i="5" s="1"/>
  <c r="BP90" i="5" a="1"/>
  <c r="BP90" i="5" s="1"/>
  <c r="BP91" i="5" a="1"/>
  <c r="BP91" i="5" s="1"/>
  <c r="BP103" i="5" a="1"/>
  <c r="BP103" i="5" s="1"/>
  <c r="BP89" i="5" a="1"/>
  <c r="BP89" i="5" s="1"/>
  <c r="BQ85" i="5"/>
  <c r="BP94" i="5" a="1"/>
  <c r="BP94" i="5" s="1"/>
  <c r="BP102" i="5" a="1"/>
  <c r="BP102" i="5" s="1"/>
  <c r="BO112" i="5" a="1"/>
  <c r="BO112" i="5" s="1"/>
  <c r="BP110" i="5"/>
  <c r="BO111" i="5" a="1"/>
  <c r="BO111" i="5" s="1"/>
  <c r="BO88" i="5" a="1"/>
  <c r="BO88" i="5" s="1"/>
  <c r="BP60" i="5"/>
  <c r="BO2" i="5" a="1"/>
  <c r="BP48" i="5"/>
  <c r="BP88" i="5" s="1" a="1"/>
  <c r="BP88" i="5" s="1"/>
  <c r="BO102" i="5" a="1"/>
  <c r="BO102" i="5" s="1"/>
  <c r="BN6" i="5"/>
  <c r="BN5" i="5"/>
  <c r="BN4" i="5"/>
  <c r="BN3" i="5"/>
  <c r="BN2" i="5"/>
  <c r="BN9" i="5"/>
  <c r="BN8" i="5"/>
  <c r="BN7" i="5"/>
  <c r="BP67" i="5"/>
  <c r="BO107" i="5" a="1"/>
  <c r="BO107" i="5" s="1"/>
  <c r="BP106" i="5"/>
  <c r="BO91" i="5" a="1"/>
  <c r="BO91" i="5" s="1"/>
  <c r="BO101" i="5" a="1"/>
  <c r="BO101" i="5" s="1"/>
  <c r="AG91" i="5" a="1"/>
  <c r="AG91" i="5" s="1"/>
  <c r="AG107" i="5" a="1"/>
  <c r="AG107" i="5" s="1"/>
  <c r="AG101" i="5" a="1"/>
  <c r="AG101" i="5" s="1"/>
  <c r="AG89" i="5" a="1"/>
  <c r="AG89" i="5" s="1"/>
  <c r="AG98" i="5" a="1"/>
  <c r="AG98" i="5" s="1"/>
  <c r="AG102" i="5" a="1"/>
  <c r="AG102" i="5" s="1"/>
  <c r="AG103" i="5" a="1"/>
  <c r="AG103" i="5" s="1"/>
  <c r="AE112" i="7" a="1"/>
  <c r="AE112" i="7" s="1"/>
  <c r="AF37" i="6" a="1"/>
  <c r="AF37" i="6" s="1"/>
  <c r="AF38" i="6" a="1"/>
  <c r="AF38" i="6" s="1"/>
  <c r="AF36" i="6" a="1"/>
  <c r="AF36" i="6" s="1"/>
  <c r="AF35" i="6" a="1"/>
  <c r="AF35" i="6" s="1"/>
  <c r="AG23" i="6"/>
  <c r="AE76" i="7" a="1"/>
  <c r="AE76" i="7" s="1"/>
  <c r="AE87" i="7" a="1"/>
  <c r="AE87" i="7" s="1"/>
  <c r="AF11" i="9" a="1"/>
  <c r="AF11" i="9" s="1"/>
  <c r="AF6" i="9" a="1"/>
  <c r="AF6" i="9" s="1"/>
  <c r="AF12" i="9" a="1"/>
  <c r="AF12" i="9" s="1"/>
  <c r="AF9" i="9" a="1"/>
  <c r="AF9" i="9" s="1"/>
  <c r="AF7" i="9" a="1"/>
  <c r="AF7" i="9" s="1"/>
  <c r="AG4" i="9"/>
  <c r="AF13" i="9" a="1"/>
  <c r="AF13" i="9" s="1"/>
  <c r="AF8" i="9" a="1"/>
  <c r="AF8" i="9" s="1"/>
  <c r="AF5" i="9" a="1"/>
  <c r="AF5" i="9" s="1"/>
  <c r="AF10" i="9" a="1"/>
  <c r="AF10" i="9" s="1"/>
  <c r="AF63" i="9" a="1"/>
  <c r="AF63" i="9" s="1"/>
  <c r="AG92" i="5" a="1"/>
  <c r="AG92" i="5" s="1"/>
  <c r="AF9" i="6" a="1"/>
  <c r="AF9" i="6" s="1"/>
  <c r="AF19" i="6" a="1"/>
  <c r="AF19" i="6" s="1"/>
  <c r="AF6" i="6" a="1"/>
  <c r="AF6" i="6" s="1"/>
  <c r="AG4" i="6"/>
  <c r="AF13" i="6" a="1"/>
  <c r="AF13" i="6" s="1"/>
  <c r="AF5" i="6" a="1"/>
  <c r="AF5" i="6" s="1"/>
  <c r="AF20" i="6" a="1"/>
  <c r="AF20" i="6" s="1"/>
  <c r="AF12" i="6" a="1"/>
  <c r="AF12" i="6" s="1"/>
  <c r="AF8" i="6" a="1"/>
  <c r="AF8" i="6" s="1"/>
  <c r="AF10" i="6" a="1"/>
  <c r="AF10" i="6" s="1"/>
  <c r="AF7" i="6" a="1"/>
  <c r="AF7" i="6" s="1"/>
  <c r="AF11" i="6" a="1"/>
  <c r="AF11" i="6" s="1"/>
  <c r="AF18" i="6" a="1"/>
  <c r="AF18" i="6" s="1"/>
  <c r="AF17" i="6" a="1"/>
  <c r="AF17" i="6" s="1"/>
  <c r="AD25" i="7"/>
  <c r="AD30" i="7"/>
  <c r="AD29" i="7"/>
  <c r="AD28" i="7"/>
  <c r="AD27" i="7"/>
  <c r="AD26" i="7"/>
  <c r="AD24" i="7"/>
  <c r="AD23" i="7"/>
  <c r="AE82" i="7" a="1"/>
  <c r="AE82" i="7" s="1"/>
  <c r="AE92" i="7" a="1"/>
  <c r="AE92" i="7" s="1"/>
  <c r="AE78" i="7" a="1"/>
  <c r="AE78" i="7" s="1"/>
  <c r="AE91" i="7" a="1"/>
  <c r="AE91" i="7" s="1"/>
  <c r="AG93" i="5" a="1"/>
  <c r="AG93" i="5" s="1"/>
  <c r="AE119" i="7" a="1"/>
  <c r="AE119" i="7" s="1"/>
  <c r="AE116" i="7" a="1"/>
  <c r="AE116" i="7" s="1"/>
  <c r="AE117" i="7" a="1"/>
  <c r="AE117" i="7" s="1"/>
  <c r="AE118" i="7" a="1"/>
  <c r="AE118" i="7" s="1"/>
  <c r="AF115" i="7"/>
  <c r="AE62" i="7" a="1"/>
  <c r="AE62" i="7" s="1"/>
  <c r="AE63" i="7" a="1"/>
  <c r="AE63" i="7" s="1"/>
  <c r="AE61" i="7" a="1"/>
  <c r="AE61" i="7" s="1"/>
  <c r="AF60" i="7"/>
  <c r="AE64" i="7" a="1"/>
  <c r="AE64" i="7" s="1"/>
  <c r="AE69" i="7" a="1"/>
  <c r="AE69" i="7" s="1"/>
  <c r="AE55" i="9" a="1"/>
  <c r="AE55" i="9" s="1"/>
  <c r="AE51" i="9" a="1"/>
  <c r="AE51" i="9" s="1"/>
  <c r="AE58" i="9" a="1"/>
  <c r="AE58" i="9" s="1"/>
  <c r="AE44" i="9" a="1"/>
  <c r="AE44" i="9" s="1"/>
  <c r="AE57" i="9" a="1"/>
  <c r="AE57" i="9" s="1"/>
  <c r="AE53" i="9" a="1"/>
  <c r="AE53" i="9" s="1"/>
  <c r="AE49" i="9" a="1"/>
  <c r="AE49" i="9" s="1"/>
  <c r="AE46" i="9" a="1"/>
  <c r="AE46" i="9" s="1"/>
  <c r="AE54" i="9" a="1"/>
  <c r="AE54" i="9" s="1"/>
  <c r="AE43" i="9" a="1"/>
  <c r="AE43" i="9" s="1"/>
  <c r="AF41" i="9"/>
  <c r="AE50" i="9" a="1"/>
  <c r="AE50" i="9" s="1"/>
  <c r="AE47" i="9" a="1"/>
  <c r="AE47" i="9" s="1"/>
  <c r="AE45" i="9" a="1"/>
  <c r="AE45" i="9" s="1"/>
  <c r="AE59" i="9" a="1"/>
  <c r="AE59" i="9" s="1"/>
  <c r="AE48" i="9" a="1"/>
  <c r="AE48" i="9" s="1"/>
  <c r="AE94" i="7" a="1"/>
  <c r="AE94" i="7" s="1"/>
  <c r="AG94" i="5" a="1"/>
  <c r="AG94" i="5" s="1"/>
  <c r="AG110" i="7"/>
  <c r="AG85" i="7"/>
  <c r="AF99" i="7" a="1"/>
  <c r="AF99" i="7" s="1"/>
  <c r="AE81" i="9" a="1"/>
  <c r="AE81" i="9" s="1"/>
  <c r="AE75" i="9" a="1"/>
  <c r="AE75" i="9" s="1"/>
  <c r="AE74" i="9" a="1"/>
  <c r="AE74" i="9" s="1"/>
  <c r="AE80" i="9" a="1"/>
  <c r="AE80" i="9" s="1"/>
  <c r="AE82" i="9" a="1"/>
  <c r="AE82" i="9" s="1"/>
  <c r="AE73" i="9" a="1"/>
  <c r="AE73" i="9" s="1"/>
  <c r="AE72" i="9" a="1"/>
  <c r="AE72" i="9" s="1"/>
  <c r="AF71" i="9"/>
  <c r="AE55" i="7" a="1"/>
  <c r="AE55" i="7" s="1"/>
  <c r="AE54" i="7" a="1"/>
  <c r="AE54" i="7" s="1"/>
  <c r="AF48" i="7"/>
  <c r="AF90" i="7" s="1" a="1"/>
  <c r="AF90" i="7" s="1"/>
  <c r="AE23" i="7" a="1"/>
  <c r="AE51" i="7" a="1"/>
  <c r="AE51" i="7" s="1"/>
  <c r="AE56" i="7" a="1"/>
  <c r="AE56" i="7" s="1"/>
  <c r="AE49" i="7" a="1"/>
  <c r="AE49" i="7" s="1"/>
  <c r="AE2" i="7" a="1"/>
  <c r="AE50" i="7" a="1"/>
  <c r="AE50" i="7" s="1"/>
  <c r="AE53" i="7" a="1"/>
  <c r="AE53" i="7" s="1"/>
  <c r="AE52" i="7" a="1"/>
  <c r="AE52" i="7" s="1"/>
  <c r="AE57" i="7" a="1"/>
  <c r="AE57" i="7" s="1"/>
  <c r="AE107" i="7" a="1"/>
  <c r="AE107" i="7" s="1"/>
  <c r="AH48" i="5"/>
  <c r="AH93" i="5" s="1" a="1"/>
  <c r="AH93" i="5" s="1"/>
  <c r="AG2" i="5" a="1"/>
  <c r="AE77" i="7" a="1"/>
  <c r="AE77" i="7" s="1"/>
  <c r="AE90" i="7" a="1"/>
  <c r="AE90" i="7" s="1"/>
  <c r="AG95" i="5" a="1"/>
  <c r="AG95" i="5" s="1"/>
  <c r="AG117" i="5" a="1"/>
  <c r="AG117" i="5" s="1"/>
  <c r="AG116" i="5" a="1"/>
  <c r="AG116" i="5" s="1"/>
  <c r="AG118" i="5" a="1"/>
  <c r="AG118" i="5" s="1"/>
  <c r="AH115" i="5"/>
  <c r="AG119" i="5" a="1"/>
  <c r="AG119" i="5" s="1"/>
  <c r="AI106" i="5"/>
  <c r="AF6" i="5"/>
  <c r="AF5" i="5"/>
  <c r="AF2" i="5"/>
  <c r="AF4" i="5"/>
  <c r="AF3" i="5"/>
  <c r="AF8" i="5"/>
  <c r="AF7" i="5"/>
  <c r="AF9" i="5"/>
  <c r="AE68" i="7" a="1"/>
  <c r="AE68" i="7" s="1"/>
  <c r="AE71" i="7" a="1"/>
  <c r="AE71" i="7" s="1"/>
  <c r="AE93" i="7" a="1"/>
  <c r="AE93" i="7" s="1"/>
  <c r="AI85" i="5"/>
  <c r="AF73" i="6" a="1"/>
  <c r="AF73" i="6" s="1"/>
  <c r="AG71" i="6"/>
  <c r="AF82" i="6" a="1"/>
  <c r="AF82" i="6" s="1"/>
  <c r="AF81" i="6" a="1"/>
  <c r="AF81" i="6" s="1"/>
  <c r="AF74" i="6" a="1"/>
  <c r="AF74" i="6" s="1"/>
  <c r="AF80" i="6" a="1"/>
  <c r="AF80" i="6" s="1"/>
  <c r="AF75" i="6" a="1"/>
  <c r="AF75" i="6" s="1"/>
  <c r="AF67" i="5"/>
  <c r="AE72" i="7" a="1"/>
  <c r="AE72" i="7" s="1"/>
  <c r="AF60" i="5"/>
  <c r="AE102" i="7" a="1"/>
  <c r="AE102" i="7" s="1"/>
  <c r="AG88" i="5" a="1"/>
  <c r="AG88" i="5" s="1"/>
  <c r="AE63" i="6" a="1"/>
  <c r="AE63" i="6" s="1"/>
  <c r="AF62" i="6"/>
  <c r="AD4" i="7"/>
  <c r="AD9" i="7"/>
  <c r="AD8" i="7"/>
  <c r="AD7" i="7"/>
  <c r="AD6" i="7"/>
  <c r="AD5" i="7"/>
  <c r="AD3" i="7"/>
  <c r="AD2" i="7"/>
  <c r="AF79" i="7" a="1"/>
  <c r="AF79" i="7" s="1"/>
  <c r="AF75" i="7" a="1"/>
  <c r="AF75" i="7" s="1"/>
  <c r="AG67" i="7"/>
  <c r="AG90" i="5" a="1"/>
  <c r="AG90" i="5" s="1"/>
  <c r="AE67" i="9" a="1"/>
  <c r="AE67" i="9" s="1"/>
  <c r="AE68" i="9" a="1"/>
  <c r="AE68" i="9" s="1"/>
  <c r="AF66" i="9"/>
  <c r="AE73" i="7" a="1"/>
  <c r="AE73" i="7" s="1"/>
  <c r="AE89" i="7" a="1"/>
  <c r="AE89" i="7" s="1"/>
  <c r="AG110" i="5"/>
  <c r="AF111" i="5" a="1"/>
  <c r="AF111" i="5" s="1"/>
  <c r="AF112" i="5" a="1"/>
  <c r="AF112" i="5" s="1"/>
  <c r="AG97" i="5" a="1"/>
  <c r="AG97" i="5" s="1"/>
  <c r="AE35" i="9" a="1"/>
  <c r="AE35" i="9" s="1"/>
  <c r="AE37" i="9" a="1"/>
  <c r="AE37" i="9" s="1"/>
  <c r="AF23" i="9"/>
  <c r="AE36" i="9" a="1"/>
  <c r="AE36" i="9" s="1"/>
  <c r="AE38" i="9" a="1"/>
  <c r="AE38" i="9" s="1"/>
  <c r="AE101" i="7" a="1"/>
  <c r="AE101" i="7" s="1"/>
  <c r="AE55" i="6" a="1"/>
  <c r="AE55" i="6" s="1"/>
  <c r="AF41" i="6"/>
  <c r="AE53" i="6" a="1"/>
  <c r="AE53" i="6" s="1"/>
  <c r="AE58" i="6" a="1"/>
  <c r="AE58" i="6" s="1"/>
  <c r="AE51" i="6" a="1"/>
  <c r="AE51" i="6" s="1"/>
  <c r="AE46" i="6" a="1"/>
  <c r="AE46" i="6" s="1"/>
  <c r="AE50" i="6" a="1"/>
  <c r="AE50" i="6" s="1"/>
  <c r="AE44" i="6" a="1"/>
  <c r="AE44" i="6" s="1"/>
  <c r="AE54" i="6" a="1"/>
  <c r="AE54" i="6" s="1"/>
  <c r="AE49" i="6" a="1"/>
  <c r="AE49" i="6" s="1"/>
  <c r="AE48" i="6" a="1"/>
  <c r="AE48" i="6" s="1"/>
  <c r="AE45" i="6" a="1"/>
  <c r="AE45" i="6" s="1"/>
  <c r="AE59" i="6" a="1"/>
  <c r="AE59" i="6" s="1"/>
  <c r="AE43" i="6" a="1"/>
  <c r="AE43" i="6" s="1"/>
  <c r="AE47" i="6" a="1"/>
  <c r="AE47" i="6" s="1"/>
  <c r="AE57" i="6" a="1"/>
  <c r="AE57" i="6" s="1"/>
  <c r="AE80" i="7" a="1"/>
  <c r="AE80" i="7" s="1"/>
  <c r="AE97" i="7" a="1"/>
  <c r="AE97" i="7" s="1"/>
  <c r="AG99" i="5" a="1"/>
  <c r="AG99" i="5" s="1"/>
  <c r="CZ101" i="5" l="1" a="1"/>
  <c r="CZ101" i="5" s="1"/>
  <c r="BP87" i="5" a="1"/>
  <c r="BP87" i="5" s="1"/>
  <c r="DA115" i="5"/>
  <c r="CZ2" i="5" a="1"/>
  <c r="DA48" i="5"/>
  <c r="DA99" i="5" s="1" a="1"/>
  <c r="DA99" i="5" s="1"/>
  <c r="CZ107" i="5" a="1"/>
  <c r="CZ107" i="5" s="1"/>
  <c r="CZ103" i="5" a="1"/>
  <c r="CZ103" i="5" s="1"/>
  <c r="CZ93" i="5" a="1"/>
  <c r="CZ93" i="5" s="1"/>
  <c r="DB67" i="5"/>
  <c r="DA110" i="5"/>
  <c r="CZ102" i="5" a="1"/>
  <c r="CZ102" i="5" s="1"/>
  <c r="CZ98" i="5" a="1"/>
  <c r="CZ98" i="5" s="1"/>
  <c r="DB85" i="5"/>
  <c r="CZ90" i="5" a="1"/>
  <c r="CZ90" i="5" s="1"/>
  <c r="CY5" i="5"/>
  <c r="CY6" i="5"/>
  <c r="CY2" i="5"/>
  <c r="CY4" i="5"/>
  <c r="CY9" i="5"/>
  <c r="CY3" i="5"/>
  <c r="CY8" i="5"/>
  <c r="CY7" i="5"/>
  <c r="DA60" i="5"/>
  <c r="CZ99" i="5" a="1"/>
  <c r="CZ99" i="5" s="1"/>
  <c r="CZ97" i="5" a="1"/>
  <c r="CZ97" i="5" s="1"/>
  <c r="BQ60" i="5"/>
  <c r="BP101" i="5" a="1"/>
  <c r="BP101" i="5" s="1"/>
  <c r="BQ106" i="5"/>
  <c r="BP107" i="5" a="1"/>
  <c r="BP107" i="5" s="1"/>
  <c r="BP2" i="5" a="1"/>
  <c r="BQ48" i="5"/>
  <c r="BP93" i="5" a="1"/>
  <c r="BP93" i="5" s="1"/>
  <c r="BQ98" i="5" a="1"/>
  <c r="BQ98" i="5" s="1"/>
  <c r="BQ97" i="5" a="1"/>
  <c r="BQ97" i="5" s="1"/>
  <c r="BQ101" i="5" a="1"/>
  <c r="BQ101" i="5" s="1"/>
  <c r="BQ103" i="5" a="1"/>
  <c r="BQ103" i="5" s="1"/>
  <c r="BQ91" i="5" a="1"/>
  <c r="BQ91" i="5" s="1"/>
  <c r="BQ89" i="5" a="1"/>
  <c r="BQ89" i="5" s="1"/>
  <c r="BQ88" i="5" a="1"/>
  <c r="BQ88" i="5" s="1"/>
  <c r="BR85" i="5"/>
  <c r="BQ95" i="5" a="1"/>
  <c r="BQ95" i="5" s="1"/>
  <c r="BQ87" i="5" a="1"/>
  <c r="BQ87" i="5" s="1"/>
  <c r="BQ94" i="5" a="1"/>
  <c r="BQ94" i="5" s="1"/>
  <c r="BQ99" i="5" a="1"/>
  <c r="BQ99" i="5" s="1"/>
  <c r="BQ102" i="5" a="1"/>
  <c r="BQ102" i="5" s="1"/>
  <c r="BQ93" i="5" a="1"/>
  <c r="BQ93" i="5" s="1"/>
  <c r="BQ92" i="5" a="1"/>
  <c r="BQ92" i="5" s="1"/>
  <c r="BP95" i="5" a="1"/>
  <c r="BP95" i="5" s="1"/>
  <c r="BP119" i="5" a="1"/>
  <c r="BP119" i="5" s="1"/>
  <c r="BP116" i="5" a="1"/>
  <c r="BP116" i="5" s="1"/>
  <c r="BQ115" i="5"/>
  <c r="BP118" i="5" a="1"/>
  <c r="BP118" i="5" s="1"/>
  <c r="BP117" i="5" a="1"/>
  <c r="BP117" i="5" s="1"/>
  <c r="BQ67" i="5"/>
  <c r="BP92" i="5" a="1"/>
  <c r="BP92" i="5" s="1"/>
  <c r="BO4" i="5"/>
  <c r="BO3" i="5"/>
  <c r="BO2" i="5"/>
  <c r="BO8" i="5"/>
  <c r="BO7" i="5"/>
  <c r="BO6" i="5"/>
  <c r="BO9" i="5"/>
  <c r="BO5" i="5"/>
  <c r="BP98" i="5" a="1"/>
  <c r="BP98" i="5" s="1"/>
  <c r="BP112" i="5" a="1"/>
  <c r="BP112" i="5" s="1"/>
  <c r="BQ110" i="5"/>
  <c r="BP111" i="5" a="1"/>
  <c r="BP111" i="5" s="1"/>
  <c r="BP97" i="5" a="1"/>
  <c r="BP97" i="5" s="1"/>
  <c r="AH99" i="5" a="1"/>
  <c r="AH99" i="5" s="1"/>
  <c r="AH87" i="5" a="1"/>
  <c r="AH87" i="5" s="1"/>
  <c r="AH95" i="5" a="1"/>
  <c r="AH95" i="5" s="1"/>
  <c r="AH97" i="5" a="1"/>
  <c r="AH97" i="5" s="1"/>
  <c r="AG75" i="6" a="1"/>
  <c r="AG75" i="6" s="1"/>
  <c r="AG82" i="6" a="1"/>
  <c r="AG82" i="6" s="1"/>
  <c r="AG81" i="6" a="1"/>
  <c r="AG81" i="6" s="1"/>
  <c r="AG80" i="6" a="1"/>
  <c r="AG80" i="6" s="1"/>
  <c r="AH71" i="6"/>
  <c r="AG74" i="6" a="1"/>
  <c r="AG74" i="6" s="1"/>
  <c r="AG73" i="6" a="1"/>
  <c r="AG73" i="6" s="1"/>
  <c r="AG8" i="5"/>
  <c r="AG9" i="5"/>
  <c r="AG5" i="5"/>
  <c r="AG4" i="5"/>
  <c r="AG3" i="5"/>
  <c r="AG2" i="5"/>
  <c r="AG6" i="5"/>
  <c r="AG7" i="5"/>
  <c r="AG10" i="9" a="1"/>
  <c r="AG10" i="9" s="1"/>
  <c r="AG6" i="9" a="1"/>
  <c r="AG6" i="9" s="1"/>
  <c r="AG12" i="9" a="1"/>
  <c r="AG12" i="9" s="1"/>
  <c r="AG9" i="9" a="1"/>
  <c r="AG9" i="9" s="1"/>
  <c r="AG7" i="9" a="1"/>
  <c r="AG7" i="9" s="1"/>
  <c r="AH4" i="9"/>
  <c r="AG13" i="9" a="1"/>
  <c r="AG13" i="9" s="1"/>
  <c r="AG8" i="9" a="1"/>
  <c r="AG8" i="9" s="1"/>
  <c r="AG5" i="9" a="1"/>
  <c r="AG5" i="9" s="1"/>
  <c r="AG11" i="9" a="1"/>
  <c r="AG11" i="9" s="1"/>
  <c r="AG63" i="9" a="1"/>
  <c r="AG63" i="9" s="1"/>
  <c r="AG111" i="5" a="1"/>
  <c r="AG111" i="5" s="1"/>
  <c r="AH110" i="5"/>
  <c r="AG112" i="5" a="1"/>
  <c r="AG112" i="5" s="1"/>
  <c r="AH89" i="5" a="1"/>
  <c r="AH89" i="5" s="1"/>
  <c r="AF91" i="7" a="1"/>
  <c r="AF91" i="7" s="1"/>
  <c r="AF82" i="7" a="1"/>
  <c r="AF82" i="7" s="1"/>
  <c r="AH91" i="5" a="1"/>
  <c r="AH91" i="5" s="1"/>
  <c r="AF97" i="7" a="1"/>
  <c r="AF97" i="7" s="1"/>
  <c r="AF71" i="7" a="1"/>
  <c r="AF71" i="7" s="1"/>
  <c r="AF63" i="6" a="1"/>
  <c r="AF63" i="6" s="1"/>
  <c r="AG62" i="6"/>
  <c r="AF103" i="7" a="1"/>
  <c r="AF103" i="7" s="1"/>
  <c r="AF111" i="7" a="1"/>
  <c r="AF111" i="7" s="1"/>
  <c r="AF74" i="7" a="1"/>
  <c r="AF74" i="7" s="1"/>
  <c r="AF112" i="7" a="1"/>
  <c r="AF112" i="7" s="1"/>
  <c r="AF72" i="7" a="1"/>
  <c r="AF72" i="7" s="1"/>
  <c r="AH92" i="5" a="1"/>
  <c r="AH92" i="5" s="1"/>
  <c r="AE27" i="7"/>
  <c r="AE25" i="7"/>
  <c r="AE23" i="7"/>
  <c r="AE30" i="7"/>
  <c r="AE29" i="7"/>
  <c r="AE28" i="7"/>
  <c r="AE26" i="7"/>
  <c r="AE24" i="7"/>
  <c r="AF94" i="7" a="1"/>
  <c r="AF94" i="7" s="1"/>
  <c r="AG111" i="7" a="1"/>
  <c r="AG111" i="7" s="1"/>
  <c r="AH110" i="7"/>
  <c r="AF67" i="9" a="1"/>
  <c r="AF67" i="9" s="1"/>
  <c r="AF68" i="9" a="1"/>
  <c r="AF68" i="9" s="1"/>
  <c r="AG66" i="9"/>
  <c r="AG67" i="5"/>
  <c r="AF76" i="7" a="1"/>
  <c r="AF76" i="7" s="1"/>
  <c r="AH88" i="5" a="1"/>
  <c r="AH88" i="5" s="1"/>
  <c r="AF54" i="9" a="1"/>
  <c r="AF54" i="9" s="1"/>
  <c r="AF58" i="9" a="1"/>
  <c r="AF58" i="9" s="1"/>
  <c r="AF49" i="9" a="1"/>
  <c r="AF49" i="9" s="1"/>
  <c r="AG41" i="9"/>
  <c r="AF46" i="9" a="1"/>
  <c r="AF46" i="9" s="1"/>
  <c r="AF53" i="9" a="1"/>
  <c r="AF53" i="9" s="1"/>
  <c r="AF50" i="9" a="1"/>
  <c r="AF50" i="9" s="1"/>
  <c r="AF43" i="9" a="1"/>
  <c r="AF43" i="9" s="1"/>
  <c r="AF44" i="9" a="1"/>
  <c r="AF44" i="9" s="1"/>
  <c r="AF47" i="9" a="1"/>
  <c r="AF47" i="9" s="1"/>
  <c r="AF45" i="9" a="1"/>
  <c r="AF45" i="9" s="1"/>
  <c r="AF59" i="9" a="1"/>
  <c r="AF59" i="9" s="1"/>
  <c r="AF48" i="9" a="1"/>
  <c r="AF48" i="9" s="1"/>
  <c r="AF51" i="9" a="1"/>
  <c r="AF51" i="9" s="1"/>
  <c r="AF55" i="9" a="1"/>
  <c r="AF55" i="9" s="1"/>
  <c r="AF57" i="9" a="1"/>
  <c r="AF57" i="9" s="1"/>
  <c r="AE6" i="7"/>
  <c r="AE5" i="7"/>
  <c r="AE3" i="7"/>
  <c r="AE2" i="7"/>
  <c r="AE7" i="7"/>
  <c r="AE4" i="7"/>
  <c r="AE9" i="7"/>
  <c r="AE8" i="7"/>
  <c r="AF54" i="7" a="1"/>
  <c r="AF54" i="7" s="1"/>
  <c r="AF53" i="7" a="1"/>
  <c r="AF53" i="7" s="1"/>
  <c r="AF49" i="7" a="1"/>
  <c r="AF49" i="7" s="1"/>
  <c r="AF52" i="7" a="1"/>
  <c r="AF52" i="7" s="1"/>
  <c r="AF23" i="7" a="1"/>
  <c r="AF51" i="7" a="1"/>
  <c r="AF51" i="7" s="1"/>
  <c r="AF56" i="7" a="1"/>
  <c r="AF56" i="7" s="1"/>
  <c r="AF2" i="7" a="1"/>
  <c r="AF55" i="7" a="1"/>
  <c r="AF55" i="7" s="1"/>
  <c r="AF50" i="7" a="1"/>
  <c r="AF50" i="7" s="1"/>
  <c r="AG48" i="7"/>
  <c r="AG112" i="7" s="1" a="1"/>
  <c r="AG112" i="7" s="1"/>
  <c r="AF57" i="7" a="1"/>
  <c r="AF57" i="7" s="1"/>
  <c r="AF107" i="7" a="1"/>
  <c r="AF107" i="7" s="1"/>
  <c r="AH101" i="5" a="1"/>
  <c r="AH101" i="5" s="1"/>
  <c r="AH116" i="5" a="1"/>
  <c r="AH116" i="5" s="1"/>
  <c r="AI115" i="5"/>
  <c r="AH118" i="5" a="1"/>
  <c r="AH118" i="5" s="1"/>
  <c r="AH119" i="5" a="1"/>
  <c r="AH119" i="5" s="1"/>
  <c r="AH117" i="5" a="1"/>
  <c r="AH117" i="5" s="1"/>
  <c r="AF78" i="7" a="1"/>
  <c r="AF78" i="7" s="1"/>
  <c r="AG60" i="5"/>
  <c r="AF98" i="7" a="1"/>
  <c r="AF98" i="7" s="1"/>
  <c r="AG80" i="7" a="1"/>
  <c r="AG80" i="7" s="1"/>
  <c r="AG79" i="7" a="1"/>
  <c r="AG79" i="7" s="1"/>
  <c r="AG82" i="7" a="1"/>
  <c r="AG82" i="7" s="1"/>
  <c r="AG74" i="7" a="1"/>
  <c r="AG74" i="7" s="1"/>
  <c r="AG71" i="7" a="1"/>
  <c r="AG71" i="7" s="1"/>
  <c r="AG75" i="7" a="1"/>
  <c r="AG75" i="7" s="1"/>
  <c r="AG70" i="7" a="1"/>
  <c r="AG70" i="7" s="1"/>
  <c r="AG76" i="7" a="1"/>
  <c r="AG76" i="7" s="1"/>
  <c r="AG81" i="7" a="1"/>
  <c r="AG81" i="7" s="1"/>
  <c r="AG78" i="7" a="1"/>
  <c r="AG78" i="7" s="1"/>
  <c r="AG68" i="7" a="1"/>
  <c r="AG68" i="7" s="1"/>
  <c r="AG73" i="7" a="1"/>
  <c r="AG73" i="7" s="1"/>
  <c r="AH67" i="7"/>
  <c r="AG77" i="7" a="1"/>
  <c r="AG77" i="7" s="1"/>
  <c r="AG72" i="7" a="1"/>
  <c r="AG72" i="7" s="1"/>
  <c r="AH102" i="5" a="1"/>
  <c r="AH102" i="5" s="1"/>
  <c r="AF93" i="7" a="1"/>
  <c r="AF93" i="7" s="1"/>
  <c r="AF119" i="7" a="1"/>
  <c r="AF119" i="7" s="1"/>
  <c r="AF118" i="7" a="1"/>
  <c r="AF118" i="7" s="1"/>
  <c r="AF117" i="7" a="1"/>
  <c r="AF117" i="7" s="1"/>
  <c r="AF116" i="7" a="1"/>
  <c r="AF116" i="7" s="1"/>
  <c r="AG115" i="7"/>
  <c r="AG18" i="6" a="1"/>
  <c r="AG18" i="6" s="1"/>
  <c r="AG12" i="6" a="1"/>
  <c r="AG12" i="6" s="1"/>
  <c r="AG8" i="6" a="1"/>
  <c r="AG8" i="6" s="1"/>
  <c r="AG20" i="6" a="1"/>
  <c r="AG20" i="6" s="1"/>
  <c r="AG13" i="6" a="1"/>
  <c r="AG13" i="6" s="1"/>
  <c r="AG5" i="6" a="1"/>
  <c r="AG5" i="6" s="1"/>
  <c r="AG9" i="6" a="1"/>
  <c r="AG9" i="6" s="1"/>
  <c r="AH4" i="6"/>
  <c r="AG7" i="6" a="1"/>
  <c r="AG7" i="6" s="1"/>
  <c r="AG10" i="6" a="1"/>
  <c r="AG10" i="6" s="1"/>
  <c r="AG6" i="6" a="1"/>
  <c r="AG6" i="6" s="1"/>
  <c r="AG19" i="6" a="1"/>
  <c r="AG19" i="6" s="1"/>
  <c r="AG11" i="6" a="1"/>
  <c r="AG11" i="6" s="1"/>
  <c r="AF74" i="9" a="1"/>
  <c r="AF74" i="9" s="1"/>
  <c r="AG71" i="9"/>
  <c r="AF73" i="9" a="1"/>
  <c r="AF73" i="9" s="1"/>
  <c r="AF80" i="9" a="1"/>
  <c r="AF80" i="9" s="1"/>
  <c r="AF82" i="9" a="1"/>
  <c r="AF82" i="9" s="1"/>
  <c r="AF81" i="9" a="1"/>
  <c r="AF81" i="9" s="1"/>
  <c r="AF72" i="9" a="1"/>
  <c r="AF72" i="9" s="1"/>
  <c r="AF75" i="9" a="1"/>
  <c r="AF75" i="9" s="1"/>
  <c r="AF38" i="9" a="1"/>
  <c r="AF38" i="9" s="1"/>
  <c r="AF35" i="9" a="1"/>
  <c r="AF35" i="9" s="1"/>
  <c r="AG23" i="9"/>
  <c r="AF36" i="9" a="1"/>
  <c r="AF36" i="9" s="1"/>
  <c r="AF37" i="9" a="1"/>
  <c r="AF37" i="9" s="1"/>
  <c r="AF68" i="7" a="1"/>
  <c r="AF68" i="7" s="1"/>
  <c r="AF102" i="7" a="1"/>
  <c r="AF102" i="7" s="1"/>
  <c r="AI48" i="5"/>
  <c r="AI92" i="5" s="1" a="1"/>
  <c r="AI92" i="5" s="1"/>
  <c r="AH2" i="5" a="1"/>
  <c r="AF87" i="7" a="1"/>
  <c r="AF87" i="7" s="1"/>
  <c r="AF95" i="7" a="1"/>
  <c r="AF95" i="7" s="1"/>
  <c r="AF81" i="7" a="1"/>
  <c r="AF81" i="7" s="1"/>
  <c r="AH98" i="5" a="1"/>
  <c r="AH98" i="5" s="1"/>
  <c r="AF69" i="7" a="1"/>
  <c r="AF69" i="7" s="1"/>
  <c r="AH103" i="5" a="1"/>
  <c r="AH103" i="5" s="1"/>
  <c r="AF89" i="7" a="1"/>
  <c r="AF89" i="7" s="1"/>
  <c r="AF54" i="6" a="1"/>
  <c r="AF54" i="6" s="1"/>
  <c r="AF51" i="6" a="1"/>
  <c r="AF51" i="6" s="1"/>
  <c r="AF46" i="6" a="1"/>
  <c r="AF46" i="6" s="1"/>
  <c r="AF53" i="6" a="1"/>
  <c r="AF53" i="6" s="1"/>
  <c r="AF50" i="6" a="1"/>
  <c r="AF50" i="6" s="1"/>
  <c r="AF49" i="6" a="1"/>
  <c r="AF49" i="6" s="1"/>
  <c r="AF44" i="6" a="1"/>
  <c r="AF44" i="6" s="1"/>
  <c r="AG41" i="6"/>
  <c r="AF55" i="6" a="1"/>
  <c r="AF55" i="6" s="1"/>
  <c r="AF58" i="6" a="1"/>
  <c r="AF58" i="6" s="1"/>
  <c r="AF48" i="6" a="1"/>
  <c r="AF48" i="6" s="1"/>
  <c r="AF43" i="6" a="1"/>
  <c r="AF43" i="6" s="1"/>
  <c r="AF45" i="6" a="1"/>
  <c r="AF45" i="6" s="1"/>
  <c r="AF59" i="6" a="1"/>
  <c r="AF59" i="6" s="1"/>
  <c r="AF47" i="6" a="1"/>
  <c r="AF47" i="6" s="1"/>
  <c r="AF57" i="6" a="1"/>
  <c r="AF57" i="6" s="1"/>
  <c r="AF73" i="7" a="1"/>
  <c r="AF73" i="7" s="1"/>
  <c r="AH90" i="5" a="1"/>
  <c r="AH90" i="5" s="1"/>
  <c r="AF61" i="7" a="1"/>
  <c r="AF61" i="7" s="1"/>
  <c r="AF63" i="7" a="1"/>
  <c r="AF63" i="7" s="1"/>
  <c r="AG60" i="7"/>
  <c r="AF64" i="7" a="1"/>
  <c r="AF64" i="7" s="1"/>
  <c r="AF62" i="7" a="1"/>
  <c r="AF62" i="7" s="1"/>
  <c r="AG37" i="6" a="1"/>
  <c r="AG37" i="6" s="1"/>
  <c r="AH23" i="6"/>
  <c r="AG38" i="6" a="1"/>
  <c r="AG38" i="6" s="1"/>
  <c r="AG36" i="6" a="1"/>
  <c r="AG36" i="6" s="1"/>
  <c r="AG35" i="6" a="1"/>
  <c r="AG35" i="6" s="1"/>
  <c r="AF77" i="7" a="1"/>
  <c r="AF77" i="7" s="1"/>
  <c r="AH94" i="5" a="1"/>
  <c r="AH94" i="5" s="1"/>
  <c r="AH107" i="5" a="1"/>
  <c r="AH107" i="5" s="1"/>
  <c r="AF92" i="7" a="1"/>
  <c r="AF92" i="7" s="1"/>
  <c r="AG102" i="7" a="1"/>
  <c r="AG102" i="7" s="1"/>
  <c r="AG95" i="7" a="1"/>
  <c r="AG95" i="7" s="1"/>
  <c r="AG90" i="7" a="1"/>
  <c r="AG90" i="7" s="1"/>
  <c r="AG98" i="7" a="1"/>
  <c r="AG98" i="7" s="1"/>
  <c r="AG88" i="7" a="1"/>
  <c r="AG88" i="7" s="1"/>
  <c r="AH85" i="7"/>
  <c r="AG103" i="7" a="1"/>
  <c r="AG103" i="7" s="1"/>
  <c r="AG94" i="7" a="1"/>
  <c r="AG94" i="7" s="1"/>
  <c r="AG101" i="7" a="1"/>
  <c r="AG101" i="7" s="1"/>
  <c r="AG97" i="7" a="1"/>
  <c r="AG97" i="7" s="1"/>
  <c r="AG92" i="7" a="1"/>
  <c r="AG92" i="7" s="1"/>
  <c r="AG99" i="7" a="1"/>
  <c r="AG99" i="7" s="1"/>
  <c r="AG87" i="7" a="1"/>
  <c r="AG87" i="7" s="1"/>
  <c r="AG91" i="7" a="1"/>
  <c r="AG91" i="7" s="1"/>
  <c r="AG89" i="7" a="1"/>
  <c r="AG89" i="7" s="1"/>
  <c r="AG93" i="7" a="1"/>
  <c r="AG93" i="7" s="1"/>
  <c r="AF80" i="7" a="1"/>
  <c r="AF80" i="7" s="1"/>
  <c r="AF88" i="7" a="1"/>
  <c r="AF88" i="7" s="1"/>
  <c r="AF70" i="7" a="1"/>
  <c r="AF70" i="7" s="1"/>
  <c r="AI89" i="5" a="1"/>
  <c r="AI89" i="5" s="1"/>
  <c r="AF101" i="7" a="1"/>
  <c r="AF101" i="7" s="1"/>
  <c r="DA2" i="5" l="1" a="1"/>
  <c r="DB48" i="5"/>
  <c r="DB98" i="5" s="1" a="1"/>
  <c r="DB98" i="5" s="1"/>
  <c r="DA107" i="5" a="1"/>
  <c r="DA107" i="5" s="1"/>
  <c r="DA95" i="5" a="1"/>
  <c r="DA95" i="5" s="1"/>
  <c r="DA97" i="5" a="1"/>
  <c r="DA97" i="5" s="1"/>
  <c r="DA98" i="5" a="1"/>
  <c r="DA98" i="5" s="1"/>
  <c r="DA90" i="5" a="1"/>
  <c r="DA90" i="5" s="1"/>
  <c r="DB60" i="5"/>
  <c r="DB97" i="5" a="1"/>
  <c r="DB97" i="5" s="1"/>
  <c r="DB95" i="5" a="1"/>
  <c r="DB95" i="5" s="1"/>
  <c r="DB88" i="5" a="1"/>
  <c r="DB88" i="5" s="1"/>
  <c r="DB102" i="5" a="1"/>
  <c r="DB102" i="5" s="1"/>
  <c r="DB101" i="5" a="1"/>
  <c r="DB101" i="5" s="1"/>
  <c r="DC85" i="5"/>
  <c r="DB89" i="5" a="1"/>
  <c r="DB89" i="5" s="1"/>
  <c r="DA101" i="5" a="1"/>
  <c r="DA101" i="5" s="1"/>
  <c r="DA103" i="5" a="1"/>
  <c r="DA103" i="5" s="1"/>
  <c r="DA92" i="5" a="1"/>
  <c r="DA92" i="5" s="1"/>
  <c r="DA88" i="5" a="1"/>
  <c r="DA88" i="5" s="1"/>
  <c r="DB115" i="5"/>
  <c r="DA87" i="5" a="1"/>
  <c r="DA87" i="5" s="1"/>
  <c r="CZ4" i="5"/>
  <c r="CZ2" i="5"/>
  <c r="CZ9" i="5"/>
  <c r="CZ8" i="5"/>
  <c r="CZ6" i="5"/>
  <c r="CZ7" i="5"/>
  <c r="CZ5" i="5"/>
  <c r="CZ3" i="5"/>
  <c r="DA89" i="5" a="1"/>
  <c r="DA89" i="5" s="1"/>
  <c r="DB110" i="5"/>
  <c r="DA94" i="5" a="1"/>
  <c r="DA94" i="5" s="1"/>
  <c r="DC67" i="5"/>
  <c r="DA102" i="5" a="1"/>
  <c r="DA102" i="5" s="1"/>
  <c r="DA93" i="5" a="1"/>
  <c r="DA93" i="5" s="1"/>
  <c r="DA91" i="5" a="1"/>
  <c r="DA91" i="5" s="1"/>
  <c r="BS85" i="5"/>
  <c r="BR99" i="5" a="1"/>
  <c r="BR99" i="5" s="1"/>
  <c r="BR89" i="5" a="1"/>
  <c r="BR89" i="5" s="1"/>
  <c r="BR90" i="5" a="1"/>
  <c r="BR90" i="5" s="1"/>
  <c r="BR92" i="5" a="1"/>
  <c r="BR92" i="5" s="1"/>
  <c r="BR91" i="5" a="1"/>
  <c r="BR91" i="5" s="1"/>
  <c r="BR94" i="5" a="1"/>
  <c r="BR94" i="5" s="1"/>
  <c r="BR103" i="5" a="1"/>
  <c r="BR103" i="5" s="1"/>
  <c r="BR98" i="5" a="1"/>
  <c r="BR98" i="5" s="1"/>
  <c r="BQ107" i="5" a="1"/>
  <c r="BQ107" i="5" s="1"/>
  <c r="BR106" i="5"/>
  <c r="BR110" i="5"/>
  <c r="BQ111" i="5" a="1"/>
  <c r="BQ111" i="5" s="1"/>
  <c r="BQ112" i="5" a="1"/>
  <c r="BQ112" i="5" s="1"/>
  <c r="BP8" i="5"/>
  <c r="BP4" i="5"/>
  <c r="BP6" i="5"/>
  <c r="BP5" i="5"/>
  <c r="BP3" i="5"/>
  <c r="BP2" i="5"/>
  <c r="BP9" i="5"/>
  <c r="BP7" i="5"/>
  <c r="BQ119" i="5" a="1"/>
  <c r="BQ119" i="5" s="1"/>
  <c r="BR115" i="5"/>
  <c r="BQ118" i="5" a="1"/>
  <c r="BQ118" i="5" s="1"/>
  <c r="BQ116" i="5" a="1"/>
  <c r="BQ116" i="5" s="1"/>
  <c r="BQ117" i="5" a="1"/>
  <c r="BQ117" i="5" s="1"/>
  <c r="BR48" i="5"/>
  <c r="BR87" i="5" s="1" a="1"/>
  <c r="BR87" i="5" s="1"/>
  <c r="BQ2" i="5" a="1"/>
  <c r="BR67" i="5"/>
  <c r="BQ90" i="5" a="1"/>
  <c r="BQ90" i="5" s="1"/>
  <c r="BR60" i="5"/>
  <c r="AI88" i="5" a="1"/>
  <c r="AI88" i="5" s="1"/>
  <c r="AI91" i="5" a="1"/>
  <c r="AI91" i="5" s="1"/>
  <c r="AH115" i="7"/>
  <c r="AG117" i="7" a="1"/>
  <c r="AG117" i="7" s="1"/>
  <c r="AG118" i="7" a="1"/>
  <c r="AG118" i="7" s="1"/>
  <c r="AG119" i="7" a="1"/>
  <c r="AG119" i="7" s="1"/>
  <c r="AG116" i="7" a="1"/>
  <c r="AG116" i="7" s="1"/>
  <c r="AI99" i="5" a="1"/>
  <c r="AI99" i="5" s="1"/>
  <c r="AI107" i="5" a="1"/>
  <c r="AI107" i="5" s="1"/>
  <c r="AH71" i="9"/>
  <c r="AG73" i="9" a="1"/>
  <c r="AG73" i="9" s="1"/>
  <c r="AG81" i="9" a="1"/>
  <c r="AG81" i="9" s="1"/>
  <c r="AG82" i="9" a="1"/>
  <c r="AG82" i="9" s="1"/>
  <c r="AG80" i="9" a="1"/>
  <c r="AG80" i="9" s="1"/>
  <c r="AG72" i="9" a="1"/>
  <c r="AG72" i="9" s="1"/>
  <c r="AG75" i="9" a="1"/>
  <c r="AG75" i="9" s="1"/>
  <c r="AG74" i="9" a="1"/>
  <c r="AG74" i="9" s="1"/>
  <c r="AI118" i="5" a="1"/>
  <c r="AI118" i="5" s="1"/>
  <c r="AI117" i="5" a="1"/>
  <c r="AI117" i="5" s="1"/>
  <c r="AI119" i="5" a="1"/>
  <c r="AI119" i="5" s="1"/>
  <c r="AI116" i="5" a="1"/>
  <c r="AI116" i="5" s="1"/>
  <c r="AH111" i="5" a="1"/>
  <c r="AH111" i="5" s="1"/>
  <c r="AH112" i="5" a="1"/>
  <c r="AH112" i="5" s="1"/>
  <c r="AI110" i="5"/>
  <c r="AI101" i="5" a="1"/>
  <c r="AI101" i="5" s="1"/>
  <c r="AG53" i="9" a="1"/>
  <c r="AG53" i="9" s="1"/>
  <c r="AG44" i="9" a="1"/>
  <c r="AG44" i="9" s="1"/>
  <c r="AG54" i="9" a="1"/>
  <c r="AG54" i="9" s="1"/>
  <c r="AG43" i="9" a="1"/>
  <c r="AG43" i="9" s="1"/>
  <c r="AG57" i="9" a="1"/>
  <c r="AG57" i="9" s="1"/>
  <c r="AG50" i="9" a="1"/>
  <c r="AG50" i="9" s="1"/>
  <c r="AH41" i="9"/>
  <c r="AG58" i="9" a="1"/>
  <c r="AG58" i="9" s="1"/>
  <c r="AG47" i="9" a="1"/>
  <c r="AG47" i="9" s="1"/>
  <c r="AG45" i="9" a="1"/>
  <c r="AG45" i="9" s="1"/>
  <c r="AG49" i="9" a="1"/>
  <c r="AG49" i="9" s="1"/>
  <c r="AG55" i="9" a="1"/>
  <c r="AG55" i="9" s="1"/>
  <c r="AG59" i="9" a="1"/>
  <c r="AG59" i="9" s="1"/>
  <c r="AG51" i="9" a="1"/>
  <c r="AG51" i="9" s="1"/>
  <c r="AG46" i="9" a="1"/>
  <c r="AG46" i="9" s="1"/>
  <c r="AG48" i="9" a="1"/>
  <c r="AG48" i="9" s="1"/>
  <c r="AI90" i="5" a="1"/>
  <c r="AI90" i="5" s="1"/>
  <c r="AG53" i="7" a="1"/>
  <c r="AG53" i="7" s="1"/>
  <c r="AG52" i="7" a="1"/>
  <c r="AG52" i="7" s="1"/>
  <c r="AG54" i="7" a="1"/>
  <c r="AG54" i="7" s="1"/>
  <c r="AG49" i="7" a="1"/>
  <c r="AG49" i="7" s="1"/>
  <c r="AG55" i="7" a="1"/>
  <c r="AG55" i="7" s="1"/>
  <c r="AG50" i="7" a="1"/>
  <c r="AG50" i="7" s="1"/>
  <c r="AG56" i="7" a="1"/>
  <c r="AG56" i="7" s="1"/>
  <c r="AG23" i="7" a="1"/>
  <c r="AH48" i="7"/>
  <c r="AG2" i="7" a="1"/>
  <c r="AG51" i="7" a="1"/>
  <c r="AG51" i="7" s="1"/>
  <c r="AG57" i="7" a="1"/>
  <c r="AG57" i="7" s="1"/>
  <c r="AG107" i="7" a="1"/>
  <c r="AG107" i="7" s="1"/>
  <c r="AI98" i="5" a="1"/>
  <c r="AI98" i="5" s="1"/>
  <c r="AH37" i="6" a="1"/>
  <c r="AH37" i="6" s="1"/>
  <c r="AH36" i="6" a="1"/>
  <c r="AH36" i="6" s="1"/>
  <c r="AI23" i="6"/>
  <c r="AH35" i="6" a="1"/>
  <c r="AH35" i="6" s="1"/>
  <c r="AH38" i="6" a="1"/>
  <c r="AH38" i="6" s="1"/>
  <c r="AI110" i="7"/>
  <c r="AH112" i="7" a="1"/>
  <c r="AH112" i="7" s="1"/>
  <c r="AH111" i="7" a="1"/>
  <c r="AH111" i="7" s="1"/>
  <c r="AG53" i="6" a="1"/>
  <c r="AG53" i="6" s="1"/>
  <c r="AG59" i="6" a="1"/>
  <c r="AG59" i="6" s="1"/>
  <c r="AG50" i="6" a="1"/>
  <c r="AG50" i="6" s="1"/>
  <c r="AG49" i="6" a="1"/>
  <c r="AG49" i="6" s="1"/>
  <c r="AG44" i="6" a="1"/>
  <c r="AG44" i="6" s="1"/>
  <c r="AH41" i="6"/>
  <c r="AG54" i="6" a="1"/>
  <c r="AG54" i="6" s="1"/>
  <c r="AG48" i="6" a="1"/>
  <c r="AG48" i="6" s="1"/>
  <c r="AG55" i="6" a="1"/>
  <c r="AG55" i="6" s="1"/>
  <c r="AG58" i="6" a="1"/>
  <c r="AG58" i="6" s="1"/>
  <c r="AG51" i="6" a="1"/>
  <c r="AG51" i="6" s="1"/>
  <c r="AG43" i="6" a="1"/>
  <c r="AG43" i="6" s="1"/>
  <c r="AG45" i="6" a="1"/>
  <c r="AG45" i="6" s="1"/>
  <c r="AG47" i="6" a="1"/>
  <c r="AG47" i="6" s="1"/>
  <c r="AG46" i="6" a="1"/>
  <c r="AG46" i="6" s="1"/>
  <c r="AG57" i="6" a="1"/>
  <c r="AG57" i="6" s="1"/>
  <c r="AG38" i="9" a="1"/>
  <c r="AG38" i="9" s="1"/>
  <c r="AH23" i="9"/>
  <c r="AG35" i="9" a="1"/>
  <c r="AG35" i="9" s="1"/>
  <c r="AG36" i="9" a="1"/>
  <c r="AG36" i="9" s="1"/>
  <c r="AG37" i="9" a="1"/>
  <c r="AG37" i="9" s="1"/>
  <c r="AH19" i="6" a="1"/>
  <c r="AH19" i="6" s="1"/>
  <c r="AH12" i="6" a="1"/>
  <c r="AH12" i="6" s="1"/>
  <c r="AH7" i="6" a="1"/>
  <c r="AH7" i="6" s="1"/>
  <c r="AH11" i="6" a="1"/>
  <c r="AH11" i="6" s="1"/>
  <c r="AH20" i="6" a="1"/>
  <c r="AH20" i="6" s="1"/>
  <c r="AH9" i="6" a="1"/>
  <c r="AH9" i="6" s="1"/>
  <c r="AI4" i="6"/>
  <c r="AH8" i="6" a="1"/>
  <c r="AH8" i="6" s="1"/>
  <c r="AH10" i="6" a="1"/>
  <c r="AH10" i="6" s="1"/>
  <c r="AH13" i="6" a="1"/>
  <c r="AH13" i="6" s="1"/>
  <c r="AH5" i="6" a="1"/>
  <c r="AH5" i="6" s="1"/>
  <c r="AH18" i="6" a="1"/>
  <c r="AH18" i="6" s="1"/>
  <c r="AH6" i="6" a="1"/>
  <c r="AH6" i="6" s="1"/>
  <c r="AG69" i="7" a="1"/>
  <c r="AG69" i="7" s="1"/>
  <c r="AH67" i="5"/>
  <c r="AG63" i="6" a="1"/>
  <c r="AG63" i="6" s="1"/>
  <c r="AH62" i="6"/>
  <c r="AH9" i="9" a="1"/>
  <c r="AH9" i="9" s="1"/>
  <c r="AH13" i="9" a="1"/>
  <c r="AH13" i="9" s="1"/>
  <c r="AH12" i="9" a="1"/>
  <c r="AH12" i="9" s="1"/>
  <c r="AH11" i="9" a="1"/>
  <c r="AH11" i="9" s="1"/>
  <c r="AH7" i="9" a="1"/>
  <c r="AH7" i="9" s="1"/>
  <c r="AI4" i="9"/>
  <c r="AH6" i="9" a="1"/>
  <c r="AH6" i="9" s="1"/>
  <c r="AH8" i="9" a="1"/>
  <c r="AH8" i="9" s="1"/>
  <c r="AH5" i="9" a="1"/>
  <c r="AH5" i="9" s="1"/>
  <c r="AH10" i="9" a="1"/>
  <c r="AH10" i="9" s="1"/>
  <c r="AH63" i="9" a="1"/>
  <c r="AH63" i="9" s="1"/>
  <c r="AH74" i="6" a="1"/>
  <c r="AH74" i="6" s="1"/>
  <c r="AH82" i="6" a="1"/>
  <c r="AH82" i="6" s="1"/>
  <c r="AH81" i="6" a="1"/>
  <c r="AH81" i="6" s="1"/>
  <c r="AH75" i="6" a="1"/>
  <c r="AH75" i="6" s="1"/>
  <c r="AH80" i="6" a="1"/>
  <c r="AH80" i="6" s="1"/>
  <c r="AI71" i="6"/>
  <c r="AH73" i="6" a="1"/>
  <c r="AH73" i="6" s="1"/>
  <c r="AI2" i="5" a="1"/>
  <c r="AI95" i="5" a="1"/>
  <c r="AI95" i="5" s="1"/>
  <c r="AI102" i="5" a="1"/>
  <c r="AI102" i="5" s="1"/>
  <c r="AF9" i="7"/>
  <c r="AF8" i="7"/>
  <c r="AF4" i="7"/>
  <c r="AF3" i="7"/>
  <c r="AF5" i="7"/>
  <c r="AF2" i="7"/>
  <c r="AF7" i="7"/>
  <c r="AF6" i="7"/>
  <c r="AI93" i="5" a="1"/>
  <c r="AI93" i="5" s="1"/>
  <c r="AH98" i="7" a="1"/>
  <c r="AH98" i="7" s="1"/>
  <c r="AH90" i="7" a="1"/>
  <c r="AH90" i="7" s="1"/>
  <c r="AH88" i="7" a="1"/>
  <c r="AH88" i="7" s="1"/>
  <c r="AH87" i="7" a="1"/>
  <c r="AH87" i="7" s="1"/>
  <c r="AI85" i="7"/>
  <c r="AH103" i="7" a="1"/>
  <c r="AH103" i="7" s="1"/>
  <c r="AH94" i="7" a="1"/>
  <c r="AH94" i="7" s="1"/>
  <c r="AH99" i="7" a="1"/>
  <c r="AH99" i="7" s="1"/>
  <c r="AH91" i="7" a="1"/>
  <c r="AH91" i="7" s="1"/>
  <c r="AH97" i="7" a="1"/>
  <c r="AH97" i="7" s="1"/>
  <c r="AH102" i="7" a="1"/>
  <c r="AH102" i="7" s="1"/>
  <c r="AH92" i="7" a="1"/>
  <c r="AH92" i="7" s="1"/>
  <c r="AH89" i="7" a="1"/>
  <c r="AH89" i="7" s="1"/>
  <c r="AH95" i="7" a="1"/>
  <c r="AH95" i="7" s="1"/>
  <c r="AH93" i="7" a="1"/>
  <c r="AH93" i="7" s="1"/>
  <c r="AH101" i="7" a="1"/>
  <c r="AH101" i="7" s="1"/>
  <c r="AH79" i="7" a="1"/>
  <c r="AH79" i="7" s="1"/>
  <c r="AH75" i="7" a="1"/>
  <c r="AH75" i="7" s="1"/>
  <c r="AH70" i="7" a="1"/>
  <c r="AH70" i="7" s="1"/>
  <c r="AH76" i="7" a="1"/>
  <c r="AH76" i="7" s="1"/>
  <c r="AH69" i="7" a="1"/>
  <c r="AH69" i="7" s="1"/>
  <c r="AH81" i="7" a="1"/>
  <c r="AH81" i="7" s="1"/>
  <c r="AH77" i="7" a="1"/>
  <c r="AH77" i="7" s="1"/>
  <c r="AH82" i="7" a="1"/>
  <c r="AH82" i="7" s="1"/>
  <c r="AH78" i="7" a="1"/>
  <c r="AH78" i="7" s="1"/>
  <c r="AH68" i="7" a="1"/>
  <c r="AH68" i="7" s="1"/>
  <c r="AH71" i="7" a="1"/>
  <c r="AH71" i="7" s="1"/>
  <c r="AH72" i="7" a="1"/>
  <c r="AH72" i="7" s="1"/>
  <c r="AH73" i="7" a="1"/>
  <c r="AH73" i="7" s="1"/>
  <c r="AH74" i="7" a="1"/>
  <c r="AH74" i="7" s="1"/>
  <c r="AI67" i="7"/>
  <c r="AH80" i="7" a="1"/>
  <c r="AH80" i="7" s="1"/>
  <c r="AI97" i="5" a="1"/>
  <c r="AI97" i="5" s="1"/>
  <c r="AI103" i="5" a="1"/>
  <c r="AI103" i="5" s="1"/>
  <c r="AG61" i="7" a="1"/>
  <c r="AG61" i="7" s="1"/>
  <c r="AH60" i="7"/>
  <c r="AG64" i="7" a="1"/>
  <c r="AG64" i="7" s="1"/>
  <c r="AG62" i="7" a="1"/>
  <c r="AG62" i="7" s="1"/>
  <c r="AG63" i="7" a="1"/>
  <c r="AG63" i="7" s="1"/>
  <c r="AG68" i="9" a="1"/>
  <c r="AG68" i="9" s="1"/>
  <c r="AH66" i="9"/>
  <c r="AG67" i="9" a="1"/>
  <c r="AG67" i="9" s="1"/>
  <c r="AI87" i="5" a="1"/>
  <c r="AI87" i="5" s="1"/>
  <c r="AI94" i="5" a="1"/>
  <c r="AI94" i="5" s="1"/>
  <c r="AH4" i="5"/>
  <c r="AH3" i="5"/>
  <c r="AH2" i="5"/>
  <c r="AH9" i="5"/>
  <c r="AH8" i="5"/>
  <c r="AH7" i="5"/>
  <c r="AH6" i="5"/>
  <c r="AH5" i="5"/>
  <c r="AH60" i="5"/>
  <c r="AF30" i="7"/>
  <c r="AF29" i="7"/>
  <c r="AF27" i="7"/>
  <c r="AF28" i="7"/>
  <c r="AF26" i="7"/>
  <c r="AF25" i="7"/>
  <c r="AF23" i="7"/>
  <c r="AF24" i="7"/>
  <c r="BR95" i="5" l="1" a="1"/>
  <c r="BR95" i="5" s="1"/>
  <c r="BR102" i="5" a="1"/>
  <c r="BR102" i="5" s="1"/>
  <c r="DB91" i="5" a="1"/>
  <c r="DB91" i="5" s="1"/>
  <c r="DB99" i="5" a="1"/>
  <c r="DB99" i="5" s="1"/>
  <c r="DB90" i="5" a="1"/>
  <c r="DB90" i="5" s="1"/>
  <c r="DB103" i="5" a="1"/>
  <c r="DB103" i="5" s="1"/>
  <c r="DC115" i="5"/>
  <c r="DC94" i="5" a="1"/>
  <c r="DC94" i="5" s="1"/>
  <c r="DC102" i="5" a="1"/>
  <c r="DC102" i="5" s="1"/>
  <c r="DC101" i="5" a="1"/>
  <c r="DC101" i="5" s="1"/>
  <c r="DC89" i="5" a="1"/>
  <c r="DC89" i="5" s="1"/>
  <c r="DC60" i="5"/>
  <c r="DB94" i="5" a="1"/>
  <c r="DB94" i="5" s="1"/>
  <c r="DA9" i="5"/>
  <c r="DA5" i="5"/>
  <c r="DA4" i="5"/>
  <c r="DA3" i="5"/>
  <c r="DA2" i="5"/>
  <c r="DA8" i="5"/>
  <c r="DA6" i="5"/>
  <c r="DA7" i="5"/>
  <c r="DB92" i="5" a="1"/>
  <c r="DB92" i="5" s="1"/>
  <c r="DB2" i="5" a="1"/>
  <c r="DC48" i="5"/>
  <c r="DC98" i="5" s="1" a="1"/>
  <c r="DC98" i="5" s="1"/>
  <c r="DB107" i="5" a="1"/>
  <c r="DB107" i="5" s="1"/>
  <c r="DC110" i="5"/>
  <c r="DB93" i="5" a="1"/>
  <c r="DB93" i="5" s="1"/>
  <c r="DB87" i="5" a="1"/>
  <c r="DB87" i="5" s="1"/>
  <c r="BQ8" i="5"/>
  <c r="BQ7" i="5"/>
  <c r="BQ6" i="5"/>
  <c r="BQ5" i="5"/>
  <c r="BQ4" i="5"/>
  <c r="BQ3" i="5"/>
  <c r="BQ9" i="5"/>
  <c r="BQ2" i="5"/>
  <c r="BS67" i="5"/>
  <c r="BS48" i="5"/>
  <c r="BS97" i="5" s="1" a="1"/>
  <c r="BS97" i="5" s="1"/>
  <c r="BR2" i="5" a="1"/>
  <c r="BS94" i="5" a="1"/>
  <c r="BS94" i="5" s="1"/>
  <c r="BS92" i="5" a="1"/>
  <c r="BS92" i="5" s="1"/>
  <c r="BR88" i="5" a="1"/>
  <c r="BR88" i="5" s="1"/>
  <c r="BS60" i="5"/>
  <c r="BR112" i="5" a="1"/>
  <c r="BR112" i="5" s="1"/>
  <c r="BS110" i="5"/>
  <c r="BR111" i="5" a="1"/>
  <c r="BR111" i="5" s="1"/>
  <c r="BR93" i="5" a="1"/>
  <c r="BR93" i="5" s="1"/>
  <c r="BR107" i="5" a="1"/>
  <c r="BR107" i="5" s="1"/>
  <c r="BS106" i="5"/>
  <c r="BR101" i="5" a="1"/>
  <c r="BR101" i="5" s="1"/>
  <c r="BR119" i="5" a="1"/>
  <c r="BR119" i="5" s="1"/>
  <c r="BR118" i="5" a="1"/>
  <c r="BR118" i="5" s="1"/>
  <c r="BS115" i="5"/>
  <c r="BR116" i="5" a="1"/>
  <c r="BR116" i="5" s="1"/>
  <c r="BR117" i="5" a="1"/>
  <c r="BR117" i="5" s="1"/>
  <c r="BR97" i="5" a="1"/>
  <c r="BR97" i="5" s="1"/>
  <c r="AH51" i="9" a="1"/>
  <c r="AH51" i="9" s="1"/>
  <c r="AH59" i="9" a="1"/>
  <c r="AH59" i="9" s="1"/>
  <c r="AH54" i="9" a="1"/>
  <c r="AH54" i="9" s="1"/>
  <c r="AH45" i="9" a="1"/>
  <c r="AH45" i="9" s="1"/>
  <c r="AH53" i="9" a="1"/>
  <c r="AH53" i="9" s="1"/>
  <c r="AH55" i="9" a="1"/>
  <c r="AH55" i="9" s="1"/>
  <c r="AH44" i="9" a="1"/>
  <c r="AH44" i="9" s="1"/>
  <c r="AH47" i="9" a="1"/>
  <c r="AH47" i="9" s="1"/>
  <c r="AH50" i="9" a="1"/>
  <c r="AH50" i="9" s="1"/>
  <c r="AI41" i="9"/>
  <c r="AH58" i="9" a="1"/>
  <c r="AH58" i="9" s="1"/>
  <c r="AH49" i="9" a="1"/>
  <c r="AH49" i="9" s="1"/>
  <c r="AH57" i="9" a="1"/>
  <c r="AH57" i="9" s="1"/>
  <c r="AH48" i="9" a="1"/>
  <c r="AH48" i="9" s="1"/>
  <c r="AH46" i="9" a="1"/>
  <c r="AH46" i="9" s="1"/>
  <c r="AH43" i="9" a="1"/>
  <c r="AH43" i="9" s="1"/>
  <c r="AH68" i="9" a="1"/>
  <c r="AH68" i="9" s="1"/>
  <c r="AH67" i="9" a="1"/>
  <c r="AH67" i="9" s="1"/>
  <c r="AI66" i="9"/>
  <c r="AI78" i="7" a="1"/>
  <c r="AI78" i="7" s="1"/>
  <c r="AI76" i="7" a="1"/>
  <c r="AI76" i="7" s="1"/>
  <c r="AI81" i="7" a="1"/>
  <c r="AI81" i="7" s="1"/>
  <c r="AI82" i="7" a="1"/>
  <c r="AI82" i="7" s="1"/>
  <c r="AI74" i="7" a="1"/>
  <c r="AI74" i="7" s="1"/>
  <c r="AI80" i="7" a="1"/>
  <c r="AI80" i="7" s="1"/>
  <c r="AI69" i="7" a="1"/>
  <c r="AI69" i="7" s="1"/>
  <c r="AI20" i="6" a="1"/>
  <c r="AI20" i="6" s="1"/>
  <c r="AI11" i="6" a="1"/>
  <c r="AI11" i="6" s="1"/>
  <c r="AI10" i="6" a="1"/>
  <c r="AI10" i="6" s="1"/>
  <c r="AI8" i="6" a="1"/>
  <c r="AI8" i="6" s="1"/>
  <c r="AI12" i="6" a="1"/>
  <c r="AI12" i="6" s="1"/>
  <c r="AI7" i="6" a="1"/>
  <c r="AI7" i="6" s="1"/>
  <c r="AI19" i="6" a="1"/>
  <c r="AI19" i="6" s="1"/>
  <c r="AI5" i="6" a="1"/>
  <c r="AI5" i="6" s="1"/>
  <c r="AI18" i="6" a="1"/>
  <c r="AI18" i="6" s="1"/>
  <c r="AI9" i="6" a="1"/>
  <c r="AI9" i="6" s="1"/>
  <c r="AI13" i="6" a="1"/>
  <c r="AI13" i="6" s="1"/>
  <c r="AI6" i="6" a="1"/>
  <c r="AI6" i="6" s="1"/>
  <c r="AI60" i="5"/>
  <c r="AI111" i="5" a="1"/>
  <c r="AI111" i="5" s="1"/>
  <c r="AI112" i="5" a="1"/>
  <c r="AI112" i="5" s="1"/>
  <c r="AI38" i="6" a="1"/>
  <c r="AI38" i="6" s="1"/>
  <c r="AI36" i="6" a="1"/>
  <c r="AI36" i="6" s="1"/>
  <c r="AI35" i="6" a="1"/>
  <c r="AI35" i="6" s="1"/>
  <c r="AI37" i="6" a="1"/>
  <c r="AI37" i="6" s="1"/>
  <c r="AI73" i="6" a="1"/>
  <c r="AI73" i="6" s="1"/>
  <c r="AI75" i="6" a="1"/>
  <c r="AI75" i="6" s="1"/>
  <c r="AI74" i="6" a="1"/>
  <c r="AI74" i="6" s="1"/>
  <c r="AI80" i="6" a="1"/>
  <c r="AI80" i="6" s="1"/>
  <c r="AI82" i="6" a="1"/>
  <c r="AI82" i="6" s="1"/>
  <c r="AI81" i="6" a="1"/>
  <c r="AI81" i="6" s="1"/>
  <c r="AH51" i="6" a="1"/>
  <c r="AH51" i="6" s="1"/>
  <c r="AH53" i="6" a="1"/>
  <c r="AH53" i="6" s="1"/>
  <c r="AH49" i="6" a="1"/>
  <c r="AH49" i="6" s="1"/>
  <c r="AH44" i="6" a="1"/>
  <c r="AH44" i="6" s="1"/>
  <c r="AH54" i="6" a="1"/>
  <c r="AH54" i="6" s="1"/>
  <c r="AH48" i="6" a="1"/>
  <c r="AH48" i="6" s="1"/>
  <c r="AI41" i="6"/>
  <c r="AH55" i="6" a="1"/>
  <c r="AH55" i="6" s="1"/>
  <c r="AH59" i="6" a="1"/>
  <c r="AH59" i="6" s="1"/>
  <c r="AH43" i="6" a="1"/>
  <c r="AH43" i="6" s="1"/>
  <c r="AH47" i="6" a="1"/>
  <c r="AH47" i="6" s="1"/>
  <c r="AH50" i="6" a="1"/>
  <c r="AH50" i="6" s="1"/>
  <c r="AH58" i="6" a="1"/>
  <c r="AH58" i="6" s="1"/>
  <c r="AH57" i="6" a="1"/>
  <c r="AH57" i="6" s="1"/>
  <c r="AH45" i="6" a="1"/>
  <c r="AH45" i="6" s="1"/>
  <c r="AH46" i="6" a="1"/>
  <c r="AH46" i="6" s="1"/>
  <c r="AH63" i="6" a="1"/>
  <c r="AH63" i="6" s="1"/>
  <c r="AI62" i="6"/>
  <c r="AI63" i="6" s="1" a="1"/>
  <c r="AI63" i="6" s="1"/>
  <c r="AI67" i="5"/>
  <c r="AG3" i="7"/>
  <c r="AG5" i="7"/>
  <c r="AG4" i="7"/>
  <c r="AG2" i="7"/>
  <c r="AG9" i="7"/>
  <c r="AG8" i="7"/>
  <c r="AG7" i="7"/>
  <c r="AG6" i="7"/>
  <c r="AI12" i="9" a="1"/>
  <c r="AI12" i="9" s="1"/>
  <c r="AI8" i="9" a="1"/>
  <c r="AI8" i="9" s="1"/>
  <c r="AI13" i="9" a="1"/>
  <c r="AI13" i="9" s="1"/>
  <c r="AI11" i="9" a="1"/>
  <c r="AI11" i="9" s="1"/>
  <c r="AI5" i="9" a="1"/>
  <c r="AI5" i="9" s="1"/>
  <c r="AI10" i="9" a="1"/>
  <c r="AI10" i="9" s="1"/>
  <c r="AI9" i="9" a="1"/>
  <c r="AI9" i="9" s="1"/>
  <c r="AI7" i="9" a="1"/>
  <c r="AI7" i="9" s="1"/>
  <c r="AI6" i="9" a="1"/>
  <c r="AI6" i="9" s="1"/>
  <c r="AI63" i="9" a="1"/>
  <c r="AI63" i="9" s="1"/>
  <c r="AH52" i="7" a="1"/>
  <c r="AH52" i="7" s="1"/>
  <c r="AH51" i="7" a="1"/>
  <c r="AH51" i="7" s="1"/>
  <c r="AH54" i="7" a="1"/>
  <c r="AH54" i="7" s="1"/>
  <c r="AH49" i="7" a="1"/>
  <c r="AH49" i="7" s="1"/>
  <c r="AH55" i="7" a="1"/>
  <c r="AH55" i="7" s="1"/>
  <c r="AH50" i="7" a="1"/>
  <c r="AH50" i="7" s="1"/>
  <c r="AH56" i="7" a="1"/>
  <c r="AH56" i="7" s="1"/>
  <c r="AH23" i="7" a="1"/>
  <c r="AH57" i="7" a="1"/>
  <c r="AH57" i="7" s="1"/>
  <c r="AI48" i="7"/>
  <c r="AI73" i="7" s="1" a="1"/>
  <c r="AI73" i="7" s="1"/>
  <c r="AH53" i="7" a="1"/>
  <c r="AH53" i="7" s="1"/>
  <c r="AH2" i="7" a="1"/>
  <c r="AH107" i="7" a="1"/>
  <c r="AH107" i="7" s="1"/>
  <c r="AH118" i="7" a="1"/>
  <c r="AH118" i="7" s="1"/>
  <c r="AH116" i="7" a="1"/>
  <c r="AH116" i="7" s="1"/>
  <c r="AH117" i="7" a="1"/>
  <c r="AH117" i="7" s="1"/>
  <c r="AH119" i="7" a="1"/>
  <c r="AH119" i="7" s="1"/>
  <c r="AI115" i="7"/>
  <c r="AH82" i="9" a="1"/>
  <c r="AH82" i="9" s="1"/>
  <c r="AH73" i="9" a="1"/>
  <c r="AH73" i="9" s="1"/>
  <c r="AH81" i="9" a="1"/>
  <c r="AH81" i="9" s="1"/>
  <c r="AI71" i="9"/>
  <c r="AH75" i="9" a="1"/>
  <c r="AH75" i="9" s="1"/>
  <c r="AH74" i="9" a="1"/>
  <c r="AH74" i="9" s="1"/>
  <c r="AH80" i="9" a="1"/>
  <c r="AH80" i="9" s="1"/>
  <c r="AH72" i="9" a="1"/>
  <c r="AH72" i="9" s="1"/>
  <c r="AI99" i="7" a="1"/>
  <c r="AI99" i="7" s="1"/>
  <c r="AI93" i="7" a="1"/>
  <c r="AI93" i="7" s="1"/>
  <c r="AI87" i="7" a="1"/>
  <c r="AI87" i="7" s="1"/>
  <c r="AI103" i="7" a="1"/>
  <c r="AI103" i="7" s="1"/>
  <c r="AI98" i="7" a="1"/>
  <c r="AI98" i="7" s="1"/>
  <c r="AI91" i="7" a="1"/>
  <c r="AI91" i="7" s="1"/>
  <c r="AI97" i="7" a="1"/>
  <c r="AI97" i="7" s="1"/>
  <c r="AI102" i="7" a="1"/>
  <c r="AI102" i="7" s="1"/>
  <c r="AI89" i="7" a="1"/>
  <c r="AI89" i="7" s="1"/>
  <c r="AI88" i="7" a="1"/>
  <c r="AI88" i="7" s="1"/>
  <c r="AI101" i="7" a="1"/>
  <c r="AI101" i="7" s="1"/>
  <c r="AI92" i="7" a="1"/>
  <c r="AI92" i="7" s="1"/>
  <c r="AI95" i="7" a="1"/>
  <c r="AI95" i="7" s="1"/>
  <c r="AH38" i="9" a="1"/>
  <c r="AH38" i="9" s="1"/>
  <c r="AH37" i="9" a="1"/>
  <c r="AH37" i="9" s="1"/>
  <c r="AH36" i="9" a="1"/>
  <c r="AH36" i="9" s="1"/>
  <c r="AI23" i="9"/>
  <c r="AH35" i="9" a="1"/>
  <c r="AH35" i="9" s="1"/>
  <c r="AG23" i="7"/>
  <c r="AG26" i="7"/>
  <c r="AG24" i="7"/>
  <c r="AG30" i="7"/>
  <c r="AG29" i="7"/>
  <c r="AG28" i="7"/>
  <c r="AG27" i="7"/>
  <c r="AG25" i="7"/>
  <c r="AH61" i="7" a="1"/>
  <c r="AH61" i="7" s="1"/>
  <c r="AH64" i="7" a="1"/>
  <c r="AH64" i="7" s="1"/>
  <c r="AI60" i="7"/>
  <c r="AH62" i="7" a="1"/>
  <c r="AH62" i="7" s="1"/>
  <c r="AH63" i="7" a="1"/>
  <c r="AH63" i="7" s="1"/>
  <c r="AI6" i="5"/>
  <c r="AI9" i="5"/>
  <c r="AI8" i="5"/>
  <c r="AI7" i="5"/>
  <c r="AI5" i="5"/>
  <c r="AI4" i="5"/>
  <c r="AI3" i="5"/>
  <c r="AI2" i="5"/>
  <c r="DC95" i="5" l="1" a="1"/>
  <c r="DC95" i="5" s="1"/>
  <c r="BS101" i="5" a="1"/>
  <c r="BS101" i="5" s="1"/>
  <c r="BS107" i="5" a="1"/>
  <c r="BS107" i="5" s="1"/>
  <c r="BS89" i="5" a="1"/>
  <c r="BS89" i="5" s="1"/>
  <c r="BS91" i="5" a="1"/>
  <c r="BS91" i="5" s="1"/>
  <c r="DC103" i="5" a="1"/>
  <c r="DC103" i="5" s="1"/>
  <c r="DC88" i="5" a="1"/>
  <c r="DC88" i="5" s="1"/>
  <c r="DC91" i="5" a="1"/>
  <c r="DC91" i="5" s="1"/>
  <c r="DC87" i="5" a="1"/>
  <c r="DC87" i="5" s="1"/>
  <c r="DB2" i="5"/>
  <c r="DB9" i="5"/>
  <c r="DB8" i="5"/>
  <c r="DB6" i="5"/>
  <c r="DB5" i="5"/>
  <c r="DB3" i="5"/>
  <c r="DB7" i="5"/>
  <c r="DB4" i="5"/>
  <c r="DC92" i="5" a="1"/>
  <c r="DC92" i="5" s="1"/>
  <c r="DC90" i="5" a="1"/>
  <c r="DC90" i="5" s="1"/>
  <c r="DC2" i="5" a="1"/>
  <c r="DC107" i="5" a="1"/>
  <c r="DC107" i="5" s="1"/>
  <c r="DC97" i="5" a="1"/>
  <c r="DC97" i="5" s="1"/>
  <c r="DC93" i="5" a="1"/>
  <c r="DC93" i="5" s="1"/>
  <c r="DC99" i="5" a="1"/>
  <c r="DC99" i="5" s="1"/>
  <c r="BS103" i="5" a="1"/>
  <c r="BS103" i="5" s="1"/>
  <c r="BS98" i="5" a="1"/>
  <c r="BS98" i="5" s="1"/>
  <c r="BS90" i="5" a="1"/>
  <c r="BS90" i="5" s="1"/>
  <c r="BS111" i="5" a="1"/>
  <c r="BS111" i="5" s="1"/>
  <c r="BS112" i="5" a="1"/>
  <c r="BS112" i="5" s="1"/>
  <c r="BS2" i="5" a="1"/>
  <c r="BS87" i="5" a="1"/>
  <c r="BS87" i="5" s="1"/>
  <c r="BS95" i="5" a="1"/>
  <c r="BS95" i="5" s="1"/>
  <c r="BS102" i="5" a="1"/>
  <c r="BS102" i="5" s="1"/>
  <c r="BS99" i="5" a="1"/>
  <c r="BS99" i="5" s="1"/>
  <c r="BS119" i="5" a="1"/>
  <c r="BS119" i="5" s="1"/>
  <c r="BS118" i="5" a="1"/>
  <c r="BS118" i="5" s="1"/>
  <c r="BS117" i="5" a="1"/>
  <c r="BS117" i="5" s="1"/>
  <c r="BS116" i="5" a="1"/>
  <c r="BS116" i="5" s="1"/>
  <c r="BS88" i="5" a="1"/>
  <c r="BS88" i="5" s="1"/>
  <c r="BS93" i="5" a="1"/>
  <c r="BS93" i="5" s="1"/>
  <c r="BR6" i="5"/>
  <c r="BR5" i="5"/>
  <c r="BR2" i="5"/>
  <c r="BR8" i="5"/>
  <c r="BR7" i="5"/>
  <c r="BR4" i="5"/>
  <c r="BR3" i="5"/>
  <c r="BR9" i="5"/>
  <c r="AI118" i="7" a="1"/>
  <c r="AI118" i="7" s="1"/>
  <c r="AI119" i="7" a="1"/>
  <c r="AI119" i="7" s="1"/>
  <c r="AI117" i="7" a="1"/>
  <c r="AI117" i="7" s="1"/>
  <c r="AI116" i="7" a="1"/>
  <c r="AI116" i="7" s="1"/>
  <c r="AI94" i="7" a="1"/>
  <c r="AI94" i="7" s="1"/>
  <c r="AI51" i="7" a="1"/>
  <c r="AI51" i="7" s="1"/>
  <c r="AI50" i="7" a="1"/>
  <c r="AI50" i="7" s="1"/>
  <c r="AI55" i="7" a="1"/>
  <c r="AI55" i="7" s="1"/>
  <c r="AI56" i="7" a="1"/>
  <c r="AI56" i="7" s="1"/>
  <c r="AI23" i="7" a="1"/>
  <c r="AI57" i="7" a="1"/>
  <c r="AI57" i="7" s="1"/>
  <c r="AI49" i="7" a="1"/>
  <c r="AI49" i="7" s="1"/>
  <c r="AI54" i="7" a="1"/>
  <c r="AI54" i="7" s="1"/>
  <c r="AI53" i="7" a="1"/>
  <c r="AI53" i="7" s="1"/>
  <c r="AI52" i="7" a="1"/>
  <c r="AI52" i="7" s="1"/>
  <c r="AI2" i="7" a="1"/>
  <c r="AI107" i="7" a="1"/>
  <c r="AI107" i="7" s="1"/>
  <c r="AI79" i="7" a="1"/>
  <c r="AI79" i="7" s="1"/>
  <c r="AI37" i="9" a="1"/>
  <c r="AI37" i="9" s="1"/>
  <c r="AI38" i="9" a="1"/>
  <c r="AI38" i="9" s="1"/>
  <c r="AI36" i="9" a="1"/>
  <c r="AI36" i="9" s="1"/>
  <c r="AI35" i="9" a="1"/>
  <c r="AI35" i="9" s="1"/>
  <c r="AI64" i="7" a="1"/>
  <c r="AI64" i="7" s="1"/>
  <c r="AI62" i="7" a="1"/>
  <c r="AI62" i="7" s="1"/>
  <c r="AI61" i="7" a="1"/>
  <c r="AI61" i="7" s="1"/>
  <c r="AI63" i="7" a="1"/>
  <c r="AI63" i="7" s="1"/>
  <c r="AI70" i="7" a="1"/>
  <c r="AI70" i="7" s="1"/>
  <c r="AH9" i="7"/>
  <c r="AH8" i="7"/>
  <c r="AH7" i="7"/>
  <c r="AH2" i="7"/>
  <c r="AH4" i="7"/>
  <c r="AH3" i="7"/>
  <c r="AH6" i="7"/>
  <c r="AH5" i="7"/>
  <c r="AH29" i="7"/>
  <c r="AH30" i="7"/>
  <c r="AH28" i="7"/>
  <c r="AH23" i="7"/>
  <c r="AH26" i="7"/>
  <c r="AH25" i="7"/>
  <c r="AH24" i="7"/>
  <c r="AH27" i="7"/>
  <c r="AI72" i="7" a="1"/>
  <c r="AI72" i="7" s="1"/>
  <c r="AI111" i="7" a="1"/>
  <c r="AI111" i="7" s="1"/>
  <c r="AI59" i="9" a="1"/>
  <c r="AI59" i="9" s="1"/>
  <c r="AI50" i="9" a="1"/>
  <c r="AI50" i="9" s="1"/>
  <c r="AI46" i="9" a="1"/>
  <c r="AI46" i="9" s="1"/>
  <c r="AI53" i="9" a="1"/>
  <c r="AI53" i="9" s="1"/>
  <c r="AI49" i="9" a="1"/>
  <c r="AI49" i="9" s="1"/>
  <c r="AI55" i="9" a="1"/>
  <c r="AI55" i="9" s="1"/>
  <c r="AI54" i="9" a="1"/>
  <c r="AI54" i="9" s="1"/>
  <c r="AI47" i="9" a="1"/>
  <c r="AI47" i="9" s="1"/>
  <c r="AI44" i="9" a="1"/>
  <c r="AI44" i="9" s="1"/>
  <c r="AI58" i="9" a="1"/>
  <c r="AI58" i="9" s="1"/>
  <c r="AI45" i="9" a="1"/>
  <c r="AI45" i="9" s="1"/>
  <c r="AI51" i="9" a="1"/>
  <c r="AI51" i="9" s="1"/>
  <c r="AI48" i="9" a="1"/>
  <c r="AI48" i="9" s="1"/>
  <c r="AI57" i="9" a="1"/>
  <c r="AI57" i="9" s="1"/>
  <c r="AI43" i="9" a="1"/>
  <c r="AI43" i="9" s="1"/>
  <c r="AI75" i="7" a="1"/>
  <c r="AI75" i="7" s="1"/>
  <c r="AI112" i="7" a="1"/>
  <c r="AI112" i="7" s="1"/>
  <c r="AI90" i="7" a="1"/>
  <c r="AI90" i="7" s="1"/>
  <c r="AI80" i="9" a="1"/>
  <c r="AI80" i="9" s="1"/>
  <c r="AI82" i="9" a="1"/>
  <c r="AI82" i="9" s="1"/>
  <c r="AI72" i="9" a="1"/>
  <c r="AI72" i="9" s="1"/>
  <c r="AI73" i="9" a="1"/>
  <c r="AI73" i="9" s="1"/>
  <c r="AI74" i="9" a="1"/>
  <c r="AI74" i="9" s="1"/>
  <c r="AI75" i="9" a="1"/>
  <c r="AI75" i="9" s="1"/>
  <c r="AI81" i="9" a="1"/>
  <c r="AI81" i="9" s="1"/>
  <c r="AI71" i="7" a="1"/>
  <c r="AI71" i="7" s="1"/>
  <c r="AI68" i="9" a="1"/>
  <c r="AI68" i="9" s="1"/>
  <c r="AI67" i="9" a="1"/>
  <c r="AI67" i="9" s="1"/>
  <c r="AI50" i="6" a="1"/>
  <c r="AI50" i="6" s="1"/>
  <c r="AI58" i="6" a="1"/>
  <c r="AI58" i="6" s="1"/>
  <c r="AI48" i="6" a="1"/>
  <c r="AI48" i="6" s="1"/>
  <c r="AI54" i="6" a="1"/>
  <c r="AI54" i="6" s="1"/>
  <c r="AI55" i="6" a="1"/>
  <c r="AI55" i="6" s="1"/>
  <c r="AI59" i="6" a="1"/>
  <c r="AI59" i="6" s="1"/>
  <c r="AI57" i="6" a="1"/>
  <c r="AI57" i="6" s="1"/>
  <c r="AI45" i="6" a="1"/>
  <c r="AI45" i="6" s="1"/>
  <c r="AI47" i="6" a="1"/>
  <c r="AI47" i="6" s="1"/>
  <c r="AI53" i="6" a="1"/>
  <c r="AI53" i="6" s="1"/>
  <c r="AI44" i="6" a="1"/>
  <c r="AI44" i="6" s="1"/>
  <c r="AI46" i="6" a="1"/>
  <c r="AI46" i="6" s="1"/>
  <c r="AI43" i="6" a="1"/>
  <c r="AI43" i="6" s="1"/>
  <c r="AI51" i="6" a="1"/>
  <c r="AI51" i="6" s="1"/>
  <c r="AI49" i="6" a="1"/>
  <c r="AI49" i="6" s="1"/>
  <c r="AI68" i="7" a="1"/>
  <c r="AI68" i="7" s="1"/>
  <c r="AI77" i="7" a="1"/>
  <c r="AI77" i="7" s="1"/>
  <c r="DC9" i="5" l="1"/>
  <c r="DC7" i="5"/>
  <c r="DC8" i="5"/>
  <c r="DC6" i="5"/>
  <c r="DC5" i="5"/>
  <c r="DC2" i="5"/>
  <c r="DC3" i="5"/>
  <c r="DC4" i="5"/>
  <c r="BS9" i="5"/>
  <c r="BS8" i="5"/>
  <c r="BS6" i="5"/>
  <c r="BS5" i="5"/>
  <c r="BS7" i="5"/>
  <c r="BS4" i="5"/>
  <c r="BS3" i="5"/>
  <c r="BS2" i="5"/>
  <c r="AI25" i="7"/>
  <c r="AI30" i="7"/>
  <c r="AI27" i="7"/>
  <c r="AI29" i="7"/>
  <c r="AI28" i="7"/>
  <c r="AI26" i="7"/>
  <c r="AI24" i="7"/>
  <c r="AI23" i="7"/>
  <c r="AI2" i="7"/>
  <c r="AI4" i="7"/>
  <c r="AI3" i="7"/>
  <c r="AI9" i="7"/>
  <c r="AI6" i="7"/>
  <c r="AI5" i="7"/>
  <c r="AI8" i="7"/>
  <c r="AI7" i="7"/>
  <c r="AH53" i="5" l="1"/>
  <c r="AH53" i="5" a="1"/>
  <c r="AZ56" i="5"/>
  <c r="AZ56" i="5" a="1"/>
  <c r="W53" i="5"/>
  <c r="W53" i="5" a="1"/>
  <c r="CC49" i="5"/>
  <c r="CC49" i="5" a="1"/>
  <c r="AM52" i="5"/>
  <c r="AM52" i="5" a="1"/>
  <c r="AN50" i="5"/>
  <c r="AN50" i="5" a="1"/>
  <c r="BN52" i="5"/>
  <c r="BN52" i="5" a="1"/>
  <c r="BF57" i="5"/>
  <c r="BF57" i="5" a="1"/>
  <c r="G53" i="5"/>
  <c r="G53" i="5" a="1"/>
  <c r="CY56" i="5"/>
  <c r="CY56" i="5" a="1"/>
  <c r="AU51" i="5"/>
  <c r="AU51" i="5" a="1"/>
  <c r="C55" i="5"/>
  <c r="C55" i="5" a="1"/>
  <c r="AG56" i="5"/>
  <c r="AG56" i="5" a="1"/>
  <c r="CL49" i="5"/>
  <c r="CL49" i="5" a="1"/>
  <c r="BW54" i="5"/>
  <c r="BW54" i="5" a="1"/>
  <c r="CU54" i="5"/>
  <c r="CU54" i="5" a="1"/>
  <c r="AB57" i="5"/>
  <c r="AB57" i="5" a="1"/>
  <c r="AT52" i="5"/>
  <c r="AT52" i="5" a="1"/>
  <c r="AT51" i="5"/>
  <c r="AT51" i="5" a="1"/>
  <c r="F50" i="5"/>
  <c r="F50" i="5" a="1"/>
  <c r="CB54" i="5"/>
  <c r="CB54" i="5" a="1"/>
  <c r="BP52" i="5"/>
  <c r="BP52" i="5" a="1"/>
  <c r="AA55" i="5"/>
  <c r="AA55" i="5" a="1"/>
  <c r="AS51" i="5"/>
  <c r="AS51" i="5" a="1"/>
  <c r="T50" i="5"/>
  <c r="T50" i="5" a="1"/>
  <c r="AI52" i="5"/>
  <c r="AI52" i="5" a="1"/>
  <c r="D49" i="5"/>
  <c r="D49" i="5" a="1"/>
  <c r="BO52" i="5"/>
  <c r="BO52" i="5" a="1"/>
  <c r="CS50" i="5"/>
  <c r="CS50" i="5" a="1"/>
  <c r="G52" i="5"/>
  <c r="G52" i="5" a="1"/>
  <c r="CM52" i="5"/>
  <c r="CM52" i="5" a="1"/>
  <c r="AR49" i="5"/>
  <c r="AR49" i="5" a="1"/>
  <c r="BF54" i="5"/>
  <c r="BF54" i="5" a="1"/>
  <c r="Y53" i="5"/>
  <c r="Y53" i="5" a="1"/>
  <c r="CP53" i="5"/>
  <c r="CP53" i="5" a="1"/>
  <c r="CB57" i="5"/>
  <c r="CB57" i="5" a="1"/>
  <c r="P49" i="5"/>
  <c r="P49" i="5" a="1"/>
  <c r="CP57" i="5"/>
  <c r="CP57" i="5" a="1"/>
  <c r="J50" i="5"/>
  <c r="J50" i="5" a="1"/>
  <c r="AU56" i="5"/>
  <c r="AU56" i="5" a="1"/>
  <c r="S55" i="5"/>
  <c r="S55" i="5" a="1"/>
  <c r="S54" i="5"/>
  <c r="S54" i="5" a="1"/>
  <c r="AO56" i="5"/>
  <c r="AO56" i="5" a="1"/>
  <c r="AN53" i="5"/>
  <c r="AN53" i="5" a="1"/>
  <c r="BZ54" i="5"/>
  <c r="BZ54" i="5" a="1"/>
  <c r="M57" i="5"/>
  <c r="M57" i="5" a="1"/>
  <c r="CQ55" i="5"/>
  <c r="CQ55" i="5" a="1"/>
  <c r="BP50" i="5"/>
  <c r="BP50" i="5" a="1"/>
  <c r="AF57" i="5"/>
  <c r="AF57" i="5" a="1"/>
  <c r="CN52" i="5"/>
  <c r="CN52" i="5" a="1"/>
  <c r="AR52" i="5"/>
  <c r="AR52" i="5" a="1"/>
  <c r="AC50" i="5"/>
  <c r="AC50" i="5" a="1"/>
  <c r="BQ55" i="5"/>
  <c r="BQ55" i="5" a="1"/>
  <c r="CC52" i="5"/>
  <c r="CC52" i="5" a="1"/>
  <c r="W50" i="5"/>
  <c r="W50" i="5" a="1"/>
  <c r="J55" i="5"/>
  <c r="J55" i="5" a="1"/>
  <c r="U54" i="5"/>
  <c r="U54" i="5" a="1"/>
  <c r="G56" i="5"/>
  <c r="G56" i="5" a="1"/>
  <c r="P57" i="5"/>
  <c r="P57" i="5" a="1"/>
  <c r="N57" i="5"/>
  <c r="N57" i="5" a="1"/>
  <c r="CO50" i="5"/>
  <c r="CO50" i="5" a="1"/>
  <c r="BD53" i="5"/>
  <c r="BD53" i="5" a="1"/>
  <c r="BG51" i="5"/>
  <c r="BG51" i="5" a="1"/>
  <c r="O50" i="5"/>
  <c r="O50" i="5" a="1"/>
  <c r="BM55" i="5"/>
  <c r="BM55" i="5" a="1"/>
  <c r="AR54" i="5"/>
  <c r="AR54" i="5" a="1"/>
  <c r="AT53" i="5"/>
  <c r="AT53" i="5" a="1"/>
  <c r="H56" i="5"/>
  <c r="H56" i="5" a="1"/>
  <c r="E53" i="5"/>
  <c r="E53" i="5" a="1"/>
  <c r="AR55" i="5"/>
  <c r="AR55" i="5" a="1"/>
  <c r="AO57" i="5"/>
  <c r="AO57" i="5" a="1"/>
  <c r="M51" i="5"/>
  <c r="M51" i="5" a="1"/>
  <c r="J54" i="5"/>
  <c r="J54" i="5" a="1"/>
  <c r="AG51" i="5"/>
  <c r="AG51" i="5" a="1"/>
  <c r="AF49" i="5"/>
  <c r="AF49" i="5" a="1"/>
  <c r="S49" i="5"/>
  <c r="S49" i="5" a="1"/>
  <c r="Z49" i="5"/>
  <c r="Z49" i="5" a="1"/>
  <c r="G51" i="5"/>
  <c r="G51" i="5" a="1"/>
  <c r="CH53" i="5"/>
  <c r="CH53" i="5" a="1"/>
  <c r="BF52" i="5"/>
  <c r="BF52" i="5" a="1"/>
  <c r="CD56" i="5"/>
  <c r="CD56" i="5" a="1"/>
  <c r="CY55" i="5"/>
  <c r="CY55" i="5" a="1"/>
  <c r="DB56" i="5"/>
  <c r="DB56" i="5" a="1"/>
  <c r="CV57" i="5"/>
  <c r="CV57" i="5" a="1"/>
  <c r="CM55" i="5"/>
  <c r="CM55" i="5" a="1"/>
  <c r="E55" i="5"/>
  <c r="E55" i="5" a="1"/>
  <c r="BJ53" i="5"/>
  <c r="BJ53" i="5" a="1"/>
  <c r="AO53" i="5"/>
  <c r="AO53" i="5" a="1"/>
  <c r="CY52" i="5"/>
  <c r="CY52" i="5" a="1"/>
  <c r="CC56" i="5"/>
  <c r="CC56" i="5" a="1"/>
  <c r="CO57" i="5"/>
  <c r="CO57" i="5" a="1"/>
  <c r="CQ52" i="5"/>
  <c r="CQ52" i="5" a="1"/>
  <c r="CK57" i="5"/>
  <c r="CK57" i="5" a="1"/>
  <c r="CV49" i="5"/>
  <c r="CV49" i="5" a="1"/>
  <c r="C57" i="5"/>
  <c r="C57" i="5" a="1"/>
  <c r="CT55" i="5"/>
  <c r="CT55" i="5" a="1"/>
  <c r="BZ56" i="5"/>
  <c r="BZ56" i="5" a="1"/>
  <c r="BC56" i="5"/>
  <c r="BC56" i="5" a="1"/>
  <c r="CE56" i="5"/>
  <c r="CE56" i="5" a="1"/>
  <c r="BM51" i="5"/>
  <c r="BM51" i="5" a="1"/>
  <c r="BA52" i="5"/>
  <c r="BA52" i="5" a="1"/>
  <c r="BN50" i="5"/>
  <c r="BN50" i="5" a="1"/>
  <c r="I54" i="5"/>
  <c r="I54" i="5" a="1"/>
  <c r="AQ53" i="5"/>
  <c r="AQ53" i="5" a="1"/>
  <c r="Q52" i="5"/>
  <c r="Q52" i="5" a="1"/>
  <c r="O57" i="5"/>
  <c r="O57" i="5" a="1"/>
  <c r="K57" i="5"/>
  <c r="K57" i="5" a="1"/>
  <c r="BQ54" i="5"/>
  <c r="BQ54" i="5" a="1"/>
  <c r="BR55" i="5"/>
  <c r="BR55" i="5" a="1"/>
  <c r="K52" i="5"/>
  <c r="K52" i="5" a="1"/>
  <c r="AH51" i="5"/>
  <c r="AH51" i="5" a="1"/>
  <c r="BA56" i="5"/>
  <c r="BA56" i="5" a="1"/>
  <c r="AC51" i="5"/>
  <c r="AC51" i="5" a="1"/>
  <c r="DB57" i="5"/>
  <c r="DB57" i="5" a="1"/>
  <c r="BR52" i="5"/>
  <c r="BR52" i="5" a="1"/>
  <c r="CW56" i="5"/>
  <c r="CW56" i="5" a="1"/>
  <c r="AF53" i="5"/>
  <c r="AF53" i="5" a="1"/>
  <c r="AS50" i="5"/>
  <c r="AS50" i="5" a="1"/>
  <c r="CL54" i="5"/>
  <c r="CL54" i="5" a="1"/>
  <c r="CK56" i="5"/>
  <c r="CK56" i="5" a="1"/>
  <c r="C50" i="5"/>
  <c r="C50" i="5" a="1"/>
  <c r="BE57" i="5"/>
  <c r="BE57" i="5" a="1"/>
  <c r="L56" i="5"/>
  <c r="L56" i="5" a="1"/>
  <c r="AB52" i="5"/>
  <c r="AB52" i="5" a="1"/>
  <c r="BN49" i="5"/>
  <c r="BN49" i="5" a="1"/>
  <c r="F53" i="5"/>
  <c r="F53" i="5" a="1"/>
  <c r="CR50" i="5"/>
  <c r="CR50" i="5" a="1"/>
  <c r="BR53" i="5"/>
  <c r="BR53" i="5" a="1"/>
  <c r="CF53" i="5"/>
  <c r="CF53" i="5" a="1"/>
  <c r="X49" i="5"/>
  <c r="X49" i="5" a="1"/>
  <c r="CY51" i="5"/>
  <c r="CY51" i="5" a="1"/>
  <c r="V53" i="5"/>
  <c r="V53" i="5" a="1"/>
  <c r="CV54" i="5"/>
  <c r="CV54" i="5" a="1"/>
  <c r="AV56" i="5"/>
  <c r="AV56" i="5" a="1"/>
  <c r="AG49" i="5"/>
  <c r="AG49" i="5" a="1"/>
  <c r="AS49" i="5"/>
  <c r="CV50" i="5"/>
  <c r="CV50" i="5" a="1"/>
  <c r="CY53" i="5"/>
  <c r="CY53" i="5" a="1"/>
  <c r="V51" i="5"/>
  <c r="V51" i="5" a="1"/>
  <c r="DC56" i="5"/>
  <c r="DC56" i="5" a="1"/>
  <c r="AE54" i="5"/>
  <c r="AE54" i="5" a="1"/>
  <c r="BM56" i="5"/>
  <c r="BM56" i="5" a="1"/>
  <c r="BS51" i="5"/>
  <c r="BS51" i="5" a="1"/>
  <c r="AX53" i="5"/>
  <c r="AX53" i="5" a="1"/>
  <c r="CP49" i="5"/>
  <c r="CP49" i="5" a="1"/>
  <c r="CA57" i="5"/>
  <c r="CA57" i="5" a="1"/>
  <c r="CR53" i="5"/>
  <c r="CR53" i="5" a="1"/>
  <c r="AH49" i="5"/>
  <c r="AH49" i="5" a="1"/>
  <c r="DB54" i="5"/>
  <c r="DB54" i="5" a="1"/>
  <c r="BS49" i="5"/>
  <c r="BS49" i="5" a="1"/>
  <c r="J56" i="5"/>
  <c r="J56" i="5" a="1"/>
  <c r="O51" i="5"/>
  <c r="O51" i="5" a="1"/>
  <c r="AP56" i="5"/>
  <c r="AP56" i="5" a="1"/>
  <c r="H51" i="5"/>
  <c r="H51" i="5" a="1"/>
  <c r="BW50" i="5"/>
  <c r="BW50" i="5" a="1"/>
  <c r="CV51" i="5"/>
  <c r="CV51" i="5" a="1"/>
  <c r="BC53" i="5"/>
  <c r="BC53" i="5" a="1"/>
  <c r="I57" i="5"/>
  <c r="I57" i="5" a="1"/>
  <c r="AP55" i="5"/>
  <c r="AP55" i="5" a="1"/>
  <c r="BH52" i="5"/>
  <c r="BH52" i="5" a="1"/>
  <c r="AI51" i="5"/>
  <c r="AI51" i="5" a="1"/>
  <c r="AV51" i="5"/>
  <c r="AV51" i="5" a="1"/>
  <c r="M54" i="5"/>
  <c r="M54" i="5" a="1"/>
  <c r="BC55" i="5"/>
  <c r="BC55" i="5" a="1"/>
  <c r="CO53" i="5"/>
  <c r="CO53" i="5" a="1"/>
  <c r="BI52" i="5"/>
  <c r="BI52" i="5" a="1"/>
  <c r="CM53" i="5"/>
  <c r="CM53" i="5" a="1"/>
  <c r="BF51" i="5"/>
  <c r="BF51" i="5" a="1"/>
  <c r="BC57" i="5"/>
  <c r="BC57" i="5" a="1"/>
  <c r="BD56" i="5"/>
  <c r="BD56" i="5" a="1"/>
  <c r="CD53" i="5"/>
  <c r="CD53" i="5" a="1"/>
  <c r="BH51" i="5"/>
  <c r="BH51" i="5" a="1"/>
  <c r="AR51" i="5"/>
  <c r="AR51" i="5" a="1"/>
  <c r="CQ51" i="5"/>
  <c r="CQ51" i="5" a="1"/>
  <c r="CW57" i="5"/>
  <c r="CW57" i="5" a="1"/>
  <c r="DB51" i="5"/>
  <c r="DB51" i="5" a="1"/>
  <c r="CB49" i="5"/>
  <c r="CB49" i="5" a="1"/>
  <c r="BD57" i="5"/>
  <c r="BD57" i="5" a="1"/>
  <c r="CU53" i="5"/>
  <c r="CU53" i="5" a="1"/>
  <c r="AS57" i="5"/>
  <c r="AS57" i="5" a="1"/>
  <c r="CO56" i="5"/>
  <c r="CO56" i="5" a="1"/>
  <c r="BD49" i="5"/>
  <c r="BD49" i="5" a="1"/>
  <c r="BW56" i="5"/>
  <c r="BW56" i="5" a="1"/>
  <c r="AM54" i="5"/>
  <c r="AM54" i="5" a="1"/>
  <c r="AD50" i="5"/>
  <c r="AD50" i="5" a="1"/>
  <c r="AV57" i="5"/>
  <c r="AV57" i="5" a="1"/>
  <c r="CF52" i="5"/>
  <c r="CF52" i="5" a="1"/>
  <c r="BD52" i="5"/>
  <c r="BD52" i="5" a="1"/>
  <c r="BZ55" i="5"/>
  <c r="BZ55" i="5" a="1"/>
  <c r="AX57" i="5"/>
  <c r="AX57" i="5" a="1"/>
  <c r="P52" i="5"/>
  <c r="P52" i="5" a="1"/>
  <c r="CZ54" i="5"/>
  <c r="CZ54" i="5" a="1"/>
  <c r="G54" i="5"/>
  <c r="G54" i="5" a="1"/>
  <c r="R55" i="5"/>
  <c r="R55" i="5" a="1"/>
  <c r="BH53" i="5"/>
  <c r="BH53" i="5" a="1"/>
  <c r="L49" i="5"/>
  <c r="L49" i="5" a="1"/>
  <c r="CM50" i="5"/>
  <c r="CM50" i="5" a="1"/>
  <c r="BD50" i="5"/>
  <c r="BD50" i="5" a="1"/>
  <c r="CI49" i="5"/>
  <c r="CI49" i="5" a="1"/>
  <c r="CS57" i="5"/>
  <c r="CS57" i="5" a="1"/>
  <c r="AM49" i="5"/>
  <c r="AM49" i="5" a="1"/>
  <c r="X51" i="5"/>
  <c r="X51" i="5" a="1"/>
  <c r="BB53" i="5"/>
  <c r="BB53" i="5" a="1"/>
  <c r="BO53" i="5"/>
  <c r="BO53" i="5" a="1"/>
  <c r="R57" i="5"/>
  <c r="R57" i="5" a="1"/>
  <c r="BB56" i="5"/>
  <c r="BB56" i="5" a="1"/>
  <c r="AY49" i="5"/>
  <c r="AY49" i="5" a="1"/>
  <c r="BI54" i="5"/>
  <c r="BI54" i="5" a="1"/>
  <c r="W54" i="5"/>
  <c r="W54" i="5" a="1"/>
  <c r="BX55" i="5"/>
  <c r="BX55" i="5" a="1"/>
  <c r="CX49" i="5"/>
  <c r="CX49" i="5" a="1"/>
  <c r="BL51" i="5"/>
  <c r="BL51" i="5" a="1"/>
  <c r="CK51" i="5"/>
  <c r="CK51" i="5" a="1"/>
  <c r="K53" i="5"/>
  <c r="K53" i="5" a="1"/>
  <c r="AE49" i="5"/>
  <c r="AE49" i="5" a="1"/>
  <c r="D56" i="5"/>
  <c r="D56" i="5" a="1"/>
  <c r="CQ57" i="5"/>
  <c r="CQ57" i="5" a="1"/>
  <c r="AM50" i="5"/>
  <c r="AM50" i="5" a="1"/>
  <c r="CW54" i="5"/>
  <c r="CW54" i="5" a="1"/>
  <c r="CB53" i="5"/>
  <c r="CB53" i="5" a="1"/>
  <c r="CP51" i="5"/>
  <c r="CP51" i="5" a="1"/>
  <c r="AW53" i="5"/>
  <c r="AW53" i="5" a="1"/>
  <c r="CT51" i="5"/>
  <c r="CT51" i="5" a="1"/>
  <c r="BB54" i="5"/>
  <c r="BB54" i="5" a="1"/>
  <c r="AP57" i="5"/>
  <c r="AP57" i="5" a="1"/>
  <c r="AG55" i="5"/>
  <c r="AG55" i="5" a="1"/>
  <c r="CF50" i="5"/>
  <c r="CF50" i="5" a="1"/>
  <c r="I52" i="5"/>
  <c r="I52" i="5" a="1"/>
  <c r="Z55" i="5"/>
  <c r="Z55" i="5" a="1"/>
  <c r="BX51" i="5"/>
  <c r="BX51" i="5" a="1"/>
  <c r="Z56" i="5"/>
  <c r="Z56" i="5" a="1"/>
  <c r="CW52" i="5"/>
  <c r="CW52" i="5" a="1"/>
  <c r="G50" i="5"/>
  <c r="G50" i="5" a="1"/>
  <c r="BM50" i="5"/>
  <c r="BM50" i="5" a="1"/>
  <c r="BL50" i="5"/>
  <c r="BL50" i="5" a="1"/>
  <c r="BP54" i="5"/>
  <c r="BP54" i="5" a="1"/>
  <c r="CE49" i="5"/>
  <c r="CE49" i="5" a="1"/>
  <c r="CY54" i="5"/>
  <c r="CY54" i="5" a="1"/>
  <c r="Q49" i="5"/>
  <c r="Q49" i="5" a="1"/>
  <c r="AG50" i="5"/>
  <c r="AG50" i="5" a="1"/>
  <c r="BI56" i="5"/>
  <c r="BI56" i="5" a="1"/>
  <c r="BY49" i="5"/>
  <c r="BY49" i="5" a="1"/>
  <c r="BE56" i="5"/>
  <c r="BE56" i="5" a="1"/>
  <c r="CP55" i="5"/>
  <c r="CP55" i="5" a="1"/>
  <c r="BQ51" i="5"/>
  <c r="BQ51" i="5" a="1"/>
  <c r="AG57" i="5"/>
  <c r="AG57" i="5" a="1"/>
  <c r="AH55" i="5"/>
  <c r="AH55" i="5" a="1"/>
  <c r="AQ54" i="5"/>
  <c r="AQ54" i="5" a="1"/>
  <c r="BF49" i="5"/>
  <c r="BF49" i="5" a="1"/>
  <c r="AU50" i="5"/>
  <c r="AU50" i="5" a="1"/>
  <c r="F56" i="5"/>
  <c r="F56" i="5" a="1"/>
  <c r="M52" i="5"/>
  <c r="M52" i="5" a="1"/>
  <c r="E56" i="5"/>
  <c r="E56" i="5" a="1"/>
  <c r="AB51" i="5"/>
  <c r="AB51" i="5" a="1"/>
  <c r="AY57" i="5"/>
  <c r="AY57" i="5" a="1"/>
  <c r="CJ49" i="5"/>
  <c r="CJ49" i="5" a="1"/>
  <c r="CK53" i="5"/>
  <c r="CK53" i="5" a="1"/>
  <c r="Y54" i="5"/>
  <c r="Y54" i="5" a="1"/>
  <c r="CR54" i="5"/>
  <c r="CR54" i="5" a="1"/>
  <c r="DB52" i="5"/>
  <c r="DB52" i="5" a="1"/>
  <c r="CM54" i="5"/>
  <c r="CM54" i="5" a="1"/>
  <c r="AR50" i="5"/>
  <c r="AR50" i="5" a="1"/>
  <c r="CZ52" i="5"/>
  <c r="CZ52" i="5" a="1"/>
  <c r="X53" i="5"/>
  <c r="X53" i="5" a="1"/>
  <c r="F55" i="5"/>
  <c r="F55" i="5" a="1"/>
  <c r="N52" i="5"/>
  <c r="N52" i="5" a="1"/>
  <c r="BS50" i="5"/>
  <c r="BS50" i="5" a="1"/>
  <c r="O53" i="5"/>
  <c r="O53" i="5" a="1"/>
  <c r="L57" i="5"/>
  <c r="L57" i="5" a="1"/>
  <c r="BR49" i="5"/>
  <c r="BR49" i="5" a="1"/>
  <c r="CN57" i="5"/>
  <c r="CN57" i="5" a="1"/>
  <c r="CF49" i="5"/>
  <c r="CF49" i="5" a="1"/>
  <c r="AT55" i="5"/>
  <c r="AT55" i="5" a="1"/>
  <c r="BY51" i="5"/>
  <c r="BY51" i="5" a="1"/>
  <c r="AI56" i="5"/>
  <c r="AI56" i="5" a="1"/>
  <c r="CN56" i="5"/>
  <c r="CN56" i="5" a="1"/>
  <c r="BY50" i="5"/>
  <c r="BY50" i="5" a="1"/>
  <c r="CC57" i="5"/>
  <c r="CC57" i="5" a="1"/>
  <c r="AF50" i="5"/>
  <c r="AF50" i="5" a="1"/>
  <c r="AI55" i="5"/>
  <c r="AI55" i="5" a="1"/>
  <c r="O56" i="5"/>
  <c r="O56" i="5" a="1"/>
  <c r="AX50" i="5"/>
  <c r="AX50" i="5" a="1"/>
  <c r="BZ57" i="5"/>
  <c r="BZ57" i="5" a="1"/>
  <c r="S53" i="5"/>
  <c r="S53" i="5" a="1"/>
  <c r="BK53" i="5"/>
  <c r="BK53" i="5" a="1"/>
  <c r="BE55" i="5"/>
  <c r="BE55" i="5" a="1"/>
  <c r="CS53" i="5"/>
  <c r="CS53" i="5" a="1"/>
  <c r="DA50" i="5"/>
  <c r="DA50" i="5" a="1"/>
  <c r="BW57" i="5"/>
  <c r="BW57" i="5" a="1"/>
  <c r="CP56" i="5"/>
  <c r="CP56" i="5" a="1"/>
  <c r="X52" i="5"/>
  <c r="X52" i="5" a="1"/>
  <c r="CF54" i="5"/>
  <c r="CF54" i="5" a="1"/>
  <c r="AD53" i="5"/>
  <c r="AD53" i="5" a="1"/>
  <c r="CF51" i="5"/>
  <c r="CF51" i="5" a="1"/>
  <c r="G49" i="5"/>
  <c r="G49" i="5" a="1"/>
  <c r="Z54" i="5"/>
  <c r="Z54" i="5" a="1"/>
  <c r="DC54" i="5"/>
  <c r="DC54" i="5" a="1"/>
  <c r="K49" i="5"/>
  <c r="K49" i="5" a="1"/>
  <c r="Z52" i="5"/>
  <c r="Z52" i="5" a="1"/>
  <c r="CB50" i="5"/>
  <c r="CB50" i="5" a="1"/>
  <c r="AI49" i="5"/>
  <c r="AI49" i="5" a="1"/>
  <c r="CU52" i="5"/>
  <c r="CU52" i="5" a="1"/>
  <c r="BE53" i="5"/>
  <c r="BE53" i="5" a="1"/>
  <c r="CC51" i="5"/>
  <c r="CC51" i="5" a="1"/>
  <c r="AT56" i="5"/>
  <c r="AT56" i="5" a="1"/>
  <c r="AN56" i="5"/>
  <c r="AN56" i="5" a="1"/>
  <c r="AE50" i="5"/>
  <c r="AE50" i="5" a="1"/>
  <c r="Z53" i="5"/>
  <c r="Z53" i="5" a="1"/>
  <c r="BZ51" i="5"/>
  <c r="BZ51" i="5" a="1"/>
  <c r="I51" i="5"/>
  <c r="I51" i="5" a="1"/>
  <c r="K56" i="5"/>
  <c r="K56" i="5" a="1"/>
  <c r="AV54" i="5"/>
  <c r="AV54" i="5" a="1"/>
  <c r="BP57" i="5"/>
  <c r="BP57" i="5" a="1"/>
  <c r="AQ50" i="5"/>
  <c r="AQ50" i="5" a="1"/>
  <c r="AE53" i="5"/>
  <c r="AE53" i="5" a="1"/>
  <c r="CN53" i="5"/>
  <c r="CN53" i="5" a="1"/>
  <c r="H57" i="5"/>
  <c r="H57" i="5" a="1"/>
  <c r="BR50" i="5"/>
  <c r="BR50" i="5" a="1"/>
  <c r="CS55" i="5"/>
  <c r="CS55" i="5" a="1"/>
  <c r="AP51" i="5"/>
  <c r="AP51" i="5" a="1"/>
  <c r="N50" i="5"/>
  <c r="N50" i="5" a="1"/>
  <c r="CT54" i="5"/>
  <c r="CT54" i="5" a="1"/>
  <c r="BP53" i="5"/>
  <c r="BP53" i="5" a="1"/>
  <c r="BM52" i="5"/>
  <c r="BM52" i="5" a="1"/>
  <c r="BF53" i="5"/>
  <c r="BF53" i="5" a="1"/>
  <c r="BS52" i="5"/>
  <c r="BS52" i="5" a="1"/>
  <c r="S51" i="5"/>
  <c r="S51" i="5" a="1"/>
  <c r="AV49" i="5"/>
  <c r="AV49" i="5" a="1"/>
  <c r="AP54" i="5"/>
  <c r="AP54" i="5" a="1"/>
  <c r="AP49" i="5"/>
  <c r="AP49" i="5" a="1"/>
  <c r="BA49" i="5"/>
  <c r="BA49" i="5" a="1"/>
  <c r="AB50" i="5"/>
  <c r="AB50" i="5" a="1"/>
  <c r="AY52" i="5"/>
  <c r="AY52" i="5" a="1"/>
  <c r="CZ49" i="5"/>
  <c r="CZ49" i="5" a="1"/>
  <c r="Y49" i="5"/>
  <c r="Y49" i="5" a="1"/>
  <c r="AD56" i="5"/>
  <c r="AD56" i="5" a="1"/>
  <c r="AE55" i="5"/>
  <c r="AE55" i="5" a="1"/>
  <c r="DC49" i="5"/>
  <c r="DC49" i="5" a="1"/>
  <c r="CI57" i="5"/>
  <c r="CI57" i="5" a="1"/>
  <c r="BJ55" i="5"/>
  <c r="BJ55" i="5" a="1"/>
  <c r="N54" i="5"/>
  <c r="N54" i="5" a="1"/>
  <c r="T52" i="5"/>
  <c r="T52" i="5" a="1"/>
  <c r="AZ53" i="5"/>
  <c r="AZ53" i="5" a="1"/>
  <c r="Q54" i="5"/>
  <c r="Q54" i="5" a="1"/>
  <c r="CH52" i="5"/>
  <c r="CH52" i="5" a="1"/>
  <c r="AD52" i="5"/>
  <c r="AD52" i="5" a="1"/>
  <c r="BZ49" i="5"/>
  <c r="BZ49" i="5" a="1"/>
  <c r="W55" i="5"/>
  <c r="W55" i="5" a="1"/>
  <c r="CR56" i="5"/>
  <c r="CR56" i="5" a="1"/>
  <c r="U56" i="5"/>
  <c r="U56" i="5" a="1"/>
  <c r="AZ55" i="5"/>
  <c r="AZ55" i="5" a="1"/>
  <c r="AM55" i="5"/>
  <c r="AM55" i="5" a="1"/>
  <c r="BG55" i="5"/>
  <c r="BG55" i="5" a="1"/>
  <c r="BR57" i="5"/>
  <c r="BR57" i="5" a="1"/>
  <c r="CC54" i="5"/>
  <c r="CC54" i="5" a="1"/>
  <c r="CH54" i="5"/>
  <c r="CH54" i="5" a="1"/>
  <c r="I50" i="5"/>
  <c r="I50" i="5" a="1"/>
  <c r="BQ52" i="5"/>
  <c r="BQ52" i="5" a="1"/>
  <c r="AQ56" i="5"/>
  <c r="AQ56" i="5" a="1"/>
  <c r="D53" i="5"/>
  <c r="D53" i="5" a="1"/>
  <c r="K54" i="5"/>
  <c r="K54" i="5" a="1"/>
  <c r="BY53" i="5"/>
  <c r="BY53" i="5" a="1"/>
  <c r="O54" i="5"/>
  <c r="O54" i="5" a="1"/>
  <c r="AZ57" i="5"/>
  <c r="AZ57" i="5" a="1"/>
  <c r="CJ53" i="5"/>
  <c r="CJ53" i="5" a="1"/>
  <c r="BX54" i="5"/>
  <c r="BX54" i="5" a="1"/>
  <c r="BX50" i="5"/>
  <c r="BX50" i="5" a="1"/>
  <c r="BY56" i="5"/>
  <c r="BY56" i="5" a="1"/>
  <c r="AY50" i="5"/>
  <c r="AY50" i="5" a="1"/>
  <c r="AM56" i="5"/>
  <c r="AM56" i="5" a="1"/>
  <c r="AW52" i="5"/>
  <c r="AW52" i="5" a="1"/>
  <c r="Y51" i="5"/>
  <c r="Y51" i="5" a="1"/>
  <c r="Q57" i="5"/>
  <c r="Q57" i="5" a="1"/>
  <c r="BB57" i="5"/>
  <c r="BB57" i="5" a="1"/>
  <c r="CZ50" i="5"/>
  <c r="CZ50" i="5" a="1"/>
  <c r="BN51" i="5"/>
  <c r="BN51" i="5" a="1"/>
  <c r="CG57" i="5"/>
  <c r="CG57" i="5" a="1"/>
  <c r="CA56" i="5"/>
  <c r="CA56" i="5" a="1"/>
  <c r="AD54" i="5"/>
  <c r="AD54" i="5" a="1"/>
  <c r="BI49" i="5"/>
  <c r="BI49" i="5" a="1"/>
  <c r="BX52" i="5"/>
  <c r="BX52" i="5" a="1"/>
  <c r="Q53" i="5"/>
  <c r="Q53" i="5" a="1"/>
  <c r="H53" i="5"/>
  <c r="H53" i="5" a="1"/>
  <c r="BB55" i="5"/>
  <c r="BB55" i="5" a="1"/>
  <c r="CV53" i="5"/>
  <c r="CV53" i="5" a="1"/>
  <c r="K55" i="5"/>
  <c r="K55" i="5" a="1"/>
  <c r="W49" i="5"/>
  <c r="W49" i="5" a="1"/>
  <c r="CH49" i="5"/>
  <c r="CH49" i="5" a="1"/>
  <c r="H55" i="5"/>
  <c r="H55" i="5" a="1"/>
  <c r="CP52" i="5"/>
  <c r="CP52" i="5" a="1"/>
  <c r="AX52" i="5"/>
  <c r="AX52" i="5" a="1"/>
  <c r="CE52" i="5"/>
  <c r="CE52" i="5" a="1"/>
  <c r="CE55" i="5"/>
  <c r="CE55" i="5" a="1"/>
  <c r="CX50" i="5"/>
  <c r="CX50" i="5" a="1"/>
  <c r="BJ51" i="5"/>
  <c r="BJ51" i="5" a="1"/>
  <c r="CM56" i="5"/>
  <c r="CM56" i="5" a="1"/>
  <c r="CX56" i="5"/>
  <c r="CX56" i="5" a="1"/>
  <c r="BA55" i="5"/>
  <c r="BA55" i="5" a="1"/>
  <c r="N53" i="5"/>
  <c r="N53" i="5" a="1"/>
  <c r="Y50" i="5"/>
  <c r="Y50" i="5" a="1"/>
  <c r="BO54" i="5"/>
  <c r="BO54" i="5" a="1"/>
  <c r="AX54" i="5"/>
  <c r="AX54" i="5" a="1"/>
  <c r="CG54" i="5"/>
  <c r="CG54" i="5" a="1"/>
  <c r="AD51" i="5"/>
  <c r="AD51" i="5" a="1"/>
  <c r="U57" i="5"/>
  <c r="U57" i="5" a="1"/>
  <c r="J51" i="5"/>
  <c r="J51" i="5" a="1"/>
  <c r="CT50" i="5"/>
  <c r="CT50" i="5" a="1"/>
  <c r="BS53" i="5"/>
  <c r="BS53" i="5" a="1"/>
  <c r="BQ56" i="5"/>
  <c r="BQ56" i="5" a="1"/>
  <c r="BO50" i="5"/>
  <c r="BO50" i="5" a="1"/>
  <c r="CL57" i="5"/>
  <c r="CL57" i="5" a="1"/>
  <c r="BP56" i="5"/>
  <c r="BP56" i="5" a="1"/>
  <c r="U55" i="5"/>
  <c r="U55" i="5" a="1"/>
  <c r="G57" i="5"/>
  <c r="G57" i="5" a="1"/>
  <c r="X54" i="5"/>
  <c r="X54" i="5" a="1"/>
  <c r="BS56" i="5"/>
  <c r="BS56" i="5" a="1"/>
  <c r="CO52" i="5"/>
  <c r="CO52" i="5" a="1"/>
  <c r="CU56" i="5"/>
  <c r="CU56" i="5" a="1"/>
  <c r="DB55" i="5"/>
  <c r="DB55" i="5" a="1"/>
  <c r="CE57" i="5"/>
  <c r="CE57" i="5" a="1"/>
  <c r="CR51" i="5"/>
  <c r="CR51" i="5" a="1"/>
  <c r="W51" i="5"/>
  <c r="W51" i="5" a="1"/>
  <c r="AF51" i="5"/>
  <c r="AF51" i="5" a="1"/>
  <c r="BF55" i="5"/>
  <c r="BF55" i="5" a="1"/>
  <c r="F49" i="5"/>
  <c r="F49" i="5" a="1"/>
  <c r="AS53" i="5"/>
  <c r="AS53" i="5" a="1"/>
  <c r="DC50" i="5"/>
  <c r="DC50" i="5" a="1"/>
  <c r="CG53" i="5"/>
  <c r="CG53" i="5" a="1"/>
  <c r="BN53" i="5"/>
  <c r="BN53" i="5" a="1"/>
  <c r="AI57" i="5"/>
  <c r="AI57" i="5" a="1"/>
  <c r="DB50" i="5"/>
  <c r="DB50" i="5" a="1"/>
  <c r="O49" i="5"/>
  <c r="O49" i="5" a="1"/>
  <c r="CI54" i="5"/>
  <c r="CI54" i="5" a="1"/>
  <c r="D57" i="5"/>
  <c r="D57" i="5" a="1"/>
  <c r="CF55" i="5"/>
  <c r="CF55" i="5" a="1"/>
  <c r="BH56" i="5"/>
  <c r="BH56" i="5" a="1"/>
  <c r="BK57" i="5"/>
  <c r="BK57" i="5" a="1"/>
  <c r="W57" i="5"/>
  <c r="W57" i="5" a="1"/>
  <c r="CF57" i="5"/>
  <c r="CF57" i="5" a="1"/>
  <c r="L51" i="5"/>
  <c r="L51" i="5" a="1"/>
  <c r="DA54" i="5"/>
  <c r="DA54" i="5" a="1"/>
  <c r="R50" i="5"/>
  <c r="R50" i="5" a="1"/>
  <c r="BJ57" i="5"/>
  <c r="BJ57" i="5" a="1"/>
  <c r="BM54" i="5"/>
  <c r="BM54" i="5" a="1"/>
  <c r="N49" i="5"/>
  <c r="N49" i="5" a="1"/>
  <c r="BY57" i="5"/>
  <c r="BY57" i="5" a="1"/>
  <c r="BK55" i="5"/>
  <c r="BK55" i="5" a="1"/>
  <c r="P56" i="5"/>
  <c r="P56" i="5" a="1"/>
  <c r="CR49" i="5"/>
  <c r="CR49" i="5" a="1"/>
  <c r="V55" i="5"/>
  <c r="V55" i="5" a="1"/>
  <c r="BE54" i="5"/>
  <c r="BE54" i="5" a="1"/>
  <c r="CZ53" i="5"/>
  <c r="CZ53" i="5" a="1"/>
  <c r="X50" i="5"/>
  <c r="X50" i="5" a="1"/>
  <c r="O55" i="5"/>
  <c r="O55" i="5" a="1"/>
  <c r="AW56" i="5"/>
  <c r="AW56" i="5" a="1"/>
  <c r="BO55" i="5"/>
  <c r="BO55" i="5" a="1"/>
  <c r="AC54" i="5"/>
  <c r="AC54" i="5" a="1"/>
  <c r="P55" i="5"/>
  <c r="P55" i="5" a="1"/>
  <c r="CS56" i="5"/>
  <c r="CS56" i="5" a="1"/>
  <c r="CX57" i="5"/>
  <c r="CX57" i="5" a="1"/>
  <c r="AS56" i="5"/>
  <c r="AS56" i="5" a="1"/>
  <c r="J52" i="5"/>
  <c r="J52" i="5" a="1"/>
  <c r="L55" i="5"/>
  <c r="L55" i="5" a="1"/>
  <c r="DC52" i="5"/>
  <c r="DC52" i="5" a="1"/>
  <c r="BZ53" i="5"/>
  <c r="BZ53" i="5" a="1"/>
  <c r="BQ57" i="5"/>
  <c r="BQ57" i="5" a="1"/>
  <c r="M56" i="5"/>
  <c r="M56" i="5" a="1"/>
  <c r="BC54" i="5"/>
  <c r="BC54" i="5" a="1"/>
  <c r="C52" i="5"/>
  <c r="C52" i="5" a="1"/>
  <c r="CL56" i="5"/>
  <c r="CL56" i="5" a="1"/>
  <c r="AF56" i="5"/>
  <c r="AF56" i="5" a="1"/>
  <c r="CD52" i="5"/>
  <c r="CD52" i="5" a="1"/>
  <c r="BG56" i="5"/>
  <c r="BG56" i="5" a="1"/>
  <c r="CX53" i="5"/>
  <c r="CX53" i="5" a="1"/>
  <c r="CT56" i="5"/>
  <c r="CT56" i="5" a="1"/>
  <c r="CG56" i="5"/>
  <c r="CG56" i="5" a="1"/>
  <c r="BZ50" i="5"/>
  <c r="BZ50" i="5" a="1"/>
  <c r="BE50" i="5"/>
  <c r="BE50" i="5" a="1"/>
  <c r="CI51" i="5"/>
  <c r="CI51" i="5" a="1"/>
  <c r="BW51" i="5"/>
  <c r="BW51" i="5" a="1"/>
  <c r="AN49" i="5"/>
  <c r="AN49" i="5" a="1"/>
  <c r="AY51" i="5"/>
  <c r="AY51" i="5" a="1"/>
  <c r="S57" i="5"/>
  <c r="S57" i="5" a="1"/>
  <c r="CW51" i="5"/>
  <c r="CW51" i="5" a="1"/>
  <c r="CR52" i="5"/>
  <c r="CR52" i="5" a="1"/>
  <c r="BI53" i="5"/>
  <c r="BI53" i="5" a="1"/>
  <c r="V50" i="5"/>
  <c r="V50" i="5" a="1"/>
  <c r="CL52" i="5"/>
  <c r="CL52" i="5" a="1"/>
  <c r="CX52" i="5"/>
  <c r="CX52" i="5" a="1"/>
  <c r="AA54" i="5"/>
  <c r="AA54" i="5" a="1"/>
  <c r="BC52" i="5"/>
  <c r="BC52" i="5" a="1"/>
  <c r="AT54" i="5"/>
  <c r="AT54" i="5" a="1"/>
  <c r="Y52" i="5"/>
  <c r="Y52" i="5" a="1"/>
  <c r="AF54" i="5"/>
  <c r="AF54" i="5" a="1"/>
  <c r="BH49" i="5"/>
  <c r="BH49" i="5" a="1"/>
  <c r="BN54" i="5"/>
  <c r="BN54" i="5" a="1"/>
  <c r="AC57" i="5"/>
  <c r="AC57" i="5" a="1"/>
  <c r="U49" i="5"/>
  <c r="U49" i="5" a="1"/>
  <c r="AT50" i="5"/>
  <c r="AT50" i="5" a="1"/>
  <c r="BK56" i="5"/>
  <c r="BK56" i="5" a="1"/>
  <c r="D55" i="5"/>
  <c r="D55" i="5" a="1"/>
  <c r="CB52" i="5"/>
  <c r="CB52" i="5" a="1"/>
  <c r="AB56" i="5"/>
  <c r="AB56" i="5" a="1"/>
  <c r="R49" i="5"/>
  <c r="R49" i="5" a="1"/>
  <c r="CG51" i="5"/>
  <c r="CG51" i="5" a="1"/>
  <c r="BK51" i="5"/>
  <c r="BK51" i="5" a="1"/>
  <c r="N55" i="5"/>
  <c r="N55" i="5" a="1"/>
  <c r="AV50" i="5"/>
  <c r="AV50" i="5" a="1"/>
  <c r="CE51" i="5"/>
  <c r="CE51" i="5" a="1"/>
  <c r="DA56" i="5"/>
  <c r="DA56" i="5" a="1"/>
  <c r="AH54" i="5"/>
  <c r="AH54" i="5" a="1"/>
  <c r="T56" i="5"/>
  <c r="T56" i="5" a="1"/>
  <c r="AP52" i="5"/>
  <c r="AP52" i="5" a="1"/>
  <c r="AZ54" i="5"/>
  <c r="AZ54" i="5" a="1"/>
  <c r="E50" i="5"/>
  <c r="E50" i="5" a="1"/>
  <c r="AR57" i="5"/>
  <c r="AR57" i="5" a="1"/>
  <c r="BO57" i="5"/>
  <c r="BO57" i="5" a="1"/>
  <c r="BG52" i="5"/>
  <c r="BG52" i="5" a="1"/>
  <c r="CY50" i="5"/>
  <c r="CY50" i="5" a="1"/>
  <c r="W56" i="5"/>
  <c r="W56" i="5" a="1"/>
  <c r="CJ50" i="5"/>
  <c r="CJ50" i="5" a="1"/>
  <c r="AQ55" i="5"/>
  <c r="AQ55" i="5" a="1"/>
  <c r="AS54" i="5"/>
  <c r="AS54" i="5" a="1"/>
  <c r="BD54" i="5"/>
  <c r="BD54" i="5" a="1"/>
  <c r="AI54" i="5"/>
  <c r="AI54" i="5" a="1"/>
  <c r="CW53" i="5"/>
  <c r="CW53" i="5" a="1"/>
  <c r="CM57" i="5"/>
  <c r="CM57" i="5" a="1"/>
  <c r="AZ51" i="5"/>
  <c r="AZ51" i="5" a="1"/>
  <c r="L54" i="5"/>
  <c r="L54" i="5" a="1"/>
  <c r="CD51" i="5"/>
  <c r="CD51" i="5" a="1"/>
  <c r="CL55" i="5"/>
  <c r="CL55" i="5" a="1"/>
  <c r="CA50" i="5"/>
  <c r="CA50" i="5" a="1"/>
  <c r="AV52" i="5"/>
  <c r="AV52" i="5" a="1"/>
  <c r="DA57" i="5"/>
  <c r="DA57" i="5" a="1"/>
  <c r="AO50" i="5"/>
  <c r="AO50" i="5" a="1"/>
  <c r="AS52" i="5"/>
  <c r="AS52" i="5" a="1"/>
  <c r="AC55" i="5"/>
  <c r="AC55" i="5" a="1"/>
  <c r="AZ52" i="5"/>
  <c r="AZ52" i="5" a="1"/>
  <c r="M49" i="5"/>
  <c r="M49" i="5" a="1"/>
  <c r="CZ57" i="5"/>
  <c r="CZ57" i="5" a="1"/>
  <c r="BJ50" i="5"/>
  <c r="BJ50" i="5" a="1"/>
  <c r="AD49" i="5"/>
  <c r="AD49" i="5" a="1"/>
  <c r="C56" i="5"/>
  <c r="C56" i="5" a="1"/>
  <c r="BL57" i="5"/>
  <c r="BL57" i="5" a="1"/>
  <c r="BG50" i="5"/>
  <c r="BG50" i="5" a="1"/>
  <c r="T51" i="5"/>
  <c r="T51" i="5" a="1"/>
  <c r="U53" i="5"/>
  <c r="U53" i="5" a="1"/>
  <c r="BE52" i="5"/>
  <c r="BE52" i="5" a="1"/>
  <c r="CK52" i="5"/>
  <c r="CK52" i="5" a="1"/>
  <c r="BI55" i="5"/>
  <c r="BI55" i="5" a="1"/>
  <c r="CP54" i="5"/>
  <c r="CP54" i="5" a="1"/>
  <c r="CT52" i="5"/>
  <c r="CT52" i="5" a="1"/>
  <c r="AI53" i="5"/>
  <c r="AI53" i="5" a="1"/>
  <c r="BX53" i="5"/>
  <c r="BX53" i="5" a="1"/>
  <c r="DA51" i="5"/>
  <c r="DA51" i="5" a="1"/>
  <c r="CG55" i="5"/>
  <c r="CG55" i="5" a="1"/>
  <c r="CQ50" i="5"/>
  <c r="CQ50" i="5" a="1"/>
  <c r="CJ56" i="5"/>
  <c r="CJ56" i="5" a="1"/>
  <c r="U50" i="5"/>
  <c r="U50" i="5" a="1"/>
  <c r="CV55" i="5"/>
  <c r="CV55" i="5" a="1"/>
  <c r="CD50" i="5"/>
  <c r="CD50" i="5" a="1"/>
  <c r="AN54" i="5"/>
  <c r="AN54" i="5" a="1"/>
  <c r="AW54" i="5"/>
  <c r="AW54" i="5" a="1"/>
  <c r="BL53" i="5"/>
  <c r="BL53" i="5" a="1"/>
  <c r="CH56" i="5"/>
  <c r="CH56" i="5" a="1"/>
  <c r="AO55" i="5"/>
  <c r="AO55" i="5" a="1"/>
  <c r="Q55" i="5"/>
  <c r="Q55" i="5" a="1"/>
  <c r="AF55" i="5"/>
  <c r="AF55" i="5" a="1"/>
  <c r="CE53" i="5"/>
  <c r="CE53" i="5" a="1"/>
  <c r="V54" i="5"/>
  <c r="V54" i="5" a="1"/>
  <c r="BA53" i="5"/>
  <c r="BA53" i="5" a="1"/>
  <c r="X56" i="5"/>
  <c r="X56" i="5" a="1"/>
  <c r="R53" i="5"/>
  <c r="R53" i="5" a="1"/>
  <c r="X57" i="5"/>
  <c r="X57" i="5" a="1"/>
  <c r="AQ49" i="5"/>
  <c r="AQ49" i="5" a="1"/>
  <c r="CZ56" i="5"/>
  <c r="CZ56" i="5" a="1"/>
  <c r="AY53" i="5"/>
  <c r="AY53" i="5" a="1"/>
  <c r="DA53" i="5"/>
  <c r="DA53" i="5" a="1"/>
  <c r="BL52" i="5"/>
  <c r="BL52" i="5" a="1"/>
  <c r="CW50" i="5"/>
  <c r="CW50" i="5" a="1"/>
  <c r="AU57" i="5"/>
  <c r="AU57" i="5" a="1"/>
  <c r="D52" i="5"/>
  <c r="D52" i="5" a="1"/>
  <c r="CD54" i="5"/>
  <c r="CD54" i="5" a="1"/>
  <c r="P53" i="5"/>
  <c r="P53" i="5" a="1"/>
  <c r="DC51" i="5"/>
  <c r="DC51" i="5" a="1"/>
  <c r="R51" i="5"/>
  <c r="R51" i="5" a="1"/>
  <c r="BL56" i="5"/>
  <c r="BL56" i="5" a="1"/>
  <c r="BE51" i="5"/>
  <c r="BE51" i="5" a="1"/>
  <c r="CR57" i="5"/>
  <c r="CR57" i="5" a="1"/>
  <c r="BC50" i="5"/>
  <c r="BC50" i="5" a="1"/>
  <c r="CS49" i="5"/>
  <c r="CS49" i="5" a="1"/>
  <c r="AG54" i="5"/>
  <c r="AG54" i="5" a="1"/>
  <c r="AH56" i="5"/>
  <c r="AH56" i="5" a="1"/>
  <c r="CO55" i="5"/>
  <c r="CO55" i="5" a="1"/>
  <c r="BM57" i="5"/>
  <c r="BM57" i="5" a="1"/>
  <c r="AC49" i="5"/>
  <c r="AC49" i="5" a="1"/>
  <c r="AE57" i="5"/>
  <c r="AE57" i="5" a="1"/>
  <c r="CM49" i="5"/>
  <c r="CM49" i="5" a="1"/>
  <c r="AY56" i="5"/>
  <c r="AY56" i="5" a="1"/>
  <c r="DB53" i="5"/>
  <c r="DB53" i="5" a="1"/>
  <c r="CA49" i="5"/>
  <c r="CA49" i="5" a="1"/>
  <c r="AM53" i="5"/>
  <c r="AM53" i="5" a="1"/>
  <c r="P51" i="5"/>
  <c r="P51" i="5" a="1"/>
  <c r="CC50" i="5"/>
  <c r="CC50" i="5" a="1"/>
  <c r="AE52" i="5"/>
  <c r="AE52" i="5" a="1"/>
  <c r="BP49" i="5"/>
  <c r="BP49" i="5" a="1"/>
  <c r="CL53" i="5"/>
  <c r="CL53" i="5" a="1"/>
  <c r="AN57" i="5"/>
  <c r="AN57" i="5" a="1"/>
  <c r="CH51" i="5"/>
  <c r="CH51" i="5" a="1"/>
  <c r="BA50" i="5"/>
  <c r="BA50" i="5" a="1"/>
  <c r="CB51" i="5"/>
  <c r="CB51" i="5" a="1"/>
  <c r="W52" i="5"/>
  <c r="W52" i="5" a="1"/>
  <c r="CU49" i="5"/>
  <c r="CU49" i="5" a="1"/>
  <c r="BW55" i="5"/>
  <c r="BW55" i="5" a="1"/>
  <c r="P50" i="5"/>
  <c r="P50" i="5" a="1"/>
  <c r="BK54" i="5"/>
  <c r="BK54" i="5" a="1"/>
  <c r="AH57" i="5"/>
  <c r="AH57" i="5" a="1"/>
  <c r="BN56" i="5"/>
  <c r="BN56" i="5" a="1"/>
  <c r="AG52" i="5"/>
  <c r="AG52" i="5" a="1"/>
  <c r="AC52" i="5"/>
  <c r="AC52" i="5" a="1"/>
  <c r="AW57" i="5"/>
  <c r="AW57" i="5" a="1"/>
  <c r="BA51" i="5"/>
  <c r="BA51" i="5" a="1"/>
  <c r="CX54" i="5"/>
  <c r="CX54" i="5" a="1"/>
  <c r="CY57" i="5"/>
  <c r="CY57" i="5" a="1"/>
  <c r="BD55" i="5"/>
  <c r="BD55" i="5" a="1"/>
  <c r="E52" i="5"/>
  <c r="E52" i="5" a="1"/>
  <c r="BM49" i="5"/>
  <c r="BM49" i="5" a="1"/>
  <c r="AU55" i="5"/>
  <c r="AU55" i="5" a="1"/>
  <c r="Y56" i="5"/>
  <c r="Y56" i="5" a="1"/>
  <c r="AU53" i="5"/>
  <c r="AU53" i="5" a="1"/>
  <c r="BL54" i="5"/>
  <c r="BL54" i="5" a="1"/>
  <c r="CU55" i="5"/>
  <c r="CU55" i="5" a="1"/>
  <c r="V57" i="5"/>
  <c r="V57" i="5" a="1"/>
  <c r="CN54" i="5"/>
  <c r="CN54" i="5" a="1"/>
  <c r="E57" i="5"/>
  <c r="E57" i="5" a="1"/>
  <c r="AC53" i="5"/>
  <c r="AC53" i="5" a="1"/>
  <c r="AR53" i="5"/>
  <c r="AR53" i="5" a="1"/>
  <c r="CO51" i="5"/>
  <c r="CO51" i="5" a="1"/>
  <c r="D54" i="5"/>
  <c r="D54" i="5" a="1"/>
  <c r="AA49" i="5"/>
  <c r="AA49" i="5" a="1"/>
  <c r="CE50" i="5"/>
  <c r="CE50" i="5" a="1"/>
  <c r="CQ54" i="5"/>
  <c r="CQ54" i="5" a="1"/>
  <c r="CK55" i="5"/>
  <c r="CK55" i="5" a="1"/>
  <c r="CR55" i="5"/>
  <c r="CR55" i="5" a="1"/>
  <c r="I55" i="5"/>
  <c r="I55" i="5" a="1"/>
  <c r="CV52" i="5"/>
  <c r="CV52" i="5" a="1"/>
  <c r="AF52" i="5"/>
  <c r="AF52" i="5" a="1"/>
  <c r="BH54" i="5"/>
  <c r="BH54" i="5" a="1"/>
  <c r="BA54" i="5"/>
  <c r="BA54" i="5" a="1"/>
  <c r="AZ49" i="5"/>
  <c r="AZ49" i="5" a="1"/>
  <c r="L53" i="5"/>
  <c r="L53" i="5" a="1"/>
  <c r="AN51" i="5"/>
  <c r="AN51" i="5" a="1"/>
  <c r="AO51" i="5"/>
  <c r="AO51" i="5" a="1"/>
  <c r="O52" i="5"/>
  <c r="O52" i="5" a="1"/>
  <c r="CL50" i="5"/>
  <c r="CL50" i="5" a="1"/>
  <c r="AW55" i="5"/>
  <c r="AW55" i="5" a="1"/>
  <c r="AI50" i="5"/>
  <c r="AI50" i="5" a="1"/>
  <c r="BH55" i="5"/>
  <c r="BH55" i="5" a="1"/>
  <c r="BG53" i="5"/>
  <c r="BG53" i="5" a="1"/>
  <c r="AG53" i="5"/>
  <c r="AG53" i="5" a="1"/>
  <c r="BS54" i="5"/>
  <c r="BS54" i="5" a="1"/>
  <c r="AA52" i="5"/>
  <c r="AA52" i="5" a="1"/>
  <c r="BP51" i="5"/>
  <c r="BP51" i="5" a="1"/>
  <c r="BH57" i="5"/>
  <c r="BH57" i="5" a="1"/>
  <c r="CN50" i="5"/>
  <c r="CN50" i="5" a="1"/>
  <c r="BB52" i="5"/>
  <c r="BB52" i="5" a="1"/>
  <c r="AD57" i="5"/>
  <c r="AD57" i="5" a="1"/>
  <c r="BJ49" i="5"/>
  <c r="BJ49" i="5" a="1"/>
  <c r="BC49" i="5"/>
  <c r="BC49" i="5" a="1"/>
  <c r="BI51" i="5"/>
  <c r="BI51" i="5" a="1"/>
  <c r="AB49" i="5"/>
  <c r="AB49" i="5" a="1"/>
  <c r="G55" i="5"/>
  <c r="G55" i="5" a="1"/>
  <c r="CG50" i="5"/>
  <c r="CG50" i="5" a="1"/>
  <c r="CB55" i="5"/>
  <c r="CB55" i="5" a="1"/>
  <c r="L50" i="5"/>
  <c r="L50" i="5" a="1"/>
  <c r="DA52" i="5"/>
  <c r="DA52" i="5" a="1"/>
  <c r="M55" i="5"/>
  <c r="M55" i="5" a="1"/>
  <c r="S56" i="5"/>
  <c r="S56" i="5" a="1"/>
  <c r="BY54" i="5"/>
  <c r="BY54" i="5" a="1"/>
  <c r="BO51" i="5"/>
  <c r="BO51" i="5" a="1"/>
  <c r="CZ55" i="5"/>
  <c r="CZ55" i="5" a="1"/>
  <c r="AV55" i="5"/>
  <c r="AV55" i="5" a="1"/>
  <c r="BY55" i="5"/>
  <c r="BY55" i="5" a="1"/>
  <c r="H50" i="5"/>
  <c r="H50" i="5" a="1"/>
  <c r="C49" i="5"/>
  <c r="C49" i="5" a="1"/>
  <c r="CJ51" i="5"/>
  <c r="CJ51" i="5" a="1"/>
  <c r="AO54" i="5"/>
  <c r="AO54" i="5" a="1"/>
  <c r="BW53" i="5"/>
  <c r="BW53" i="5" a="1"/>
  <c r="AC56" i="5"/>
  <c r="AC56" i="5" a="1"/>
  <c r="BY52" i="5"/>
  <c r="BY52" i="5" a="1"/>
  <c r="AB54" i="5"/>
  <c r="AB54" i="5" a="1"/>
  <c r="CD49" i="5"/>
  <c r="CD49" i="5" a="1"/>
  <c r="J53" i="5"/>
  <c r="J53" i="5" a="1"/>
  <c r="AU54" i="5"/>
  <c r="AU54" i="5" a="1"/>
  <c r="DB49" i="5"/>
  <c r="DB49" i="5" a="1"/>
  <c r="BF50" i="5"/>
  <c r="BF50" i="5" a="1"/>
  <c r="AN52" i="5"/>
  <c r="AN52" i="5" a="1"/>
  <c r="CD57" i="5"/>
  <c r="CD57" i="5" a="1"/>
  <c r="CG52" i="5"/>
  <c r="CG52" i="5" a="1"/>
  <c r="BM53" i="5"/>
  <c r="BM53" i="5" a="1"/>
  <c r="CA54" i="5"/>
  <c r="CA54" i="5" a="1"/>
  <c r="BW49" i="5"/>
  <c r="BW49" i="5" a="1"/>
  <c r="DA49" i="5"/>
  <c r="DA49" i="5" a="1"/>
  <c r="BH50" i="5"/>
  <c r="BH50" i="5" a="1"/>
  <c r="CA55" i="5"/>
  <c r="CA55" i="5" a="1"/>
  <c r="CS54" i="5"/>
  <c r="CS54" i="5" a="1"/>
  <c r="AA50" i="5"/>
  <c r="AA50" i="5" a="1"/>
  <c r="CJ54" i="5"/>
  <c r="CJ54" i="5" a="1"/>
  <c r="D51" i="5"/>
  <c r="D51" i="5" a="1"/>
  <c r="T49" i="5"/>
  <c r="T49" i="5" a="1"/>
  <c r="BG57" i="5"/>
  <c r="BG57" i="5" a="1"/>
  <c r="C53" i="5"/>
  <c r="C53" i="5" a="1"/>
  <c r="BL49" i="5"/>
  <c r="BL49" i="5" a="1"/>
  <c r="AD55" i="5"/>
  <c r="AD55" i="5" a="1"/>
  <c r="C51" i="5"/>
  <c r="C51" i="5" a="1"/>
  <c r="AH50" i="5"/>
  <c r="AH50" i="5" a="1"/>
  <c r="BX49" i="5"/>
  <c r="BX49" i="5" a="1"/>
  <c r="AT49" i="5"/>
  <c r="AT49" i="5" a="1"/>
  <c r="BK50" i="5"/>
  <c r="BK50" i="5" a="1"/>
  <c r="AP53" i="5"/>
  <c r="AP53" i="5" a="1"/>
  <c r="CI55" i="5"/>
  <c r="CI55" i="5" a="1"/>
  <c r="R56" i="5"/>
  <c r="R56" i="5" a="1"/>
  <c r="E54" i="5"/>
  <c r="E54" i="5" a="1"/>
  <c r="L52" i="5"/>
  <c r="L52" i="5" a="1"/>
  <c r="M53" i="5"/>
  <c r="M53" i="5" a="1"/>
  <c r="BQ50" i="5"/>
  <c r="BQ50" i="5" a="1"/>
  <c r="CN49" i="5"/>
  <c r="CN49" i="5" a="1"/>
  <c r="F57" i="5"/>
  <c r="F57" i="5" a="1"/>
  <c r="BP55" i="5"/>
  <c r="BP55" i="5" a="1"/>
  <c r="AX51" i="5"/>
  <c r="AX51" i="5" a="1"/>
  <c r="CT53" i="5"/>
  <c r="CT53" i="5" a="1"/>
  <c r="R54" i="5"/>
  <c r="R54" i="5" a="1"/>
  <c r="N51" i="5"/>
  <c r="N51" i="5" a="1"/>
  <c r="CU51" i="5"/>
  <c r="CU51" i="5" a="1"/>
  <c r="BB49" i="5"/>
  <c r="BB49" i="5" a="1"/>
  <c r="BG49" i="5"/>
  <c r="BG49" i="5" a="1"/>
  <c r="Y57" i="5"/>
  <c r="Y57" i="5" a="1"/>
  <c r="D50" i="5"/>
  <c r="D50" i="5" a="1"/>
  <c r="DC57" i="5"/>
  <c r="DC57" i="5" a="1"/>
  <c r="CK54" i="5"/>
  <c r="CK54" i="5" a="1"/>
  <c r="F52" i="5"/>
  <c r="F52" i="5" a="1"/>
  <c r="CS52" i="5"/>
  <c r="CS52" i="5" a="1"/>
  <c r="U52" i="5"/>
  <c r="U52" i="5" a="1"/>
  <c r="V56" i="5"/>
  <c r="V56" i="5" a="1"/>
  <c r="CG49" i="5"/>
  <c r="CG49" i="5" a="1"/>
  <c r="AA56" i="5"/>
  <c r="AA56" i="5" a="1"/>
  <c r="AB53" i="5"/>
  <c r="AB53" i="5" a="1"/>
  <c r="AZ50" i="5"/>
  <c r="AZ50" i="5" a="1"/>
  <c r="BW52" i="5"/>
  <c r="BW52" i="5" a="1"/>
  <c r="AQ51" i="5"/>
  <c r="AQ51" i="5" a="1"/>
  <c r="V52" i="5"/>
  <c r="V52" i="5" a="1"/>
  <c r="BN57" i="5"/>
  <c r="BN57" i="5" a="1"/>
  <c r="F51" i="5"/>
  <c r="F51" i="5" a="1"/>
  <c r="U51" i="5"/>
  <c r="U51" i="5" a="1"/>
  <c r="CS51" i="5"/>
  <c r="CS51" i="5" a="1"/>
  <c r="CU57" i="5"/>
  <c r="CU57" i="5" a="1"/>
  <c r="F54" i="5"/>
  <c r="F54" i="5" a="1"/>
  <c r="CT49" i="5"/>
  <c r="CT49" i="5" a="1"/>
  <c r="Y55" i="5"/>
  <c r="Y55" i="5" a="1"/>
  <c r="AB55" i="5"/>
  <c r="AB55" i="5" a="1"/>
  <c r="CY49" i="5"/>
  <c r="CY49" i="5" a="1"/>
  <c r="BJ54" i="5"/>
  <c r="BJ54" i="5" a="1"/>
  <c r="AO52" i="5"/>
  <c r="AO52" i="5" a="1"/>
  <c r="CI50" i="5"/>
  <c r="CI50" i="5" a="1"/>
  <c r="H49" i="5"/>
  <c r="H49" i="5" a="1"/>
  <c r="BK52" i="5"/>
  <c r="BK52" i="5" a="1"/>
  <c r="BO49" i="5"/>
  <c r="BO49" i="5" a="1"/>
  <c r="BI50" i="5"/>
  <c r="BI50" i="5" a="1"/>
  <c r="CX55" i="5"/>
  <c r="CX55" i="5" a="1"/>
  <c r="BI57" i="5"/>
  <c r="BI57" i="5" a="1"/>
  <c r="CD55" i="5"/>
  <c r="CD55" i="5" a="1"/>
  <c r="CF56" i="5"/>
  <c r="CF56" i="5" a="1"/>
  <c r="AX56" i="5"/>
  <c r="AX56" i="5" a="1"/>
  <c r="R52" i="5"/>
  <c r="R52" i="5" a="1"/>
  <c r="AX55" i="5"/>
  <c r="AX55" i="5" a="1"/>
  <c r="AU52" i="5"/>
  <c r="AU52" i="5" a="1"/>
  <c r="V49" i="5"/>
  <c r="V49" i="5" a="1"/>
  <c r="E49" i="5"/>
  <c r="E49" i="5" a="1"/>
  <c r="CI53" i="5"/>
  <c r="CI53" i="5" a="1"/>
  <c r="AA53" i="5"/>
  <c r="AA53" i="5" a="1"/>
  <c r="BF56" i="5"/>
  <c r="BF56" i="5" a="1"/>
  <c r="CP50" i="5"/>
  <c r="CP50" i="5" a="1"/>
  <c r="CJ55" i="5"/>
  <c r="CJ55" i="5" a="1"/>
  <c r="AV53" i="5"/>
  <c r="AV53" i="5" a="1"/>
  <c r="CK50" i="5"/>
  <c r="CK50" i="5" a="1"/>
  <c r="BR56" i="5"/>
  <c r="BR56" i="5" a="1"/>
  <c r="AO49" i="5"/>
  <c r="AO49" i="5" a="1"/>
  <c r="BQ53" i="5"/>
  <c r="BQ53" i="5" a="1"/>
  <c r="BZ52" i="5"/>
  <c r="BZ52" i="5" a="1"/>
  <c r="P54" i="5"/>
  <c r="P54" i="5" a="1"/>
  <c r="AE51" i="5"/>
  <c r="AE51" i="5" a="1"/>
  <c r="AW49" i="5"/>
  <c r="CQ53" i="5"/>
  <c r="CQ53" i="5" a="1"/>
  <c r="CC53" i="5"/>
  <c r="CC53" i="5" a="1"/>
  <c r="AS55" i="5"/>
  <c r="AS55" i="5" a="1"/>
  <c r="DC55" i="5"/>
  <c r="DC55" i="5" a="1"/>
  <c r="CQ56" i="5"/>
  <c r="CQ56" i="5" a="1"/>
  <c r="AN55" i="5"/>
  <c r="AN55" i="5" a="1"/>
  <c r="CM51" i="5"/>
  <c r="CM51" i="5" a="1"/>
  <c r="AX49" i="5"/>
  <c r="AX49" i="5" a="1"/>
  <c r="Q51" i="5"/>
  <c r="Q51" i="5" a="1"/>
  <c r="C54" i="5"/>
  <c r="C54" i="5" a="1"/>
  <c r="CJ52" i="5"/>
  <c r="CJ52" i="5" a="1"/>
  <c r="BA57" i="5"/>
  <c r="BA57" i="5" a="1"/>
  <c r="Z50" i="5"/>
  <c r="Z50" i="5" a="1"/>
  <c r="CZ51" i="5"/>
  <c r="CZ51" i="5" a="1"/>
  <c r="Q56" i="5"/>
  <c r="Q56" i="5" a="1"/>
  <c r="CB56" i="5"/>
  <c r="CB56" i="5" a="1"/>
  <c r="BJ52" i="5"/>
  <c r="BJ52" i="5" a="1"/>
  <c r="CK49" i="5"/>
  <c r="CK49" i="5" a="1"/>
  <c r="CI52" i="5"/>
  <c r="CI52" i="5" a="1"/>
  <c r="CH50" i="5"/>
  <c r="CH50" i="5" a="1"/>
  <c r="K50" i="5"/>
  <c r="K50" i="5" a="1"/>
  <c r="BJ56" i="5"/>
  <c r="BJ56" i="5" a="1"/>
  <c r="Z57" i="5"/>
  <c r="Z57" i="5" a="1"/>
  <c r="T54" i="5"/>
  <c r="T54" i="5" a="1"/>
  <c r="CJ57" i="5"/>
  <c r="CJ57" i="5" a="1"/>
  <c r="S52" i="5"/>
  <c r="S52" i="5" a="1"/>
  <c r="CW49" i="5"/>
  <c r="CW49" i="5" a="1"/>
  <c r="T57" i="5"/>
  <c r="T57" i="5" a="1"/>
  <c r="CA52" i="5"/>
  <c r="CA52" i="5" a="1"/>
  <c r="S50" i="5"/>
  <c r="S50" i="5" a="1"/>
  <c r="CO54" i="5"/>
  <c r="CO54" i="5" a="1"/>
  <c r="N56" i="5"/>
  <c r="N56" i="5" a="1"/>
  <c r="DC53" i="5"/>
  <c r="DC53" i="5" a="1"/>
  <c r="CA53" i="5"/>
  <c r="CA53" i="5" a="1"/>
  <c r="CQ49" i="5"/>
  <c r="CQ49" i="5" a="1"/>
  <c r="AY54" i="5"/>
  <c r="AY54" i="5" a="1"/>
  <c r="BN55" i="5"/>
  <c r="BN55" i="5" a="1"/>
  <c r="J49" i="5"/>
  <c r="J49" i="5" a="1"/>
  <c r="Z51" i="5"/>
  <c r="Z51" i="5" a="1"/>
  <c r="CH55" i="5"/>
  <c r="CH55" i="5" a="1"/>
  <c r="BG54" i="5"/>
  <c r="BG54" i="5" a="1"/>
  <c r="CT57" i="5"/>
  <c r="CT57" i="5" a="1"/>
  <c r="I49" i="5"/>
  <c r="I49" i="5" a="1"/>
  <c r="CN51" i="5"/>
  <c r="CN51" i="5" a="1"/>
  <c r="CC55" i="5"/>
  <c r="CC55" i="5" a="1"/>
  <c r="M50" i="5"/>
  <c r="M50" i="5" a="1"/>
  <c r="BC51" i="5"/>
  <c r="BC51" i="5" a="1"/>
  <c r="BO56" i="5"/>
  <c r="BO56" i="5" a="1"/>
  <c r="BQ49" i="5"/>
  <c r="BQ49" i="5" a="1"/>
  <c r="BX56" i="5"/>
  <c r="BX56" i="5" a="1"/>
  <c r="BL55" i="5"/>
  <c r="BL55" i="5" a="1"/>
  <c r="Q50" i="5"/>
  <c r="Q50" i="5" a="1"/>
  <c r="BR51" i="5"/>
  <c r="BR51" i="5" a="1"/>
  <c r="AQ57" i="5"/>
  <c r="AQ57" i="5" a="1"/>
  <c r="I53" i="5"/>
  <c r="I53" i="5" a="1"/>
  <c r="BS57" i="5"/>
  <c r="BS57" i="5" a="1"/>
  <c r="CL51" i="5"/>
  <c r="CL51" i="5" a="1"/>
  <c r="AH52" i="5"/>
  <c r="AH52" i="5" a="1"/>
  <c r="AQ52" i="5"/>
  <c r="AQ52" i="5" a="1"/>
  <c r="T55" i="5"/>
  <c r="T55" i="5" a="1"/>
  <c r="BK49" i="5"/>
  <c r="BK49" i="5" a="1"/>
  <c r="BR54" i="5"/>
  <c r="BR54" i="5" a="1"/>
  <c r="I56" i="5"/>
  <c r="I56" i="5" a="1"/>
  <c r="AA57" i="5"/>
  <c r="AA57" i="5" a="1"/>
  <c r="T53" i="5"/>
  <c r="T53" i="5" a="1"/>
  <c r="BB50" i="5"/>
  <c r="BB50" i="5" a="1"/>
  <c r="E51" i="5"/>
  <c r="E51" i="5" a="1"/>
  <c r="BB51" i="5"/>
  <c r="BB51" i="5" a="1"/>
  <c r="AR56" i="5"/>
  <c r="AR56" i="5" a="1"/>
  <c r="CU50" i="5"/>
  <c r="CU50" i="5" a="1"/>
  <c r="AA51" i="5"/>
  <c r="AA51" i="5" a="1"/>
  <c r="CI56" i="5"/>
  <c r="CI56" i="5" a="1"/>
  <c r="CO49" i="5"/>
  <c r="CO49" i="5" a="1"/>
  <c r="BS55" i="5"/>
  <c r="BS55" i="5" a="1"/>
  <c r="AW50" i="5"/>
  <c r="AW50" i="5" a="1"/>
  <c r="AT57" i="5"/>
  <c r="AT57" i="5" a="1"/>
  <c r="AP50" i="5"/>
  <c r="AP50" i="5" a="1"/>
  <c r="X55" i="5"/>
  <c r="X55" i="5" a="1"/>
  <c r="J57" i="5"/>
  <c r="J57" i="5" a="1"/>
  <c r="DA55" i="5"/>
  <c r="DA55" i="5" a="1"/>
  <c r="CV56" i="5"/>
  <c r="CV56" i="5" a="1"/>
  <c r="AW51" i="5"/>
  <c r="AW51" i="5" a="1"/>
  <c r="CN55" i="5"/>
  <c r="CN55" i="5" a="1"/>
  <c r="BE49" i="5"/>
  <c r="BE49" i="5" a="1"/>
  <c r="CW55" i="5"/>
  <c r="CW55" i="5" a="1"/>
  <c r="CH57" i="5"/>
  <c r="CH57" i="5" a="1"/>
  <c r="AE56" i="5"/>
  <c r="AE56" i="5" a="1"/>
  <c r="AY55" i="5"/>
  <c r="AY55" i="5" a="1"/>
  <c r="BD51" i="5"/>
  <c r="BD51" i="5" a="1"/>
  <c r="BX57" i="5"/>
  <c r="BX57" i="5" a="1"/>
  <c r="CA51" i="5"/>
  <c r="CA51" i="5" a="1"/>
  <c r="H54" i="5"/>
  <c r="H54" i="5" a="1"/>
  <c r="K51" i="5"/>
  <c r="K51" i="5" a="1"/>
  <c r="H52" i="5"/>
  <c r="H52" i="5" a="1"/>
  <c r="AM57" i="5"/>
  <c r="AM57" i="5" a="1"/>
  <c r="AM51" i="5"/>
  <c r="AM51" i="5" a="1"/>
  <c r="CE54" i="5"/>
  <c r="CE54" i="5" a="1"/>
  <c r="CX51" i="5"/>
  <c r="CX51" i="5" a="1"/>
  <c r="BW76" i="5"/>
  <c r="BW76" i="5" a="1"/>
  <c r="K81" i="5"/>
  <c r="K81" i="5" a="1"/>
  <c r="BG78" i="5"/>
  <c r="BG78" i="5" a="1"/>
  <c r="P75" i="5"/>
  <c r="P75" i="5" a="1"/>
  <c r="AU73" i="5"/>
  <c r="AU73" i="5" a="1"/>
  <c r="G76" i="5"/>
  <c r="G76" i="5" a="1"/>
  <c r="AI73" i="5"/>
  <c r="AI73" i="5" a="1"/>
  <c r="AZ76" i="5"/>
  <c r="AZ76" i="5" a="1"/>
  <c r="L70" i="5"/>
  <c r="L70" i="5" a="1"/>
  <c r="BW77" i="5"/>
  <c r="BW77" i="5" a="1"/>
  <c r="P81" i="5"/>
  <c r="P81" i="5" a="1"/>
  <c r="W75" i="5"/>
  <c r="W75" i="5" a="1"/>
  <c r="AM76" i="5"/>
  <c r="AM76" i="5" a="1"/>
  <c r="K79" i="5"/>
  <c r="K79" i="5" a="1"/>
  <c r="CB75" i="5"/>
  <c r="CB75" i="5" a="1"/>
  <c r="AR79" i="5"/>
  <c r="AR79" i="5" a="1"/>
  <c r="BQ70" i="5"/>
  <c r="BQ70" i="5" a="1"/>
  <c r="AA80" i="5"/>
  <c r="AA80" i="5" a="1"/>
  <c r="Z77" i="5"/>
  <c r="Z77" i="5" a="1"/>
  <c r="AT78" i="5"/>
  <c r="AT78" i="5" a="1"/>
  <c r="AF71" i="5"/>
  <c r="AF71" i="5" a="1"/>
  <c r="CC74" i="5"/>
  <c r="CC74" i="5" a="1"/>
  <c r="AD71" i="5"/>
  <c r="AD71" i="5" a="1"/>
  <c r="BP76" i="5"/>
  <c r="BP76" i="5" a="1"/>
  <c r="AM74" i="5"/>
  <c r="AM74" i="5" a="1"/>
  <c r="CX71" i="5"/>
  <c r="CX71" i="5" a="1"/>
  <c r="D71" i="5"/>
  <c r="D71" i="5" a="1"/>
  <c r="AA78" i="5"/>
  <c r="AA78" i="5" a="1"/>
  <c r="CO69" i="5"/>
  <c r="CO69" i="5" a="1"/>
  <c r="CU74" i="5"/>
  <c r="CU74" i="5" a="1"/>
  <c r="AB80" i="5"/>
  <c r="AB80" i="5" a="1"/>
  <c r="BW72" i="5"/>
  <c r="BW72" i="5" a="1"/>
  <c r="N78" i="5"/>
  <c r="N78" i="5" a="1"/>
  <c r="X75" i="5"/>
  <c r="X75" i="5" a="1"/>
  <c r="BQ79" i="5"/>
  <c r="BQ79" i="5" a="1"/>
  <c r="CK70" i="5"/>
  <c r="CK70" i="5" a="1"/>
  <c r="V80" i="5"/>
  <c r="V80" i="5" a="1"/>
  <c r="AU75" i="5"/>
  <c r="AU75" i="5" a="1"/>
  <c r="H77" i="5"/>
  <c r="H77" i="5" a="1"/>
  <c r="BR80" i="5"/>
  <c r="BR80" i="5" a="1"/>
  <c r="BN74" i="5"/>
  <c r="BN74" i="5" a="1"/>
  <c r="CU80" i="5"/>
  <c r="CU80" i="5" a="1"/>
  <c r="AC69" i="5"/>
  <c r="AC69" i="5" a="1"/>
  <c r="AS80" i="5"/>
  <c r="AS80" i="5" a="1"/>
  <c r="K76" i="5"/>
  <c r="K76" i="5" a="1"/>
  <c r="CR76" i="5"/>
  <c r="CR76" i="5" a="1"/>
  <c r="BE72" i="5"/>
  <c r="BE72" i="5" a="1"/>
  <c r="CI75" i="5"/>
  <c r="CI75" i="5" a="1"/>
  <c r="CW75" i="5"/>
  <c r="CW75" i="5" a="1"/>
  <c r="CD72" i="5"/>
  <c r="CD72" i="5" a="1"/>
  <c r="U78" i="5"/>
  <c r="U78" i="5" a="1"/>
  <c r="T69" i="5"/>
  <c r="T69" i="5" a="1"/>
  <c r="BB72" i="5"/>
  <c r="BB72" i="5" a="1"/>
  <c r="CR73" i="5"/>
  <c r="CR73" i="5" a="1"/>
  <c r="AH80" i="5"/>
  <c r="AH80" i="5" a="1"/>
  <c r="CB74" i="5"/>
  <c r="CB74" i="5" a="1"/>
  <c r="BQ74" i="5"/>
  <c r="BQ74" i="5" a="1"/>
  <c r="AS79" i="5"/>
  <c r="AS79" i="5" a="1"/>
  <c r="AM82" i="5"/>
  <c r="AM82" i="5" a="1"/>
  <c r="D81" i="5"/>
  <c r="D81" i="5" a="1"/>
  <c r="CD75" i="5"/>
  <c r="CD75" i="5" a="1"/>
  <c r="F70" i="5"/>
  <c r="F70" i="5" a="1"/>
  <c r="AC79" i="5"/>
  <c r="AC79" i="5" a="1"/>
  <c r="BC72" i="5"/>
  <c r="BC72" i="5" a="1"/>
  <c r="Y72" i="5"/>
  <c r="Y72" i="5" a="1"/>
  <c r="DC78" i="5"/>
  <c r="DC78" i="5" a="1"/>
  <c r="BQ71" i="5"/>
  <c r="BQ71" i="5" a="1"/>
  <c r="AM68" i="5"/>
  <c r="AM68" i="5" a="1"/>
  <c r="BB78" i="5"/>
  <c r="BB78" i="5" a="1"/>
  <c r="BQ76" i="5"/>
  <c r="BQ76" i="5" a="1"/>
  <c r="AG68" i="5"/>
  <c r="AG68" i="5" a="1"/>
  <c r="CK68" i="5"/>
  <c r="CK68" i="5" a="1"/>
  <c r="CN79" i="5"/>
  <c r="CN79" i="5" a="1"/>
  <c r="BN79" i="5"/>
  <c r="BN79" i="5" a="1"/>
  <c r="BE74" i="5"/>
  <c r="BE74" i="5" a="1"/>
  <c r="AZ74" i="5"/>
  <c r="AZ74" i="5" a="1"/>
  <c r="AB72" i="5"/>
  <c r="AB72" i="5" a="1"/>
  <c r="BR79" i="5"/>
  <c r="BR79" i="5" a="1"/>
  <c r="AS81" i="5"/>
  <c r="AS81" i="5" a="1"/>
  <c r="CY69" i="5"/>
  <c r="CY69" i="5" a="1"/>
  <c r="BR81" i="5"/>
  <c r="BR81" i="5" a="1"/>
  <c r="AD81" i="5"/>
  <c r="AD81" i="5" a="1"/>
  <c r="L82" i="5"/>
  <c r="L82" i="5" a="1"/>
  <c r="I82" i="5"/>
  <c r="I82" i="5" a="1"/>
  <c r="BI76" i="5"/>
  <c r="BI76" i="5" a="1"/>
  <c r="AB82" i="5"/>
  <c r="AB82" i="5" a="1"/>
  <c r="DB78" i="5"/>
  <c r="DB78" i="5" a="1"/>
  <c r="CI69" i="5"/>
  <c r="CI69" i="5" a="1"/>
  <c r="DB71" i="5"/>
  <c r="DB71" i="5" a="1"/>
  <c r="CY72" i="5"/>
  <c r="CY72" i="5" a="1"/>
  <c r="BM77" i="5"/>
  <c r="BM77" i="5" a="1"/>
  <c r="R69" i="5"/>
  <c r="R69" i="5" a="1"/>
  <c r="AS73" i="5"/>
  <c r="AS73" i="5" a="1"/>
  <c r="AI68" i="5"/>
  <c r="AI68" i="5" a="1"/>
  <c r="T75" i="5"/>
  <c r="T75" i="5" a="1"/>
  <c r="I73" i="5"/>
  <c r="I73" i="5" a="1"/>
  <c r="CH77" i="5"/>
  <c r="CH77" i="5" a="1"/>
  <c r="Q74" i="5"/>
  <c r="Q74" i="5" a="1"/>
  <c r="BJ72" i="5"/>
  <c r="BJ72" i="5" a="1"/>
  <c r="CH76" i="5"/>
  <c r="CH76" i="5" a="1"/>
  <c r="BW80" i="5"/>
  <c r="BW80" i="5" a="1"/>
  <c r="J68" i="5"/>
  <c r="J68" i="5" a="1"/>
  <c r="CL70" i="5"/>
  <c r="CL70" i="5" a="1"/>
  <c r="CT80" i="5"/>
  <c r="CT80" i="5" a="1"/>
  <c r="M82" i="5"/>
  <c r="M82" i="5" a="1"/>
  <c r="CA72" i="5"/>
  <c r="CA72" i="5" a="1"/>
  <c r="BL75" i="5"/>
  <c r="BL75" i="5" a="1"/>
  <c r="S70" i="5"/>
  <c r="S70" i="5" a="1"/>
  <c r="DB72" i="5"/>
  <c r="DB72" i="5" a="1"/>
  <c r="BH71" i="5"/>
  <c r="BH71" i="5" a="1"/>
  <c r="CX82" i="5"/>
  <c r="CX82" i="5" a="1"/>
  <c r="CR80" i="5"/>
  <c r="CR80" i="5" a="1"/>
  <c r="BZ74" i="5"/>
  <c r="BZ74" i="5" a="1"/>
  <c r="F71" i="5"/>
  <c r="F71" i="5" a="1"/>
  <c r="BD76" i="5"/>
  <c r="BD76" i="5" a="1"/>
  <c r="AS78" i="5"/>
  <c r="AS78" i="5" a="1"/>
  <c r="CC72" i="5"/>
  <c r="CC72" i="5" a="1"/>
  <c r="CL77" i="5"/>
  <c r="CL77" i="5" a="1"/>
  <c r="U69" i="5"/>
  <c r="U69" i="5" a="1"/>
  <c r="BN80" i="5"/>
  <c r="BN80" i="5" a="1"/>
  <c r="C80" i="5"/>
  <c r="C80" i="5" a="1"/>
  <c r="CE70" i="5"/>
  <c r="CE70" i="5" a="1"/>
  <c r="BG79" i="5"/>
  <c r="BG79" i="5" a="1"/>
  <c r="AO82" i="5"/>
  <c r="AO82" i="5" a="1"/>
  <c r="BC79" i="5"/>
  <c r="BC79" i="5" a="1"/>
  <c r="O74" i="5"/>
  <c r="O74" i="5" a="1"/>
  <c r="W69" i="5"/>
  <c r="W69" i="5" a="1"/>
  <c r="BX82" i="5"/>
  <c r="BX82" i="5" a="1"/>
  <c r="E79" i="5"/>
  <c r="E79" i="5" a="1"/>
  <c r="CS69" i="5"/>
  <c r="CS69" i="5" a="1"/>
  <c r="CS68" i="5"/>
  <c r="CS68" i="5" a="1"/>
  <c r="BN81" i="5"/>
  <c r="BN81" i="5" a="1"/>
  <c r="M77" i="5"/>
  <c r="M77" i="5" a="1"/>
  <c r="BO76" i="5"/>
  <c r="BO76" i="5" a="1"/>
  <c r="CC78" i="5"/>
  <c r="CC78" i="5" a="1"/>
  <c r="BY82" i="5"/>
  <c r="BY82" i="5" a="1"/>
  <c r="CV73" i="5"/>
  <c r="CV73" i="5" a="1"/>
  <c r="AR70" i="5"/>
  <c r="AR70" i="5" a="1"/>
  <c r="CD77" i="5"/>
  <c r="CD77" i="5" a="1"/>
  <c r="CL68" i="5"/>
  <c r="CL68" i="5" a="1"/>
  <c r="BK80" i="5"/>
  <c r="BK80" i="5" a="1"/>
  <c r="CE68" i="5"/>
  <c r="CE68" i="5" a="1"/>
  <c r="CC81" i="5"/>
  <c r="CC81" i="5" a="1"/>
  <c r="AW76" i="5"/>
  <c r="AW76" i="5" a="1"/>
  <c r="AZ75" i="5"/>
  <c r="AZ75" i="5" a="1"/>
  <c r="CI81" i="5"/>
  <c r="CI81" i="5" a="1"/>
  <c r="AV77" i="5"/>
  <c r="AV77" i="5" a="1"/>
  <c r="CF72" i="5"/>
  <c r="CF72" i="5" a="1"/>
  <c r="AC80" i="5"/>
  <c r="AC80" i="5" a="1"/>
  <c r="BQ81" i="5"/>
  <c r="BQ81" i="5" a="1"/>
  <c r="AC68" i="5"/>
  <c r="AC68" i="5" a="1"/>
  <c r="CG75" i="5"/>
  <c r="CG75" i="5" a="1"/>
  <c r="CX76" i="5"/>
  <c r="CX76" i="5" a="1"/>
  <c r="BY74" i="5"/>
  <c r="BY74" i="5" a="1"/>
  <c r="I69" i="5"/>
  <c r="I69" i="5" a="1"/>
  <c r="BH78" i="5"/>
  <c r="BH78" i="5" a="1"/>
  <c r="DB68" i="5"/>
  <c r="DB68" i="5" a="1"/>
  <c r="AB74" i="5"/>
  <c r="AB74" i="5" a="1"/>
  <c r="C71" i="5"/>
  <c r="C71" i="5" a="1"/>
  <c r="BB68" i="5"/>
  <c r="BB68" i="5" a="1"/>
  <c r="BW68" i="5"/>
  <c r="BW68" i="5" a="1"/>
  <c r="BI73" i="5"/>
  <c r="BI73" i="5" a="1"/>
  <c r="BW81" i="5"/>
  <c r="BW81" i="5" a="1"/>
  <c r="CR69" i="5"/>
  <c r="CR69" i="5" a="1"/>
  <c r="AV74" i="5"/>
  <c r="AV74" i="5" a="1"/>
  <c r="CN71" i="5"/>
  <c r="CN71" i="5" a="1"/>
  <c r="F75" i="5"/>
  <c r="F75" i="5" a="1"/>
  <c r="BJ68" i="5"/>
  <c r="BJ68" i="5" a="1"/>
  <c r="BY70" i="5"/>
  <c r="BY70" i="5" a="1"/>
  <c r="O78" i="5"/>
  <c r="O78" i="5" a="1"/>
  <c r="X74" i="5"/>
  <c r="X74" i="5" a="1"/>
  <c r="CY80" i="5"/>
  <c r="CY80" i="5" a="1"/>
  <c r="BH74" i="5"/>
  <c r="BH74" i="5" a="1"/>
  <c r="CI71" i="5"/>
  <c r="CI71" i="5" a="1"/>
  <c r="CK82" i="5"/>
  <c r="CK82" i="5" a="1"/>
  <c r="BL69" i="5"/>
  <c r="BL69" i="5" a="1"/>
  <c r="AX79" i="5"/>
  <c r="AX79" i="5" a="1"/>
  <c r="BX68" i="5"/>
  <c r="BX68" i="5" a="1"/>
  <c r="AM77" i="5"/>
  <c r="AM77" i="5" a="1"/>
  <c r="CP81" i="5"/>
  <c r="CP81" i="5" a="1"/>
  <c r="O73" i="5"/>
  <c r="O73" i="5" a="1"/>
  <c r="DA70" i="5"/>
  <c r="DA70" i="5" a="1"/>
  <c r="CF80" i="5"/>
  <c r="CF80" i="5" a="1"/>
  <c r="BA68" i="5"/>
  <c r="BA68" i="5" a="1"/>
  <c r="BQ72" i="5"/>
  <c r="BQ72" i="5" a="1"/>
  <c r="CH72" i="5"/>
  <c r="CH72" i="5" a="1"/>
  <c r="CI73" i="5"/>
  <c r="CI73" i="5" a="1"/>
  <c r="AE73" i="5"/>
  <c r="AE73" i="5" a="1"/>
  <c r="CZ74" i="5"/>
  <c r="CZ74" i="5" a="1"/>
  <c r="BR70" i="5"/>
  <c r="BR70" i="5" a="1"/>
  <c r="F82" i="5"/>
  <c r="F82" i="5" a="1"/>
  <c r="W79" i="5"/>
  <c r="W79" i="5" a="1"/>
  <c r="CA73" i="5"/>
  <c r="CA73" i="5" a="1"/>
  <c r="AI74" i="5"/>
  <c r="AI74" i="5" a="1"/>
  <c r="DC73" i="5"/>
  <c r="DC73" i="5" a="1"/>
  <c r="CP76" i="5"/>
  <c r="CP76" i="5" a="1"/>
  <c r="CY70" i="5"/>
  <c r="CY70" i="5" a="1"/>
  <c r="G77" i="5"/>
  <c r="G77" i="5" a="1"/>
  <c r="AP77" i="5"/>
  <c r="AP77" i="5" a="1"/>
  <c r="AE72" i="5"/>
  <c r="AE72" i="5" a="1"/>
  <c r="AN82" i="5"/>
  <c r="AN82" i="5" a="1"/>
  <c r="CT77" i="5"/>
  <c r="CT77" i="5" a="1"/>
  <c r="BC71" i="5"/>
  <c r="BC71" i="5" a="1"/>
  <c r="AY73" i="5"/>
  <c r="AY73" i="5" a="1"/>
  <c r="CJ78" i="5"/>
  <c r="CJ78" i="5" a="1"/>
  <c r="BS78" i="5"/>
  <c r="BS78" i="5" a="1"/>
  <c r="S72" i="5"/>
  <c r="S72" i="5" a="1"/>
  <c r="X76" i="5"/>
  <c r="X76" i="5" a="1"/>
  <c r="AM79" i="5"/>
  <c r="AM79" i="5" a="1"/>
  <c r="BC78" i="5"/>
  <c r="BC78" i="5" a="1"/>
  <c r="AQ68" i="5"/>
  <c r="AQ68" i="5" a="1"/>
  <c r="DA71" i="5"/>
  <c r="DA71" i="5" a="1"/>
  <c r="CI72" i="5"/>
  <c r="CI72" i="5" a="1"/>
  <c r="CT81" i="5"/>
  <c r="CT81" i="5" a="1"/>
  <c r="CW82" i="5"/>
  <c r="CW82" i="5" a="1"/>
  <c r="AM69" i="5"/>
  <c r="AM69" i="5" a="1"/>
  <c r="BY72" i="5"/>
  <c r="BY72" i="5" a="1"/>
  <c r="AB79" i="5"/>
  <c r="AB79" i="5" a="1"/>
  <c r="CW78" i="5"/>
  <c r="CW78" i="5" a="1"/>
  <c r="AW70" i="5"/>
  <c r="AW70" i="5" a="1"/>
  <c r="CL82" i="5"/>
  <c r="CL82" i="5" a="1"/>
  <c r="P77" i="5"/>
  <c r="P77" i="5" a="1"/>
  <c r="BO70" i="5"/>
  <c r="BO70" i="5" a="1"/>
  <c r="K71" i="5"/>
  <c r="K71" i="5" a="1"/>
  <c r="AO72" i="5"/>
  <c r="AO72" i="5" a="1"/>
  <c r="V78" i="5"/>
  <c r="V78" i="5" a="1"/>
  <c r="E76" i="5"/>
  <c r="E76" i="5" a="1"/>
  <c r="CN70" i="5"/>
  <c r="CN70" i="5" a="1"/>
  <c r="X77" i="5"/>
  <c r="X77" i="5" a="1"/>
  <c r="CK74" i="5"/>
  <c r="CK74" i="5" a="1"/>
  <c r="DB69" i="5"/>
  <c r="DB69" i="5" a="1"/>
  <c r="X69" i="5"/>
  <c r="X69" i="5" a="1"/>
  <c r="AS75" i="5"/>
  <c r="AS75" i="5" a="1"/>
  <c r="AA73" i="5"/>
  <c r="AA73" i="5" a="1"/>
  <c r="AY72" i="5"/>
  <c r="AY72" i="5" a="1"/>
  <c r="AR74" i="5"/>
  <c r="AR74" i="5" a="1"/>
  <c r="CH79" i="5"/>
  <c r="CH79" i="5" a="1"/>
  <c r="CZ78" i="5"/>
  <c r="CZ78" i="5" a="1"/>
  <c r="BO77" i="5"/>
  <c r="BO77" i="5" a="1"/>
  <c r="BC74" i="5"/>
  <c r="BC74" i="5" a="1"/>
  <c r="BI72" i="5"/>
  <c r="BI72" i="5" a="1"/>
  <c r="Z82" i="5"/>
  <c r="Z82" i="5" a="1"/>
  <c r="S69" i="5"/>
  <c r="S69" i="5" a="1"/>
  <c r="AW71" i="5"/>
  <c r="AW71" i="5" a="1"/>
  <c r="BR73" i="5"/>
  <c r="BR73" i="5" a="1"/>
  <c r="AG81" i="5"/>
  <c r="AG81" i="5" a="1"/>
  <c r="D79" i="5"/>
  <c r="D79" i="5" a="1"/>
  <c r="BJ75" i="5"/>
  <c r="BJ75" i="5" a="1"/>
  <c r="BM81" i="5"/>
  <c r="BM81" i="5" a="1"/>
  <c r="CD70" i="5"/>
  <c r="CD70" i="5" a="1"/>
  <c r="AA72" i="5"/>
  <c r="AA72" i="5" a="1"/>
  <c r="CV76" i="5"/>
  <c r="CV76" i="5" a="1"/>
  <c r="CR70" i="5"/>
  <c r="CR70" i="5" a="1"/>
  <c r="CP75" i="5"/>
  <c r="CP75" i="5" a="1"/>
  <c r="AN71" i="5"/>
  <c r="AN71" i="5" a="1"/>
  <c r="AG79" i="5"/>
  <c r="AG79" i="5" a="1"/>
  <c r="CB80" i="5"/>
  <c r="CB80" i="5" a="1"/>
  <c r="AE76" i="5"/>
  <c r="AE76" i="5" a="1"/>
  <c r="BS79" i="5"/>
  <c r="BS79" i="5" a="1"/>
  <c r="E81" i="5"/>
  <c r="E81" i="5" a="1"/>
  <c r="BO79" i="5"/>
  <c r="BO79" i="5" a="1"/>
  <c r="R78" i="5"/>
  <c r="R78" i="5" a="1"/>
  <c r="BH77" i="5"/>
  <c r="BH77" i="5" a="1"/>
  <c r="AT75" i="5"/>
  <c r="AT75" i="5" a="1"/>
  <c r="CU68" i="5"/>
  <c r="CU68" i="5" a="1"/>
  <c r="CO81" i="5"/>
  <c r="CO81" i="5" a="1"/>
  <c r="CJ68" i="5"/>
  <c r="CJ68" i="5" a="1"/>
  <c r="V75" i="5"/>
  <c r="V75" i="5" a="1"/>
  <c r="CJ75" i="5"/>
  <c r="CJ75" i="5" a="1"/>
  <c r="BK76" i="5"/>
  <c r="BK76" i="5" a="1"/>
  <c r="DB70" i="5"/>
  <c r="DB70" i="5" a="1"/>
  <c r="BW71" i="5"/>
  <c r="BW71" i="5" a="1"/>
  <c r="BL72" i="5"/>
  <c r="BL72" i="5" a="1"/>
  <c r="DA72" i="5"/>
  <c r="DA72" i="5" a="1"/>
  <c r="AO81" i="5"/>
  <c r="AO81" i="5" a="1"/>
  <c r="BD77" i="5"/>
  <c r="BD77" i="5" a="1"/>
  <c r="CD79" i="5"/>
  <c r="CD79" i="5" a="1"/>
  <c r="AY69" i="5"/>
  <c r="AY69" i="5" a="1"/>
  <c r="AA76" i="5"/>
  <c r="AA76" i="5" a="1"/>
  <c r="CI70" i="5"/>
  <c r="CI70" i="5" a="1"/>
  <c r="U74" i="5"/>
  <c r="U74" i="5" a="1"/>
  <c r="E68" i="5"/>
  <c r="E68" i="5" a="1"/>
  <c r="BP72" i="5"/>
  <c r="BP72" i="5" a="1"/>
  <c r="CC71" i="5"/>
  <c r="CC71" i="5" a="1"/>
  <c r="AP76" i="5"/>
  <c r="AP76" i="5" a="1"/>
  <c r="CP73" i="5"/>
  <c r="CP73" i="5" a="1"/>
  <c r="AW68" i="5"/>
  <c r="AW68" i="5" a="1"/>
  <c r="BP71" i="5"/>
  <c r="BP71" i="5" a="1"/>
  <c r="Y80" i="5"/>
  <c r="Y80" i="5" a="1"/>
  <c r="CB81" i="5"/>
  <c r="CB81" i="5" a="1"/>
  <c r="BZ77" i="5"/>
  <c r="BZ77" i="5" a="1"/>
  <c r="CM68" i="5"/>
  <c r="CM68" i="5" a="1"/>
  <c r="CN74" i="5"/>
  <c r="CN74" i="5" a="1"/>
  <c r="X71" i="5"/>
  <c r="X71" i="5" a="1"/>
  <c r="CJ81" i="5"/>
  <c r="CJ81" i="5" a="1"/>
  <c r="U77" i="5"/>
  <c r="U77" i="5" a="1"/>
  <c r="AE79" i="5"/>
  <c r="AE79" i="5" a="1"/>
  <c r="BZ75" i="5"/>
  <c r="BZ75" i="5" a="1"/>
  <c r="CY81" i="5"/>
  <c r="CY81" i="5" a="1"/>
  <c r="DC72" i="5"/>
  <c r="DC72" i="5" a="1"/>
  <c r="AO77" i="5"/>
  <c r="AO77" i="5" a="1"/>
  <c r="J71" i="5"/>
  <c r="J71" i="5" a="1"/>
  <c r="C79" i="5"/>
  <c r="C79" i="5" a="1"/>
  <c r="CC76" i="5"/>
  <c r="CC76" i="5" a="1"/>
  <c r="AS76" i="5"/>
  <c r="AS76" i="5" a="1"/>
  <c r="AT71" i="5"/>
  <c r="AT71" i="5" a="1"/>
  <c r="CZ79" i="5"/>
  <c r="CZ79" i="5" a="1"/>
  <c r="G79" i="5"/>
  <c r="G79" i="5" a="1"/>
  <c r="BF70" i="5"/>
  <c r="BF70" i="5" a="1"/>
  <c r="D76" i="5"/>
  <c r="D76" i="5" a="1"/>
  <c r="CC82" i="5"/>
  <c r="CC82" i="5" a="1"/>
  <c r="C76" i="5"/>
  <c r="C76" i="5" a="1"/>
  <c r="CU81" i="5"/>
  <c r="CU81" i="5" a="1"/>
  <c r="AG77" i="5"/>
  <c r="AG77" i="5" a="1"/>
  <c r="BH72" i="5"/>
  <c r="BH72" i="5" a="1"/>
  <c r="CZ82" i="5"/>
  <c r="CZ82" i="5" a="1"/>
  <c r="BL82" i="5"/>
  <c r="BL82" i="5" a="1"/>
  <c r="BH70" i="5"/>
  <c r="BH70" i="5" a="1"/>
  <c r="Y70" i="5"/>
  <c r="Y70" i="5" a="1"/>
  <c r="BO73" i="5"/>
  <c r="BO73" i="5" a="1"/>
  <c r="AC75" i="5"/>
  <c r="AC75" i="5" a="1"/>
  <c r="R81" i="5"/>
  <c r="R81" i="5" a="1"/>
  <c r="CT76" i="5"/>
  <c r="CT76" i="5" a="1"/>
  <c r="CQ79" i="5"/>
  <c r="CQ79" i="5" a="1"/>
  <c r="AC71" i="5"/>
  <c r="AC71" i="5" a="1"/>
  <c r="CR79" i="5"/>
  <c r="CR79" i="5" a="1"/>
  <c r="AH76" i="5"/>
  <c r="AH76" i="5" a="1"/>
  <c r="Z78" i="5"/>
  <c r="Z78" i="5" a="1"/>
  <c r="AU71" i="5"/>
  <c r="AU71" i="5" a="1"/>
  <c r="G81" i="5"/>
  <c r="G81" i="5" a="1"/>
  <c r="CH82" i="5"/>
  <c r="CH82" i="5" a="1"/>
  <c r="BA74" i="5"/>
  <c r="BA74" i="5" a="1"/>
  <c r="BS73" i="5"/>
  <c r="BS73" i="5" a="1"/>
  <c r="T68" i="5"/>
  <c r="T68" i="5" a="1"/>
  <c r="BX81" i="5"/>
  <c r="BX81" i="5" a="1"/>
  <c r="DB81" i="5"/>
  <c r="DB81" i="5" a="1"/>
  <c r="BO69" i="5"/>
  <c r="BO69" i="5" a="1"/>
  <c r="CA82" i="5"/>
  <c r="CA82" i="5" a="1"/>
  <c r="AI80" i="5"/>
  <c r="AI80" i="5" a="1"/>
  <c r="AY75" i="5"/>
  <c r="AY75" i="5" a="1"/>
  <c r="AU76" i="5"/>
  <c r="AU76" i="5" a="1"/>
  <c r="CG82" i="5"/>
  <c r="CG82" i="5" a="1"/>
  <c r="J80" i="5"/>
  <c r="J80" i="5" a="1"/>
  <c r="CS81" i="5"/>
  <c r="CS81" i="5" a="1"/>
  <c r="CT78" i="5"/>
  <c r="CT78" i="5" a="1"/>
  <c r="E80" i="5"/>
  <c r="E80" i="5" a="1"/>
  <c r="CI80" i="5"/>
  <c r="CI80" i="5" a="1"/>
  <c r="S80" i="5"/>
  <c r="S80" i="5" a="1"/>
  <c r="BY68" i="5"/>
  <c r="BY68" i="5" a="1"/>
  <c r="I79" i="5"/>
  <c r="I79" i="5" a="1"/>
  <c r="BF77" i="5"/>
  <c r="BF77" i="5" a="1"/>
  <c r="Z70" i="5"/>
  <c r="Z70" i="5" a="1"/>
  <c r="CL71" i="5"/>
  <c r="CL71" i="5" a="1"/>
  <c r="M81" i="5"/>
  <c r="M81" i="5" a="1"/>
  <c r="CS73" i="5"/>
  <c r="CS73" i="5" a="1"/>
  <c r="CQ70" i="5"/>
  <c r="CQ70" i="5" a="1"/>
  <c r="CV74" i="5"/>
  <c r="CV74" i="5" a="1"/>
  <c r="AQ77" i="5"/>
  <c r="AQ77" i="5" a="1"/>
  <c r="AR71" i="5"/>
  <c r="AR71" i="5" a="1"/>
  <c r="AQ72" i="5"/>
  <c r="AQ72" i="5" a="1"/>
  <c r="Q77" i="5"/>
  <c r="Q77" i="5" a="1"/>
  <c r="X70" i="5"/>
  <c r="X70" i="5" a="1"/>
  <c r="AV79" i="5"/>
  <c r="AV79" i="5" a="1"/>
  <c r="AA68" i="5"/>
  <c r="AA68" i="5" a="1"/>
  <c r="AQ76" i="5"/>
  <c r="AQ76" i="5" a="1"/>
  <c r="BQ69" i="5"/>
  <c r="BQ69" i="5" a="1"/>
  <c r="W71" i="5"/>
  <c r="W71" i="5" a="1"/>
  <c r="AP71" i="5"/>
  <c r="AP71" i="5" a="1"/>
  <c r="AP70" i="5"/>
  <c r="AP70" i="5" a="1"/>
  <c r="AG82" i="5"/>
  <c r="AG82" i="5" a="1"/>
  <c r="BK69" i="5"/>
  <c r="BK69" i="5" a="1"/>
  <c r="V73" i="5"/>
  <c r="V73" i="5" a="1"/>
  <c r="M78" i="5"/>
  <c r="M78" i="5" a="1"/>
  <c r="CA80" i="5"/>
  <c r="CA80" i="5" a="1"/>
  <c r="BC81" i="5"/>
  <c r="BC81" i="5" a="1"/>
  <c r="CU76" i="5"/>
  <c r="CU76" i="5" a="1"/>
  <c r="AW80" i="5"/>
  <c r="AW80" i="5" a="1"/>
  <c r="BO80" i="5"/>
  <c r="BO80" i="5" a="1"/>
  <c r="L71" i="5"/>
  <c r="L71" i="5" a="1"/>
  <c r="X78" i="5"/>
  <c r="X78" i="5" a="1"/>
  <c r="BS81" i="5"/>
  <c r="BS81" i="5" a="1"/>
  <c r="AE70" i="5"/>
  <c r="AE70" i="5" a="1"/>
  <c r="AY82" i="5"/>
  <c r="AY82" i="5" a="1"/>
  <c r="CZ72" i="5"/>
  <c r="CZ72" i="5" a="1"/>
  <c r="T72" i="5"/>
  <c r="T72" i="5" a="1"/>
  <c r="AY68" i="5"/>
  <c r="AY68" i="5" a="1"/>
  <c r="BJ78" i="5"/>
  <c r="BJ78" i="5" a="1"/>
  <c r="AH82" i="5"/>
  <c r="AH82" i="5" a="1"/>
  <c r="CQ75" i="5"/>
  <c r="CQ75" i="5" a="1"/>
  <c r="AD68" i="5"/>
  <c r="AD68" i="5" a="1"/>
  <c r="AI70" i="5"/>
  <c r="AI70" i="5" a="1"/>
  <c r="V68" i="5"/>
  <c r="V68" i="5" a="1"/>
  <c r="BN71" i="5"/>
  <c r="BN71" i="5" a="1"/>
  <c r="CE82" i="5"/>
  <c r="CE82" i="5" a="1"/>
  <c r="DA82" i="5"/>
  <c r="DA82" i="5" a="1"/>
  <c r="CH74" i="5"/>
  <c r="CH74" i="5" a="1"/>
  <c r="F76" i="5"/>
  <c r="F76" i="5" a="1"/>
  <c r="CG69" i="5"/>
  <c r="CG69" i="5" a="1"/>
  <c r="CB78" i="5"/>
  <c r="CB78" i="5" a="1"/>
  <c r="CF69" i="5"/>
  <c r="CF69" i="5" a="1"/>
  <c r="BD79" i="5"/>
  <c r="BD79" i="5" a="1"/>
  <c r="P78" i="5"/>
  <c r="P78" i="5" a="1"/>
  <c r="AD75" i="5"/>
  <c r="AD75" i="5" a="1"/>
  <c r="BO78" i="5"/>
  <c r="BO78" i="5" a="1"/>
  <c r="AA70" i="5"/>
  <c r="AA70" i="5" a="1"/>
  <c r="H72" i="5"/>
  <c r="H72" i="5" a="1"/>
  <c r="AM70" i="5"/>
  <c r="AM70" i="5" a="1"/>
  <c r="C74" i="5"/>
  <c r="C74" i="5" a="1"/>
  <c r="CM72" i="5"/>
  <c r="CM72" i="5" a="1"/>
  <c r="AX70" i="5"/>
  <c r="AX70" i="5" a="1"/>
  <c r="AQ80" i="5"/>
  <c r="AQ80" i="5" a="1"/>
  <c r="CC69" i="5"/>
  <c r="CC69" i="5" a="1"/>
  <c r="N72" i="5"/>
  <c r="N72" i="5" a="1"/>
  <c r="AG75" i="5"/>
  <c r="AG75" i="5" a="1"/>
  <c r="CT69" i="5"/>
  <c r="CT69" i="5" a="1"/>
  <c r="BK68" i="5"/>
  <c r="BK68" i="5" a="1"/>
  <c r="AX74" i="5"/>
  <c r="AX74" i="5" a="1"/>
  <c r="CA74" i="5"/>
  <c r="CA74" i="5" a="1"/>
  <c r="AV81" i="5"/>
  <c r="AV81" i="5" a="1"/>
  <c r="BK71" i="5"/>
  <c r="BK71" i="5" a="1"/>
  <c r="AS70" i="5"/>
  <c r="AS70" i="5" a="1"/>
  <c r="DC75" i="5"/>
  <c r="DC75" i="5" a="1"/>
  <c r="AQ74" i="5"/>
  <c r="AQ74" i="5" a="1"/>
  <c r="J77" i="5"/>
  <c r="J77" i="5" a="1"/>
  <c r="BF76" i="5"/>
  <c r="BF76" i="5" a="1"/>
  <c r="J69" i="5"/>
  <c r="J69" i="5" a="1"/>
  <c r="R70" i="5"/>
  <c r="R70" i="5" a="1"/>
  <c r="BF72" i="5"/>
  <c r="BF72" i="5" a="1"/>
  <c r="BN73" i="5"/>
  <c r="BN73" i="5" a="1"/>
  <c r="U81" i="5"/>
  <c r="U81" i="5" a="1"/>
  <c r="CH80" i="5"/>
  <c r="CH80" i="5" a="1"/>
  <c r="F80" i="5"/>
  <c r="F80" i="5" a="1"/>
  <c r="BP74" i="5"/>
  <c r="BP74" i="5" a="1"/>
  <c r="AD70" i="5"/>
  <c r="AD70" i="5" a="1"/>
  <c r="CL72" i="5"/>
  <c r="CL72" i="5" a="1"/>
  <c r="BF73" i="5"/>
  <c r="BF73" i="5" a="1"/>
  <c r="BX69" i="5"/>
  <c r="BX69" i="5" a="1"/>
  <c r="BS70" i="5"/>
  <c r="BS70" i="5" a="1"/>
  <c r="H74" i="5"/>
  <c r="H74" i="5" a="1"/>
  <c r="AX82" i="5"/>
  <c r="AX82" i="5" a="1"/>
  <c r="CQ76" i="5"/>
  <c r="CQ76" i="5" a="1"/>
  <c r="BO74" i="5"/>
  <c r="BO74" i="5" a="1"/>
  <c r="BK77" i="5"/>
  <c r="BK77" i="5" a="1"/>
  <c r="CW71" i="5"/>
  <c r="CW71" i="5" a="1"/>
  <c r="BZ72" i="5"/>
  <c r="BZ72" i="5" a="1"/>
  <c r="BP77" i="5"/>
  <c r="BP77" i="5" a="1"/>
  <c r="BP82" i="5"/>
  <c r="BP82" i="5" a="1"/>
  <c r="CL76" i="5"/>
  <c r="CL76" i="5" a="1"/>
  <c r="AV78" i="5"/>
  <c r="AV78" i="5" a="1"/>
  <c r="BH82" i="5"/>
  <c r="BH82" i="5" a="1"/>
  <c r="BK72" i="5"/>
  <c r="BK72" i="5" a="1"/>
  <c r="AW77" i="5"/>
  <c r="AW77" i="5" a="1"/>
  <c r="BN76" i="5"/>
  <c r="BN76" i="5" a="1"/>
  <c r="DC74" i="5"/>
  <c r="DC74" i="5" a="1"/>
  <c r="BM74" i="5"/>
  <c r="BM74" i="5" a="1"/>
  <c r="BM73" i="5"/>
  <c r="BM73" i="5" a="1"/>
  <c r="BQ78" i="5"/>
  <c r="BQ78" i="5" a="1"/>
  <c r="G71" i="5"/>
  <c r="G71" i="5" a="1"/>
  <c r="CR78" i="5"/>
  <c r="CR78" i="5" a="1"/>
  <c r="BP78" i="5"/>
  <c r="BP78" i="5" a="1"/>
  <c r="AR68" i="5"/>
  <c r="AR68" i="5" a="1"/>
  <c r="AR81" i="5"/>
  <c r="AR81" i="5" a="1"/>
  <c r="AE82" i="5"/>
  <c r="AE82" i="5" a="1"/>
  <c r="H70" i="5"/>
  <c r="H70" i="5" a="1"/>
  <c r="CB79" i="5"/>
  <c r="CB79" i="5" a="1"/>
  <c r="L76" i="5"/>
  <c r="L76" i="5" a="1"/>
  <c r="CH75" i="5"/>
  <c r="CH75" i="5" a="1"/>
  <c r="CZ76" i="5"/>
  <c r="CZ76" i="5" a="1"/>
  <c r="CD68" i="5"/>
  <c r="CD68" i="5" a="1"/>
  <c r="Z68" i="5"/>
  <c r="Z68" i="5" a="1"/>
  <c r="DC77" i="5"/>
  <c r="DC77" i="5" a="1"/>
  <c r="V74" i="5"/>
  <c r="V74" i="5" a="1"/>
  <c r="AD79" i="5"/>
  <c r="AD79" i="5" a="1"/>
  <c r="F78" i="5"/>
  <c r="F78" i="5" a="1"/>
  <c r="BH79" i="5"/>
  <c r="BH79" i="5" a="1"/>
  <c r="Q79" i="5"/>
  <c r="Q79" i="5" a="1"/>
  <c r="D72" i="5"/>
  <c r="D72" i="5" a="1"/>
  <c r="BN77" i="5"/>
  <c r="BN77" i="5" a="1"/>
  <c r="AN72" i="5"/>
  <c r="AN72" i="5" a="1"/>
  <c r="BQ77" i="5"/>
  <c r="BQ77" i="5" a="1"/>
  <c r="BS71" i="5"/>
  <c r="BS71" i="5" a="1"/>
  <c r="BH73" i="5"/>
  <c r="BH73" i="5" a="1"/>
  <c r="CE74" i="5"/>
  <c r="CE74" i="5" a="1"/>
  <c r="V79" i="5"/>
  <c r="V79" i="5" a="1"/>
  <c r="CS82" i="5"/>
  <c r="CS82" i="5" a="1"/>
  <c r="AV69" i="5"/>
  <c r="AV69" i="5" a="1"/>
  <c r="CX77" i="5"/>
  <c r="CX77" i="5" a="1"/>
  <c r="R80" i="5"/>
  <c r="R80" i="5" a="1"/>
  <c r="AP78" i="5"/>
  <c r="AP78" i="5" a="1"/>
  <c r="BK78" i="5"/>
  <c r="BK78" i="5" a="1"/>
  <c r="BE73" i="5"/>
  <c r="BE73" i="5" a="1"/>
  <c r="T74" i="5"/>
  <c r="T74" i="5" a="1"/>
  <c r="AU69" i="5"/>
  <c r="AU69" i="5" a="1"/>
  <c r="CQ69" i="5"/>
  <c r="CQ69" i="5" a="1"/>
  <c r="BR74" i="5"/>
  <c r="BR74" i="5" a="1"/>
  <c r="U72" i="5"/>
  <c r="U72" i="5" a="1"/>
  <c r="J73" i="5"/>
  <c r="J73" i="5" a="1"/>
  <c r="AD77" i="5"/>
  <c r="AD77" i="5" a="1"/>
  <c r="BD68" i="5"/>
  <c r="BD68" i="5" a="1"/>
  <c r="BL70" i="5"/>
  <c r="BL70" i="5" a="1"/>
  <c r="T79" i="5"/>
  <c r="T79" i="5" a="1"/>
  <c r="AE78" i="5"/>
  <c r="AE78" i="5" a="1"/>
  <c r="AP72" i="5"/>
  <c r="AP72" i="5" a="1"/>
  <c r="AY71" i="5"/>
  <c r="AY71" i="5" a="1"/>
  <c r="BB77" i="5"/>
  <c r="BB77" i="5" a="1"/>
  <c r="BL76" i="5"/>
  <c r="BL76" i="5" a="1"/>
  <c r="BC73" i="5"/>
  <c r="BC73" i="5" a="1"/>
  <c r="G82" i="5"/>
  <c r="G82" i="5" a="1"/>
  <c r="CM77" i="5"/>
  <c r="CM77" i="5" a="1"/>
  <c r="AC81" i="5"/>
  <c r="AC81" i="5" a="1"/>
  <c r="CC70" i="5"/>
  <c r="CC70" i="5" a="1"/>
  <c r="DB76" i="5"/>
  <c r="DB76" i="5" a="1"/>
  <c r="CL69" i="5"/>
  <c r="CL69" i="5" a="1"/>
  <c r="C70" i="5"/>
  <c r="C70" i="5" a="1"/>
  <c r="AN73" i="5"/>
  <c r="AN73" i="5" a="1"/>
  <c r="BW82" i="5"/>
  <c r="BW82" i="5" a="1"/>
  <c r="I81" i="5"/>
  <c r="I81" i="5" a="1"/>
  <c r="BJ76" i="5"/>
  <c r="BJ76" i="5" a="1"/>
  <c r="CO77" i="5"/>
  <c r="CO77" i="5" a="1"/>
  <c r="BR69" i="5"/>
  <c r="BR69" i="5" a="1"/>
  <c r="BM82" i="5"/>
  <c r="BM82" i="5" a="1"/>
  <c r="S75" i="5"/>
  <c r="S75" i="5" a="1"/>
  <c r="BG74" i="5"/>
  <c r="BG74" i="5" a="1"/>
  <c r="O69" i="5"/>
  <c r="O69" i="5" a="1"/>
  <c r="CQ82" i="5"/>
  <c r="CQ82" i="5" a="1"/>
  <c r="I76" i="5"/>
  <c r="I76" i="5" a="1"/>
  <c r="AB77" i="5"/>
  <c r="AB77" i="5" a="1"/>
  <c r="BE77" i="5"/>
  <c r="BE77" i="5" a="1"/>
  <c r="CS77" i="5"/>
  <c r="CS77" i="5" a="1"/>
  <c r="CE72" i="5"/>
  <c r="CE72" i="5" a="1"/>
  <c r="CG77" i="5"/>
  <c r="CG77" i="5" a="1"/>
  <c r="BB76" i="5"/>
  <c r="BB76" i="5" a="1"/>
  <c r="CW77" i="5"/>
  <c r="CW77" i="5" a="1"/>
  <c r="BP69" i="5"/>
  <c r="BP69" i="5" a="1"/>
  <c r="DC71" i="5"/>
  <c r="DC71" i="5" a="1"/>
  <c r="BZ68" i="5"/>
  <c r="BZ68" i="5" a="1"/>
  <c r="AB76" i="5"/>
  <c r="AB76" i="5" a="1"/>
  <c r="W81" i="5"/>
  <c r="W81" i="5" a="1"/>
  <c r="L72" i="5"/>
  <c r="L72" i="5" a="1"/>
  <c r="AA81" i="5"/>
  <c r="AA81" i="5" a="1"/>
  <c r="M70" i="5"/>
  <c r="M70" i="5" a="1"/>
  <c r="AQ79" i="5"/>
  <c r="AQ79" i="5" a="1"/>
  <c r="CK79" i="5"/>
  <c r="CK79" i="5" a="1"/>
  <c r="CD81" i="5"/>
  <c r="CD81" i="5" a="1"/>
  <c r="BD70" i="5"/>
  <c r="BD70" i="5" a="1"/>
  <c r="CM69" i="5"/>
  <c r="CM69" i="5" a="1"/>
  <c r="BB70" i="5"/>
  <c r="BB70" i="5" a="1"/>
  <c r="BB82" i="5"/>
  <c r="BB82" i="5" a="1"/>
  <c r="CX78" i="5"/>
  <c r="CX78" i="5" a="1"/>
  <c r="AW82" i="5"/>
  <c r="AW82" i="5" a="1"/>
  <c r="AF74" i="5"/>
  <c r="AF74" i="5" a="1"/>
  <c r="BM68" i="5"/>
  <c r="BM68" i="5" a="1"/>
  <c r="CV79" i="5"/>
  <c r="CV79" i="5" a="1"/>
  <c r="AI71" i="5"/>
  <c r="AI71" i="5" a="1"/>
  <c r="CO72" i="5"/>
  <c r="CO72" i="5" a="1"/>
  <c r="AP68" i="5"/>
  <c r="AP68" i="5" a="1"/>
  <c r="CB71" i="5"/>
  <c r="CB71" i="5" a="1"/>
  <c r="W72" i="5"/>
  <c r="W72" i="5" a="1"/>
  <c r="CB82" i="5"/>
  <c r="CB82" i="5" a="1"/>
  <c r="CF82" i="5"/>
  <c r="CF82" i="5" a="1"/>
  <c r="CK78" i="5"/>
  <c r="CK78" i="5" a="1"/>
  <c r="W74" i="5"/>
  <c r="W74" i="5" a="1"/>
  <c r="Q70" i="5"/>
  <c r="Q70" i="5" a="1"/>
  <c r="AU78" i="5"/>
  <c r="AU78" i="5" a="1"/>
  <c r="AO71" i="5"/>
  <c r="AO71" i="5" a="1"/>
  <c r="N79" i="5"/>
  <c r="N79" i="5" a="1"/>
  <c r="BJ77" i="5"/>
  <c r="BJ77" i="5" a="1"/>
  <c r="CN81" i="5"/>
  <c r="CN81" i="5" a="1"/>
  <c r="K68" i="5"/>
  <c r="K68" i="5" a="1"/>
  <c r="CQ77" i="5"/>
  <c r="CQ77" i="5" a="1"/>
  <c r="CU72" i="5"/>
  <c r="CU72" i="5" a="1"/>
  <c r="CB72" i="5"/>
  <c r="CB72" i="5" a="1"/>
  <c r="CS76" i="5"/>
  <c r="CS76" i="5" a="1"/>
  <c r="BG71" i="5"/>
  <c r="BG71" i="5" a="1"/>
  <c r="CX74" i="5"/>
  <c r="CX74" i="5" a="1"/>
  <c r="AN76" i="5"/>
  <c r="AN76" i="5" a="1"/>
  <c r="CP69" i="5"/>
  <c r="CP69" i="5" a="1"/>
  <c r="X81" i="5"/>
  <c r="X81" i="5" a="1"/>
  <c r="CK80" i="5"/>
  <c r="CK80" i="5" a="1"/>
  <c r="AR77" i="5"/>
  <c r="AR77" i="5" a="1"/>
  <c r="BH80" i="5"/>
  <c r="BH80" i="5" a="1"/>
  <c r="BF78" i="5"/>
  <c r="BF78" i="5" a="1"/>
  <c r="AZ69" i="5"/>
  <c r="AZ69" i="5" a="1"/>
  <c r="AT74" i="5"/>
  <c r="AT74" i="5" a="1"/>
  <c r="CH78" i="5"/>
  <c r="CH78" i="5" a="1"/>
  <c r="CI68" i="5"/>
  <c r="CI68" i="5" a="1"/>
  <c r="CZ73" i="5"/>
  <c r="CZ73" i="5" a="1"/>
  <c r="BG81" i="5"/>
  <c r="BG81" i="5" a="1"/>
  <c r="BY79" i="5"/>
  <c r="BY79" i="5" a="1"/>
  <c r="CW68" i="5"/>
  <c r="CW68" i="5" a="1"/>
  <c r="AB70" i="5"/>
  <c r="AB70" i="5" a="1"/>
  <c r="BC69" i="5"/>
  <c r="BC69" i="5" a="1"/>
  <c r="BG77" i="5"/>
  <c r="BG77" i="5" a="1"/>
  <c r="BX77" i="5"/>
  <c r="BX77" i="5" a="1"/>
  <c r="L74" i="5"/>
  <c r="L74" i="5" a="1"/>
  <c r="P69" i="5"/>
  <c r="P69" i="5" a="1"/>
  <c r="CZ77" i="5"/>
  <c r="CZ77" i="5" a="1"/>
  <c r="AM75" i="5"/>
  <c r="AM75" i="5" a="1"/>
  <c r="S76" i="5"/>
  <c r="S76" i="5" a="1"/>
  <c r="S79" i="5"/>
  <c r="S79" i="5" a="1"/>
  <c r="BW78" i="5"/>
  <c r="BW78" i="5" a="1"/>
  <c r="N73" i="5"/>
  <c r="N73" i="5" a="1"/>
  <c r="AX78" i="5"/>
  <c r="AX78" i="5" a="1"/>
  <c r="D69" i="5"/>
  <c r="D69" i="5" a="1"/>
  <c r="DB82" i="5"/>
  <c r="DB82" i="5" a="1"/>
  <c r="AG69" i="5"/>
  <c r="AG69" i="5" a="1"/>
  <c r="Z72" i="5"/>
  <c r="Z72" i="5" a="1"/>
  <c r="CZ70" i="5"/>
  <c r="CZ70" i="5" a="1"/>
  <c r="CW69" i="5"/>
  <c r="CW69" i="5" a="1"/>
  <c r="AG80" i="5"/>
  <c r="AG80" i="5" a="1"/>
  <c r="BA79" i="5"/>
  <c r="BA79" i="5" a="1"/>
  <c r="BG70" i="5"/>
  <c r="BG70" i="5" a="1"/>
  <c r="CW79" i="5"/>
  <c r="CW79" i="5" a="1"/>
  <c r="CB70" i="5"/>
  <c r="CB70" i="5" a="1"/>
  <c r="AT76" i="5"/>
  <c r="AT76" i="5" a="1"/>
  <c r="V69" i="5"/>
  <c r="V69" i="5" a="1"/>
  <c r="Q73" i="5"/>
  <c r="Q73" i="5" a="1"/>
  <c r="AU77" i="5"/>
  <c r="AU77" i="5" a="1"/>
  <c r="AP75" i="5"/>
  <c r="AP75" i="5" a="1"/>
  <c r="CG79" i="5"/>
  <c r="CG79" i="5" a="1"/>
  <c r="AE68" i="5"/>
  <c r="AE68" i="5" a="1"/>
  <c r="DA79" i="5"/>
  <c r="DA79" i="5" a="1"/>
  <c r="E75" i="5"/>
  <c r="E75" i="5" a="1"/>
  <c r="AR75" i="5"/>
  <c r="AR75" i="5" a="1"/>
  <c r="DC82" i="5"/>
  <c r="DC82" i="5" a="1"/>
  <c r="BY73" i="5"/>
  <c r="BY73" i="5" a="1"/>
  <c r="CM73" i="5"/>
  <c r="CM73" i="5" a="1"/>
  <c r="AN77" i="5"/>
  <c r="AN77" i="5" a="1"/>
  <c r="AY70" i="5"/>
  <c r="AY70" i="5" a="1"/>
  <c r="F81" i="5"/>
  <c r="F81" i="5" a="1"/>
  <c r="BO81" i="5"/>
  <c r="BO81" i="5" a="1"/>
  <c r="BB74" i="5"/>
  <c r="BB74" i="5" a="1"/>
  <c r="U75" i="5"/>
  <c r="U75" i="5" a="1"/>
  <c r="AX71" i="5"/>
  <c r="AX71" i="5" a="1"/>
  <c r="CK76" i="5"/>
  <c r="CK76" i="5" a="1"/>
  <c r="M73" i="5"/>
  <c r="M73" i="5" a="1"/>
  <c r="W82" i="5"/>
  <c r="W82" i="5" a="1"/>
  <c r="CO82" i="5"/>
  <c r="CO82" i="5" a="1"/>
  <c r="BE69" i="5"/>
  <c r="BE69" i="5" a="1"/>
  <c r="CF76" i="5"/>
  <c r="CF76" i="5" a="1"/>
  <c r="AQ81" i="5"/>
  <c r="AQ81" i="5" a="1"/>
  <c r="AY74" i="5"/>
  <c r="AY74" i="5" a="1"/>
  <c r="BE76" i="5"/>
  <c r="BE76" i="5" a="1"/>
  <c r="CF77" i="5"/>
  <c r="CF77" i="5" a="1"/>
  <c r="CZ80" i="5"/>
  <c r="CZ80" i="5" a="1"/>
  <c r="CI76" i="5"/>
  <c r="CI76" i="5" a="1"/>
  <c r="CV78" i="5"/>
  <c r="CV78" i="5" a="1"/>
  <c r="BC76" i="5"/>
  <c r="BC76" i="5" a="1"/>
  <c r="O68" i="5"/>
  <c r="O68" i="5" a="1"/>
  <c r="BI79" i="5"/>
  <c r="BI79" i="5" a="1"/>
  <c r="D82" i="5"/>
  <c r="D82" i="5" a="1"/>
  <c r="M75" i="5"/>
  <c r="M75" i="5" a="1"/>
  <c r="BJ79" i="5"/>
  <c r="BJ79" i="5" a="1"/>
  <c r="Q75" i="5"/>
  <c r="Q75" i="5" a="1"/>
  <c r="BQ68" i="5"/>
  <c r="BQ68" i="5" a="1"/>
  <c r="BW75" i="5"/>
  <c r="BW75" i="5" a="1"/>
  <c r="AW73" i="5"/>
  <c r="AW73" i="5" a="1"/>
  <c r="CP82" i="5"/>
  <c r="CP82" i="5" a="1"/>
  <c r="BA81" i="5"/>
  <c r="BA81" i="5" a="1"/>
  <c r="AR72" i="5"/>
  <c r="AR72" i="5" a="1"/>
  <c r="CW76" i="5"/>
  <c r="CW76" i="5" a="1"/>
  <c r="CU70" i="5"/>
  <c r="CU70" i="5" a="1"/>
  <c r="P79" i="5"/>
  <c r="P79" i="5" a="1"/>
  <c r="BJ73" i="5"/>
  <c r="BJ73" i="5" a="1"/>
  <c r="BR71" i="5"/>
  <c r="BR71" i="5" a="1"/>
  <c r="H71" i="5"/>
  <c r="H71" i="5" a="1"/>
  <c r="AC77" i="5"/>
  <c r="AC77" i="5" a="1"/>
  <c r="CC75" i="5"/>
  <c r="CC75" i="5" a="1"/>
  <c r="CP79" i="5"/>
  <c r="CP79" i="5" a="1"/>
  <c r="W73" i="5"/>
  <c r="W73" i="5" a="1"/>
  <c r="CD71" i="5"/>
  <c r="CD71" i="5" a="1"/>
  <c r="CQ71" i="5"/>
  <c r="CQ71" i="5" a="1"/>
  <c r="E72" i="5"/>
  <c r="E72" i="5" a="1"/>
  <c r="BJ69" i="5"/>
  <c r="BJ69" i="5" a="1"/>
  <c r="Q80" i="5"/>
  <c r="Q80" i="5" a="1"/>
  <c r="BG82" i="5"/>
  <c r="BG82" i="5" a="1"/>
  <c r="P73" i="5"/>
  <c r="P73" i="5" a="1"/>
  <c r="R76" i="5"/>
  <c r="R76" i="5" a="1"/>
  <c r="DC69" i="5"/>
  <c r="DC69" i="5" a="1"/>
  <c r="BL81" i="5"/>
  <c r="BL81" i="5" a="1"/>
  <c r="CG78" i="5"/>
  <c r="CG78" i="5" a="1"/>
  <c r="BK79" i="5"/>
  <c r="BK79" i="5" a="1"/>
  <c r="CV77" i="5"/>
  <c r="CV77" i="5" a="1"/>
  <c r="BP68" i="5"/>
  <c r="BP68" i="5" a="1"/>
  <c r="CS80" i="5"/>
  <c r="CS80" i="5" a="1"/>
  <c r="BG80" i="5"/>
  <c r="BG80" i="5" a="1"/>
  <c r="L80" i="5"/>
  <c r="L80" i="5" a="1"/>
  <c r="BF68" i="5"/>
  <c r="BF68" i="5" a="1"/>
  <c r="AH69" i="5"/>
  <c r="AH69" i="5" a="1"/>
  <c r="AV72" i="5"/>
  <c r="AV72" i="5" a="1"/>
  <c r="C75" i="5"/>
  <c r="C75" i="5" a="1"/>
  <c r="CJ71" i="5"/>
  <c r="CJ71" i="5" a="1"/>
  <c r="CR68" i="5"/>
  <c r="CR68" i="5" a="1"/>
  <c r="I71" i="5"/>
  <c r="I71" i="5" a="1"/>
  <c r="J82" i="5"/>
  <c r="J82" i="5" a="1"/>
  <c r="AT81" i="5"/>
  <c r="AT81" i="5" a="1"/>
  <c r="Y81" i="5"/>
  <c r="Y81" i="5" a="1"/>
  <c r="CM78" i="5"/>
  <c r="CM78" i="5" a="1"/>
  <c r="AI72" i="5"/>
  <c r="AI72" i="5" a="1"/>
  <c r="CY68" i="5"/>
  <c r="CY68" i="5" a="1"/>
  <c r="BY78" i="5"/>
  <c r="BY78" i="5" a="1"/>
  <c r="AZ68" i="5"/>
  <c r="AZ68" i="5" a="1"/>
  <c r="CU71" i="5"/>
  <c r="CU71" i="5" a="1"/>
  <c r="BI80" i="5"/>
  <c r="BI80" i="5" a="1"/>
  <c r="DC68" i="5"/>
  <c r="DC68" i="5" a="1"/>
  <c r="X73" i="5"/>
  <c r="X73" i="5" a="1"/>
  <c r="CP78" i="5"/>
  <c r="CP78" i="5" a="1"/>
  <c r="AG71" i="5"/>
  <c r="AG71" i="5" a="1"/>
  <c r="CE75" i="5"/>
  <c r="CE75" i="5" a="1"/>
  <c r="K78" i="5"/>
  <c r="K78" i="5" a="1"/>
  <c r="BN72" i="5"/>
  <c r="BN72" i="5" a="1"/>
  <c r="K80" i="5"/>
  <c r="K80" i="5" a="1"/>
  <c r="D70" i="5"/>
  <c r="D70" i="5" a="1"/>
  <c r="S74" i="5"/>
  <c r="S74" i="5" a="1"/>
  <c r="AO68" i="5"/>
  <c r="AO68" i="5" a="1"/>
  <c r="DB80" i="5"/>
  <c r="DB80" i="5" a="1"/>
  <c r="BA77" i="5"/>
  <c r="BA77" i="5" a="1"/>
  <c r="BH75" i="5"/>
  <c r="BH75" i="5" a="1"/>
  <c r="CX72" i="5"/>
  <c r="CX72" i="5" a="1"/>
  <c r="BN68" i="5"/>
  <c r="BN68" i="5" a="1"/>
  <c r="U68" i="5"/>
  <c r="U68" i="5" a="1"/>
  <c r="AP69" i="5"/>
  <c r="AP69" i="5" a="1"/>
  <c r="BB69" i="5"/>
  <c r="BB69" i="5" a="1"/>
  <c r="AW81" i="5"/>
  <c r="AW81" i="5" a="1"/>
  <c r="AW75" i="5"/>
  <c r="AW75" i="5" a="1"/>
  <c r="AF82" i="5"/>
  <c r="AF82" i="5" a="1"/>
  <c r="BE81" i="5"/>
  <c r="BE81" i="5" a="1"/>
  <c r="AB81" i="5"/>
  <c r="AB81" i="5" a="1"/>
  <c r="Z74" i="5"/>
  <c r="Z74" i="5" a="1"/>
  <c r="CA69" i="5"/>
  <c r="CA69" i="5" a="1"/>
  <c r="CQ81" i="5"/>
  <c r="CQ81" i="5" a="1"/>
  <c r="AM80" i="5"/>
  <c r="AM80" i="5" a="1"/>
  <c r="P70" i="5"/>
  <c r="P70" i="5" a="1"/>
  <c r="Y68" i="5"/>
  <c r="Y68" i="5" a="1"/>
  <c r="CF73" i="5"/>
  <c r="CF73" i="5" a="1"/>
  <c r="CP77" i="5"/>
  <c r="CP77" i="5" a="1"/>
  <c r="AI79" i="5"/>
  <c r="AI79" i="5" a="1"/>
  <c r="CQ78" i="5"/>
  <c r="CQ78" i="5" a="1"/>
  <c r="CY73" i="5"/>
  <c r="CY73" i="5" a="1"/>
  <c r="CF81" i="5"/>
  <c r="CF81" i="5" a="1"/>
  <c r="R73" i="5"/>
  <c r="R73" i="5" a="1"/>
  <c r="AP80" i="5"/>
  <c r="AP80" i="5" a="1"/>
  <c r="AP82" i="5"/>
  <c r="AP82" i="5" a="1"/>
  <c r="AD72" i="5"/>
  <c r="AD72" i="5" a="1"/>
  <c r="CS71" i="5"/>
  <c r="CS71" i="5" a="1"/>
  <c r="CC73" i="5"/>
  <c r="CC73" i="5" a="1"/>
  <c r="AD69" i="5"/>
  <c r="AD69" i="5" a="1"/>
  <c r="BL74" i="5"/>
  <c r="BL74" i="5" a="1"/>
  <c r="CE79" i="5"/>
  <c r="CE79" i="5" a="1"/>
  <c r="BI75" i="5"/>
  <c r="BI75" i="5" a="1"/>
  <c r="CI82" i="5"/>
  <c r="CI82" i="5" a="1"/>
  <c r="R71" i="5"/>
  <c r="R71" i="5" a="1"/>
  <c r="AT73" i="5"/>
  <c r="AT73" i="5" a="1"/>
  <c r="AC73" i="5"/>
  <c r="AC73" i="5" a="1"/>
  <c r="BX80" i="5"/>
  <c r="BX80" i="5" a="1"/>
  <c r="CN77" i="5"/>
  <c r="CN77" i="5" a="1"/>
  <c r="DC81" i="5"/>
  <c r="DC81" i="5" a="1"/>
  <c r="AX75" i="5"/>
  <c r="AX75" i="5" a="1"/>
  <c r="X68" i="5"/>
  <c r="X68" i="5" a="1"/>
  <c r="AF72" i="5"/>
  <c r="AF72" i="5" a="1"/>
  <c r="O79" i="5"/>
  <c r="O79" i="5" a="1"/>
  <c r="H82" i="5"/>
  <c r="H82" i="5" a="1"/>
  <c r="E70" i="5"/>
  <c r="E70" i="5" a="1"/>
  <c r="DA81" i="5"/>
  <c r="DA81" i="5" a="1"/>
  <c r="BN70" i="5"/>
  <c r="BN70" i="5" a="1"/>
  <c r="AO69" i="5"/>
  <c r="AO69" i="5" a="1"/>
  <c r="N81" i="5"/>
  <c r="N81" i="5" a="1"/>
  <c r="CF79" i="5"/>
  <c r="CF79" i="5" a="1"/>
  <c r="AA77" i="5"/>
  <c r="AA77" i="5" a="1"/>
  <c r="CW81" i="5"/>
  <c r="CW81" i="5" a="1"/>
  <c r="BK74" i="5"/>
  <c r="BK74" i="5" a="1"/>
  <c r="AU72" i="5"/>
  <c r="AU72" i="5" a="1"/>
  <c r="AU81" i="5"/>
  <c r="AU81" i="5" a="1"/>
  <c r="T76" i="5"/>
  <c r="T76" i="5" a="1"/>
  <c r="CL81" i="5"/>
  <c r="CL81" i="5" a="1"/>
  <c r="CA78" i="5"/>
  <c r="CA78" i="5" a="1"/>
  <c r="F74" i="5"/>
  <c r="F74" i="5" a="1"/>
  <c r="BO71" i="5"/>
  <c r="BO71" i="5" a="1"/>
  <c r="E73" i="5"/>
  <c r="E73" i="5" a="1"/>
  <c r="AT77" i="5"/>
  <c r="AT77" i="5" a="1"/>
  <c r="AI77" i="5"/>
  <c r="AI77" i="5" a="1"/>
  <c r="AZ71" i="5"/>
  <c r="AZ71" i="5" a="1"/>
  <c r="BF71" i="5"/>
  <c r="BF71" i="5" a="1"/>
  <c r="BZ70" i="5"/>
  <c r="BZ70" i="5" a="1"/>
  <c r="CI79" i="5"/>
  <c r="CI79" i="5" a="1"/>
  <c r="AU70" i="5"/>
  <c r="AU70" i="5" a="1"/>
  <c r="BY71" i="5"/>
  <c r="BY71" i="5" a="1"/>
  <c r="AO80" i="5"/>
  <c r="AO80" i="5" a="1"/>
  <c r="Q81" i="5"/>
  <c r="Q81" i="5" a="1"/>
  <c r="BX79" i="5"/>
  <c r="BX79" i="5" a="1"/>
  <c r="CF68" i="5"/>
  <c r="CF68" i="5" a="1"/>
  <c r="CY71" i="5"/>
  <c r="CY71" i="5" a="1"/>
  <c r="CL73" i="5"/>
  <c r="CL73" i="5" a="1"/>
  <c r="W70" i="5"/>
  <c r="W70" i="5" a="1"/>
  <c r="CN75" i="5"/>
  <c r="CN75" i="5" a="1"/>
  <c r="CV71" i="5"/>
  <c r="CV71" i="5" a="1"/>
  <c r="CL74" i="5"/>
  <c r="CL74" i="5" a="1"/>
  <c r="BQ75" i="5"/>
  <c r="BQ75" i="5" a="1"/>
  <c r="F77" i="5"/>
  <c r="F77" i="5" a="1"/>
  <c r="AC76" i="5"/>
  <c r="AC76" i="5" a="1"/>
  <c r="CZ71" i="5"/>
  <c r="CZ71" i="5" a="1"/>
  <c r="L79" i="5"/>
  <c r="L79" i="5" a="1"/>
  <c r="N74" i="5"/>
  <c r="N74" i="5" a="1"/>
  <c r="CH70" i="5"/>
  <c r="CH70" i="5" a="1"/>
  <c r="BA75" i="5"/>
  <c r="BA75" i="5" a="1"/>
  <c r="AE75" i="5"/>
  <c r="AE75" i="5" a="1"/>
  <c r="AY81" i="5"/>
  <c r="AY81" i="5" a="1"/>
  <c r="CO79" i="5"/>
  <c r="CO79" i="5" a="1"/>
  <c r="R72" i="5"/>
  <c r="R72" i="5" a="1"/>
  <c r="CG70" i="5"/>
  <c r="CG70" i="5" a="1"/>
  <c r="BR72" i="5"/>
  <c r="BR72" i="5" a="1"/>
  <c r="CO68" i="5"/>
  <c r="CO68" i="5" a="1"/>
  <c r="AO74" i="5"/>
  <c r="AO74" i="5" a="1"/>
  <c r="CT71" i="5"/>
  <c r="CT71" i="5" a="1"/>
  <c r="CD76" i="5"/>
  <c r="CD76" i="5" a="1"/>
  <c r="AR82" i="5"/>
  <c r="AR82" i="5" a="1"/>
  <c r="I72" i="5"/>
  <c r="I72" i="5" a="1"/>
  <c r="AH74" i="5"/>
  <c r="AH74" i="5" a="1"/>
  <c r="AZ73" i="5"/>
  <c r="AZ73" i="5" a="1"/>
  <c r="CB68" i="5"/>
  <c r="CB68" i="5" a="1"/>
  <c r="CL79" i="5"/>
  <c r="CL79" i="5" a="1"/>
  <c r="CW73" i="5"/>
  <c r="CW73" i="5" a="1"/>
  <c r="AD80" i="5"/>
  <c r="AD80" i="5" a="1"/>
  <c r="CG76" i="5"/>
  <c r="CG76" i="5" a="1"/>
  <c r="CG71" i="5"/>
  <c r="CG71" i="5" a="1"/>
  <c r="DA76" i="5"/>
  <c r="DA76" i="5" a="1"/>
  <c r="Q72" i="5"/>
  <c r="Q72" i="5" a="1"/>
  <c r="CF78" i="5"/>
  <c r="CF78" i="5" a="1"/>
  <c r="CR71" i="5"/>
  <c r="CR71" i="5" a="1"/>
  <c r="CE80" i="5"/>
  <c r="CE80" i="5" a="1"/>
  <c r="CU78" i="5"/>
  <c r="CU78" i="5" a="1"/>
  <c r="AE74" i="5"/>
  <c r="AE74" i="5" a="1"/>
  <c r="Y73" i="5"/>
  <c r="Y73" i="5" a="1"/>
  <c r="BA71" i="5"/>
  <c r="BA71" i="5" a="1"/>
  <c r="CJ77" i="5"/>
  <c r="CJ77" i="5" a="1"/>
  <c r="AH78" i="5"/>
  <c r="AH78" i="5" a="1"/>
  <c r="G68" i="5"/>
  <c r="G68" i="5" a="1"/>
  <c r="M76" i="5"/>
  <c r="M76" i="5" a="1"/>
  <c r="E78" i="5"/>
  <c r="E78" i="5" a="1"/>
  <c r="AX76" i="5"/>
  <c r="AX76" i="5" a="1"/>
  <c r="L73" i="5"/>
  <c r="L73" i="5" a="1"/>
  <c r="T77" i="5"/>
  <c r="T77" i="5" a="1"/>
  <c r="AB68" i="5"/>
  <c r="AB68" i="5" a="1"/>
  <c r="AP81" i="5"/>
  <c r="AP81" i="5" a="1"/>
  <c r="E69" i="5"/>
  <c r="E69" i="5" a="1"/>
  <c r="BH76" i="5"/>
  <c r="BH76" i="5" a="1"/>
  <c r="AN68" i="5"/>
  <c r="AN68" i="5" a="1"/>
  <c r="AB71" i="5"/>
  <c r="AB71" i="5" a="1"/>
  <c r="AX77" i="5"/>
  <c r="AX77" i="5" a="1"/>
  <c r="BE70" i="5"/>
  <c r="BE70" i="5" a="1"/>
  <c r="BY69" i="5"/>
  <c r="BY69" i="5" a="1"/>
  <c r="D80" i="5"/>
  <c r="D80" i="5" a="1"/>
  <c r="BL71" i="5"/>
  <c r="BL71" i="5" a="1"/>
  <c r="Z80" i="5"/>
  <c r="Z80" i="5" a="1"/>
  <c r="Q76" i="5"/>
  <c r="Q76" i="5" a="1"/>
  <c r="CA70" i="5"/>
  <c r="CA70" i="5" a="1"/>
  <c r="F79" i="5"/>
  <c r="F79" i="5" a="1"/>
  <c r="Z71" i="5"/>
  <c r="Z71" i="5" a="1"/>
  <c r="CJ73" i="5"/>
  <c r="CJ73" i="5" a="1"/>
  <c r="CN78" i="5"/>
  <c r="CN78" i="5" a="1"/>
  <c r="BI69" i="5"/>
  <c r="BI69" i="5" a="1"/>
  <c r="BX74" i="5"/>
  <c r="BX74" i="5" a="1"/>
  <c r="AH71" i="5"/>
  <c r="AH71" i="5" a="1"/>
  <c r="BO75" i="5"/>
  <c r="BO75" i="5" a="1"/>
  <c r="AT72" i="5"/>
  <c r="AT72" i="5" a="1"/>
  <c r="BL79" i="5"/>
  <c r="BL79" i="5" a="1"/>
  <c r="CW72" i="5"/>
  <c r="CW72" i="5" a="1"/>
  <c r="CZ68" i="5"/>
  <c r="CZ68" i="5" a="1"/>
  <c r="BS75" i="5"/>
  <c r="BS75" i="5" a="1"/>
  <c r="AN70" i="5"/>
  <c r="AN70" i="5" a="1"/>
  <c r="BC68" i="5"/>
  <c r="BC68" i="5" a="1"/>
  <c r="Q82" i="5"/>
  <c r="Q82" i="5" a="1"/>
  <c r="BK73" i="5"/>
  <c r="BK73" i="5" a="1"/>
  <c r="BJ82" i="5"/>
  <c r="BJ82" i="5" a="1"/>
  <c r="BS80" i="5"/>
  <c r="BS80" i="5" a="1"/>
  <c r="X82" i="5"/>
  <c r="X82" i="5" a="1"/>
  <c r="CX69" i="5"/>
  <c r="CX69" i="5" a="1"/>
  <c r="T82" i="5"/>
  <c r="T82" i="5" a="1"/>
  <c r="CF75" i="5"/>
  <c r="CF75" i="5" a="1"/>
  <c r="V76" i="5"/>
  <c r="V76" i="5" a="1"/>
  <c r="BX73" i="5"/>
  <c r="BX73" i="5" a="1"/>
  <c r="CK73" i="5"/>
  <c r="CK73" i="5" a="1"/>
  <c r="AD78" i="5"/>
  <c r="AD78" i="5" a="1"/>
  <c r="BK82" i="5"/>
  <c r="BK82" i="5" a="1"/>
  <c r="BS74" i="5"/>
  <c r="BS74" i="5" a="1"/>
  <c r="BN78" i="5"/>
  <c r="BN78" i="5" a="1"/>
  <c r="CC79" i="5"/>
  <c r="CC79" i="5" a="1"/>
  <c r="CY79" i="5"/>
  <c r="CY79" i="5" a="1"/>
  <c r="C69" i="5"/>
  <c r="C69" i="5" a="1"/>
  <c r="CP80" i="5"/>
  <c r="CP80" i="5" a="1"/>
  <c r="BP80" i="5"/>
  <c r="BP80" i="5" a="1"/>
  <c r="CV75" i="5"/>
  <c r="CV75" i="5" a="1"/>
  <c r="G75" i="5"/>
  <c r="G75" i="5" a="1"/>
  <c r="Y82" i="5"/>
  <c r="Y82" i="5" a="1"/>
  <c r="K73" i="5"/>
  <c r="K73" i="5" a="1"/>
  <c r="BF80" i="5"/>
  <c r="BF80" i="5" a="1"/>
  <c r="N71" i="5"/>
  <c r="N71" i="5" a="1"/>
  <c r="R74" i="5"/>
  <c r="R74" i="5" a="1"/>
  <c r="BH81" i="5"/>
  <c r="BH81" i="5" a="1"/>
  <c r="CM82" i="5"/>
  <c r="CM82" i="5" a="1"/>
  <c r="X79" i="5"/>
  <c r="X79" i="5" a="1"/>
  <c r="AI76" i="5"/>
  <c r="AI76" i="5" a="1"/>
  <c r="W78" i="5"/>
  <c r="W78" i="5" a="1"/>
  <c r="U76" i="5"/>
  <c r="U76" i="5" a="1"/>
  <c r="BA69" i="5"/>
  <c r="BA69" i="5" a="1"/>
  <c r="BR82" i="5"/>
  <c r="BR82" i="5" a="1"/>
  <c r="CY76" i="5"/>
  <c r="CY76" i="5" a="1"/>
  <c r="F72" i="5"/>
  <c r="F72" i="5" a="1"/>
  <c r="K82" i="5"/>
  <c r="K82" i="5" a="1"/>
  <c r="AA74" i="5"/>
  <c r="AA74" i="5" a="1"/>
  <c r="CM76" i="5"/>
  <c r="CM76" i="5" a="1"/>
  <c r="BA76" i="5"/>
  <c r="BA76" i="5" a="1"/>
  <c r="S73" i="5"/>
  <c r="S73" i="5" a="1"/>
  <c r="AU82" i="5"/>
  <c r="AU82" i="5" a="1"/>
  <c r="AF80" i="5"/>
  <c r="AF80" i="5" a="1"/>
  <c r="E71" i="5"/>
  <c r="E71" i="5" a="1"/>
  <c r="AT79" i="5"/>
  <c r="AT79" i="5" a="1"/>
  <c r="K74" i="5"/>
  <c r="K74" i="5" a="1"/>
  <c r="CF71" i="5"/>
  <c r="CF71" i="5" a="1"/>
  <c r="BY77" i="5"/>
  <c r="BY77" i="5" a="1"/>
  <c r="AO70" i="5"/>
  <c r="AO70" i="5" a="1"/>
  <c r="P74" i="5"/>
  <c r="P74" i="5" a="1"/>
  <c r="CN82" i="5"/>
  <c r="CN82" i="5" a="1"/>
  <c r="CM81" i="5"/>
  <c r="CM81" i="5" a="1"/>
  <c r="AW79" i="5"/>
  <c r="AW79" i="5" a="1"/>
  <c r="BD72" i="5"/>
  <c r="BD72" i="5" a="1"/>
  <c r="D74" i="5"/>
  <c r="D74" i="5" a="1"/>
  <c r="BW69" i="5"/>
  <c r="BW69" i="5" a="1"/>
  <c r="J79" i="5"/>
  <c r="J79" i="5" a="1"/>
  <c r="CC80" i="5"/>
  <c r="CC80" i="5" a="1"/>
  <c r="CA81" i="5"/>
  <c r="CA81" i="5" a="1"/>
  <c r="AP79" i="5"/>
  <c r="AP79" i="5" a="1"/>
  <c r="BI68" i="5"/>
  <c r="BI68" i="5" a="1"/>
  <c r="AT80" i="5"/>
  <c r="AT80" i="5" a="1"/>
  <c r="BE75" i="5"/>
  <c r="BE75" i="5" a="1"/>
  <c r="BZ69" i="5"/>
  <c r="BZ69" i="5" a="1"/>
  <c r="BB71" i="5"/>
  <c r="BB71" i="5" a="1"/>
  <c r="CT75" i="5"/>
  <c r="CT75" i="5" a="1"/>
  <c r="Y75" i="5"/>
  <c r="Y75" i="5" a="1"/>
  <c r="U73" i="5"/>
  <c r="U73" i="5" a="1"/>
  <c r="M74" i="5"/>
  <c r="M74" i="5" a="1"/>
  <c r="Q68" i="5"/>
  <c r="Q68" i="5" a="1"/>
  <c r="AQ69" i="5"/>
  <c r="AQ69" i="5" a="1"/>
  <c r="CD78" i="5"/>
  <c r="CD78" i="5" a="1"/>
  <c r="BD74" i="5"/>
  <c r="BD74" i="5" a="1"/>
  <c r="Z69" i="5"/>
  <c r="Z69" i="5" a="1"/>
  <c r="BC82" i="5"/>
  <c r="BC82" i="5" a="1"/>
  <c r="AR80" i="5"/>
  <c r="AR80" i="5" a="1"/>
  <c r="AS72" i="5"/>
  <c r="AS72" i="5" a="1"/>
  <c r="AW69" i="5"/>
  <c r="AW69" i="5" a="1"/>
  <c r="P68" i="5"/>
  <c r="P68" i="5" a="1"/>
  <c r="BD75" i="5"/>
  <c r="BD75" i="5" a="1"/>
  <c r="W77" i="5"/>
  <c r="W77" i="5" a="1"/>
  <c r="BF75" i="5"/>
  <c r="BF75" i="5" a="1"/>
  <c r="F69" i="5"/>
  <c r="F69" i="5" a="1"/>
  <c r="CR75" i="5"/>
  <c r="CR75" i="5" a="1"/>
  <c r="BP75" i="5"/>
  <c r="BP75" i="5" a="1"/>
  <c r="AF77" i="5"/>
  <c r="AF77" i="5" a="1"/>
  <c r="O77" i="5"/>
  <c r="O77" i="5" a="1"/>
  <c r="AM72" i="5"/>
  <c r="AM72" i="5" a="1"/>
  <c r="Q69" i="5"/>
  <c r="Q69" i="5" a="1"/>
  <c r="BG76" i="5"/>
  <c r="BG76" i="5" a="1"/>
  <c r="AV75" i="5"/>
  <c r="AV75" i="5" a="1"/>
  <c r="AX81" i="5"/>
  <c r="AX81" i="5" a="1"/>
  <c r="BN82" i="5"/>
  <c r="BN82" i="5" a="1"/>
  <c r="AY77" i="5"/>
  <c r="AY77" i="5" a="1"/>
  <c r="AH79" i="5"/>
  <c r="AH79" i="5" a="1"/>
  <c r="DC79" i="5"/>
  <c r="DC79" i="5" a="1"/>
  <c r="CJ74" i="5"/>
  <c r="CJ74" i="5" a="1"/>
  <c r="F73" i="5"/>
  <c r="F73" i="5" a="1"/>
  <c r="DA69" i="5"/>
  <c r="DA69" i="5" a="1"/>
  <c r="H80" i="5"/>
  <c r="H80" i="5" a="1"/>
  <c r="AF78" i="5"/>
  <c r="AF78" i="5" a="1"/>
  <c r="CV72" i="5"/>
  <c r="CV72" i="5" a="1"/>
  <c r="CN80" i="5"/>
  <c r="CN80" i="5" a="1"/>
  <c r="AY80" i="5"/>
  <c r="AY80" i="5" a="1"/>
  <c r="CK69" i="5"/>
  <c r="CK69" i="5" a="1"/>
  <c r="BA78" i="5"/>
  <c r="BA78" i="5" a="1"/>
  <c r="CY82" i="5"/>
  <c r="CY82" i="5" a="1"/>
  <c r="AI81" i="5"/>
  <c r="AI81" i="5" a="1"/>
  <c r="BS68" i="5"/>
  <c r="BS68" i="5" a="1"/>
  <c r="AI69" i="5"/>
  <c r="AI69" i="5" a="1"/>
  <c r="BP70" i="5"/>
  <c r="BP70" i="5" a="1"/>
  <c r="CT79" i="5"/>
  <c r="CT79" i="5" a="1"/>
  <c r="AW78" i="5"/>
  <c r="AW78" i="5" a="1"/>
  <c r="G80" i="5"/>
  <c r="G80" i="5" a="1"/>
  <c r="CX81" i="5"/>
  <c r="CX81" i="5" a="1"/>
  <c r="AD74" i="5"/>
  <c r="AD74" i="5" a="1"/>
  <c r="AX72" i="5"/>
  <c r="AX72" i="5" a="1"/>
  <c r="BD73" i="5"/>
  <c r="BD73" i="5" a="1"/>
  <c r="BZ82" i="5"/>
  <c r="BZ82" i="5" a="1"/>
  <c r="G72" i="5"/>
  <c r="G72" i="5" a="1"/>
  <c r="CE73" i="5"/>
  <c r="CE73" i="5" a="1"/>
  <c r="CZ81" i="5"/>
  <c r="CZ81" i="5" a="1"/>
  <c r="AZ72" i="5"/>
  <c r="AZ72" i="5" a="1"/>
  <c r="DB77" i="5"/>
  <c r="DB77" i="5" a="1"/>
  <c r="O70" i="5"/>
  <c r="O70" i="5" a="1"/>
  <c r="AY79" i="5"/>
  <c r="AY79" i="5" a="1"/>
  <c r="AO76" i="5"/>
  <c r="AO76" i="5" a="1"/>
  <c r="Z76" i="5"/>
  <c r="Z76" i="5" a="1"/>
  <c r="W80" i="5"/>
  <c r="W80" i="5" a="1"/>
  <c r="AD73" i="5"/>
  <c r="AD73" i="5" a="1"/>
  <c r="CU77" i="5"/>
  <c r="CU77" i="5" a="1"/>
  <c r="CH73" i="5"/>
  <c r="CH73" i="5" a="1"/>
  <c r="AS82" i="5"/>
  <c r="AS82" i="5" a="1"/>
  <c r="I80" i="5"/>
  <c r="I80" i="5" a="1"/>
  <c r="AE77" i="5"/>
  <c r="AE77" i="5" a="1"/>
  <c r="U79" i="5"/>
  <c r="U79" i="5" a="1"/>
  <c r="BO82" i="5"/>
  <c r="BO82" i="5" a="1"/>
  <c r="CS75" i="5"/>
  <c r="CS75" i="5" a="1"/>
  <c r="Y78" i="5"/>
  <c r="Y78" i="5" a="1"/>
  <c r="E82" i="5"/>
  <c r="E82" i="5" a="1"/>
  <c r="CA77" i="5"/>
  <c r="CA77" i="5" a="1"/>
  <c r="AG73" i="5"/>
  <c r="AG73" i="5" a="1"/>
  <c r="BJ80" i="5"/>
  <c r="BJ80" i="5" a="1"/>
  <c r="BS69" i="5"/>
  <c r="BS69" i="5" a="1"/>
  <c r="BY75" i="5"/>
  <c r="BY75" i="5" a="1"/>
  <c r="S68" i="5"/>
  <c r="S68" i="5" a="1"/>
  <c r="CV70" i="5"/>
  <c r="CV70" i="5" a="1"/>
  <c r="BH69" i="5"/>
  <c r="BH69" i="5" a="1"/>
  <c r="BI70" i="5"/>
  <c r="BI70" i="5" a="1"/>
  <c r="AG78" i="5"/>
  <c r="AG78" i="5" a="1"/>
  <c r="BP79" i="5"/>
  <c r="BP79" i="5" a="1"/>
  <c r="BL73" i="5"/>
  <c r="BL73" i="5" a="1"/>
  <c r="CT74" i="5"/>
  <c r="CT74" i="5" a="1"/>
  <c r="H69" i="5"/>
  <c r="H69" i="5" a="1"/>
  <c r="P71" i="5"/>
  <c r="P71" i="5" a="1"/>
  <c r="V72" i="5"/>
  <c r="V72" i="5" a="1"/>
  <c r="V70" i="5"/>
  <c r="V70" i="5" a="1"/>
  <c r="BM69" i="5"/>
  <c r="BM69" i="5" a="1"/>
  <c r="M80" i="5"/>
  <c r="M80" i="5" a="1"/>
  <c r="BD81" i="5"/>
  <c r="BD81" i="5" a="1"/>
  <c r="S78" i="5"/>
  <c r="S78" i="5" a="1"/>
  <c r="AF76" i="5"/>
  <c r="AF76" i="5" a="1"/>
  <c r="AR69" i="5"/>
  <c r="AR69" i="5" a="1"/>
  <c r="K72" i="5"/>
  <c r="K72" i="5" a="1"/>
  <c r="CY74" i="5"/>
  <c r="CY74" i="5" a="1"/>
  <c r="AD82" i="5"/>
  <c r="AD82" i="5" a="1"/>
  <c r="CN68" i="5"/>
  <c r="CN68" i="5" a="1"/>
  <c r="AP74" i="5"/>
  <c r="AP74" i="5" a="1"/>
  <c r="U80" i="5"/>
  <c r="U80" i="5" a="1"/>
  <c r="AH73" i="5"/>
  <c r="AH73" i="5" a="1"/>
  <c r="BM71" i="5"/>
  <c r="BM71" i="5" a="1"/>
  <c r="BX78" i="5"/>
  <c r="BX78" i="5" a="1"/>
  <c r="CV82" i="5"/>
  <c r="CV82" i="5" a="1"/>
  <c r="BI74" i="5"/>
  <c r="BI74" i="5" a="1"/>
  <c r="CW70" i="5"/>
  <c r="CW70" i="5" a="1"/>
  <c r="AU68" i="5"/>
  <c r="AU68" i="5" a="1"/>
  <c r="CA75" i="5"/>
  <c r="CA75" i="5" a="1"/>
  <c r="CO75" i="5"/>
  <c r="CO75" i="5" a="1"/>
  <c r="Y79" i="5"/>
  <c r="Y79" i="5" a="1"/>
  <c r="BD78" i="5"/>
  <c r="BD78" i="5" a="1"/>
  <c r="BA80" i="5"/>
  <c r="BA80" i="5" a="1"/>
  <c r="N75" i="5"/>
  <c r="N75" i="5" a="1"/>
  <c r="AX80" i="5"/>
  <c r="AX80" i="5" a="1"/>
  <c r="AV80" i="5"/>
  <c r="AV80" i="5" a="1"/>
  <c r="R68" i="5"/>
  <c r="R68" i="5" a="1"/>
  <c r="CC68" i="5"/>
  <c r="CC68" i="5" a="1"/>
  <c r="T80" i="5"/>
  <c r="T80" i="5" a="1"/>
  <c r="AV68" i="5"/>
  <c r="AV68" i="5" a="1"/>
  <c r="C73" i="5"/>
  <c r="C73" i="5" a="1"/>
  <c r="BG72" i="5"/>
  <c r="BG72" i="5" a="1"/>
  <c r="BB73" i="5"/>
  <c r="BB73" i="5" a="1"/>
  <c r="CJ70" i="5"/>
  <c r="CJ70" i="5" a="1"/>
  <c r="CP70" i="5"/>
  <c r="CP70" i="5" a="1"/>
  <c r="AO75" i="5"/>
  <c r="AO75" i="5" a="1"/>
  <c r="I70" i="5"/>
  <c r="I70" i="5" a="1"/>
  <c r="BJ70" i="5"/>
  <c r="BJ70" i="5" a="1"/>
  <c r="H79" i="5"/>
  <c r="H79" i="5" a="1"/>
  <c r="AE71" i="5"/>
  <c r="AE71" i="5" a="1"/>
  <c r="CH71" i="5"/>
  <c r="CH71" i="5" a="1"/>
  <c r="AC74" i="5"/>
  <c r="AC74" i="5" a="1"/>
  <c r="AG76" i="5"/>
  <c r="AG76" i="5" a="1"/>
  <c r="CE69" i="5"/>
  <c r="CE69" i="5" a="1"/>
  <c r="BI82" i="5"/>
  <c r="BI82" i="5" a="1"/>
  <c r="BY80" i="5"/>
  <c r="BY80" i="5" a="1"/>
  <c r="AE81" i="5"/>
  <c r="AE81" i="5" a="1"/>
  <c r="CO80" i="5"/>
  <c r="CO80" i="5" a="1"/>
  <c r="CT68" i="5"/>
  <c r="CT68" i="5" a="1"/>
  <c r="CO74" i="5"/>
  <c r="CO74" i="5" a="1"/>
  <c r="BX70" i="5"/>
  <c r="BX70" i="5" a="1"/>
  <c r="AH72" i="5"/>
  <c r="AH72" i="5" a="1"/>
  <c r="AA79" i="5"/>
  <c r="AA79" i="5" a="1"/>
  <c r="AI82" i="5"/>
  <c r="AI82" i="5" a="1"/>
  <c r="AN78" i="5"/>
  <c r="AN78" i="5" a="1"/>
  <c r="O71" i="5"/>
  <c r="O71" i="5" a="1"/>
  <c r="AP73" i="5"/>
  <c r="AP73" i="5" a="1"/>
  <c r="L69" i="5"/>
  <c r="L69" i="5" a="1"/>
  <c r="CB77" i="5"/>
  <c r="CB77" i="5" a="1"/>
  <c r="CA68" i="5"/>
  <c r="CA68" i="5" a="1"/>
  <c r="P80" i="5"/>
  <c r="P80" i="5" a="1"/>
  <c r="BC80" i="5"/>
  <c r="BC80" i="5" a="1"/>
  <c r="BS72" i="5"/>
  <c r="BS72" i="5" a="1"/>
  <c r="BE82" i="5"/>
  <c r="BE82" i="5" a="1"/>
  <c r="CD74" i="5"/>
  <c r="CD74" i="5" a="1"/>
  <c r="T78" i="5"/>
  <c r="T78" i="5" a="1"/>
  <c r="DB74" i="5"/>
  <c r="DB74" i="5" a="1"/>
  <c r="Q71" i="5"/>
  <c r="Q71" i="5" a="1"/>
  <c r="CV68" i="5"/>
  <c r="CV68" i="5" a="1"/>
  <c r="BX72" i="5"/>
  <c r="BX72" i="5" a="1"/>
  <c r="AS71" i="5"/>
  <c r="AS71" i="5" a="1"/>
  <c r="CD73" i="5"/>
  <c r="CD73" i="5" a="1"/>
  <c r="AO78" i="5"/>
  <c r="AO78" i="5" a="1"/>
  <c r="BL78" i="5"/>
  <c r="BL78" i="5" a="1"/>
  <c r="E77" i="5"/>
  <c r="E77" i="5" a="1"/>
  <c r="DA75" i="5"/>
  <c r="DA75" i="5" a="1"/>
  <c r="CX75" i="5"/>
  <c r="CX75" i="5" a="1"/>
  <c r="CG72" i="5"/>
  <c r="CG72" i="5" a="1"/>
  <c r="CH68" i="5"/>
  <c r="CH68" i="5" a="1"/>
  <c r="BQ82" i="5"/>
  <c r="BQ82" i="5" a="1"/>
  <c r="R82" i="5"/>
  <c r="R82" i="5" a="1"/>
  <c r="CU82" i="5"/>
  <c r="CU82" i="5" a="1"/>
  <c r="AS68" i="5"/>
  <c r="AS68" i="5" a="1"/>
  <c r="X72" i="5"/>
  <c r="X72" i="5" a="1"/>
  <c r="BZ71" i="5"/>
  <c r="BZ71" i="5" a="1"/>
  <c r="AX68" i="5"/>
  <c r="AX68" i="5" a="1"/>
  <c r="D77" i="5"/>
  <c r="D77" i="5" a="1"/>
  <c r="R77" i="5"/>
  <c r="R77" i="5" a="1"/>
  <c r="N82" i="5"/>
  <c r="N82" i="5" a="1"/>
  <c r="L81" i="5"/>
  <c r="L81" i="5" a="1"/>
  <c r="J76" i="5"/>
  <c r="J76" i="5" a="1"/>
  <c r="AQ78" i="5"/>
  <c r="AQ78" i="5" a="1"/>
  <c r="AI78" i="5"/>
  <c r="AI78" i="5" a="1"/>
  <c r="DB73" i="5"/>
  <c r="DB73" i="5" a="1"/>
  <c r="AN69" i="5"/>
  <c r="AN69" i="5" a="1"/>
  <c r="BK70" i="5"/>
  <c r="BK70" i="5" a="1"/>
  <c r="H68" i="5"/>
  <c r="H68" i="5" a="1"/>
  <c r="V82" i="5"/>
  <c r="V82" i="5" a="1"/>
  <c r="AX73" i="5"/>
  <c r="AX73" i="5" a="1"/>
  <c r="BZ78" i="5"/>
  <c r="BZ78" i="5" a="1"/>
  <c r="AB78" i="5"/>
  <c r="AB78" i="5" a="1"/>
  <c r="BN69" i="5"/>
  <c r="BN69" i="5" a="1"/>
  <c r="AD76" i="5"/>
  <c r="AD76" i="5" a="1"/>
  <c r="CG81" i="5"/>
  <c r="CG81" i="5" a="1"/>
  <c r="CR74" i="5"/>
  <c r="CR74" i="5" a="1"/>
  <c r="BB80" i="5"/>
  <c r="BB80" i="5" a="1"/>
  <c r="AH68" i="5"/>
  <c r="AH68" i="5" a="1"/>
  <c r="CN73" i="5"/>
  <c r="CN73" i="5" a="1"/>
  <c r="AQ71" i="5"/>
  <c r="AQ71" i="5" a="1"/>
  <c r="K77" i="5"/>
  <c r="K77" i="5" a="1"/>
  <c r="AN74" i="5"/>
  <c r="AN74" i="5" a="1"/>
  <c r="CJ69" i="5"/>
  <c r="CJ69" i="5" a="1"/>
  <c r="AS74" i="5"/>
  <c r="AS74" i="5" a="1"/>
  <c r="AF70" i="5"/>
  <c r="AF70" i="5" a="1"/>
  <c r="Y77" i="5"/>
  <c r="Y77" i="5" a="1"/>
  <c r="CD80" i="5"/>
  <c r="CD80" i="5" a="1"/>
  <c r="CP74" i="5"/>
  <c r="CP74" i="5" a="1"/>
  <c r="CG74" i="5"/>
  <c r="CG74" i="5" a="1"/>
  <c r="AF73" i="5"/>
  <c r="AF73" i="5" a="1"/>
  <c r="AV71" i="5"/>
  <c r="AV71" i="5" a="1"/>
  <c r="G70" i="5"/>
  <c r="G70" i="5" a="1"/>
  <c r="AH77" i="5"/>
  <c r="AH77" i="5" a="1"/>
  <c r="AH75" i="5"/>
  <c r="AH75" i="5" a="1"/>
  <c r="AG74" i="5"/>
  <c r="AG74" i="5" a="1"/>
  <c r="BZ79" i="5"/>
  <c r="BZ79" i="5" a="1"/>
  <c r="CK71" i="5"/>
  <c r="CK71" i="5" a="1"/>
  <c r="AB75" i="5"/>
  <c r="AB75" i="5" a="1"/>
  <c r="AV73" i="5"/>
  <c r="AV73" i="5" a="1"/>
  <c r="L68" i="5"/>
  <c r="L68" i="5" a="1"/>
  <c r="Y71" i="5"/>
  <c r="Y71" i="5" a="1"/>
  <c r="BA72" i="5"/>
  <c r="BA72" i="5" a="1"/>
  <c r="DA74" i="5"/>
  <c r="DA74" i="5" a="1"/>
  <c r="CS70" i="5"/>
  <c r="CS70" i="5" a="1"/>
  <c r="M69" i="5"/>
  <c r="M69" i="5" a="1"/>
  <c r="BE79" i="5"/>
  <c r="BE79" i="5" a="1"/>
  <c r="BR76" i="5"/>
  <c r="BR76" i="5" a="1"/>
  <c r="CE81" i="5"/>
  <c r="CE81" i="5" a="1"/>
  <c r="CU79" i="5"/>
  <c r="CU79" i="5" a="1"/>
  <c r="O72" i="5"/>
  <c r="O72" i="5" a="1"/>
  <c r="N77" i="5"/>
  <c r="N77" i="5" a="1"/>
  <c r="CJ80" i="5"/>
  <c r="CJ80" i="5" a="1"/>
  <c r="CE77" i="5"/>
  <c r="CE77" i="5" a="1"/>
  <c r="CM74" i="5"/>
  <c r="CM74" i="5" a="1"/>
  <c r="BX76" i="5"/>
  <c r="BX76" i="5" a="1"/>
  <c r="CN72" i="5"/>
  <c r="CN72" i="5" a="1"/>
  <c r="AS69" i="5"/>
  <c r="AS69" i="5" a="1"/>
  <c r="CM70" i="5"/>
  <c r="CM70" i="5" a="1"/>
  <c r="BS82" i="5"/>
  <c r="BS82" i="5" a="1"/>
  <c r="N68" i="5"/>
  <c r="N68" i="5" a="1"/>
  <c r="AS77" i="5"/>
  <c r="AS77" i="5" a="1"/>
  <c r="L77" i="5"/>
  <c r="L77" i="5" a="1"/>
  <c r="BA82" i="5"/>
  <c r="BA82" i="5" a="1"/>
  <c r="BD82" i="5"/>
  <c r="BD82" i="5" a="1"/>
  <c r="CE76" i="5"/>
  <c r="CE76" i="5" a="1"/>
  <c r="S82" i="5"/>
  <c r="S82" i="5" a="1"/>
  <c r="D75" i="5"/>
  <c r="D75" i="5" a="1"/>
  <c r="CA76" i="5"/>
  <c r="CA76" i="5" a="1"/>
  <c r="AV76" i="5"/>
  <c r="AV76" i="5" a="1"/>
  <c r="C82" i="5"/>
  <c r="C82" i="5" a="1"/>
  <c r="AR73" i="5"/>
  <c r="AR73" i="5" a="1"/>
  <c r="D68" i="5"/>
  <c r="D68" i="5" a="1"/>
  <c r="AM73" i="5"/>
  <c r="AM73" i="5" a="1"/>
  <c r="AA71" i="5"/>
  <c r="AA71" i="5" a="1"/>
  <c r="AI75" i="5"/>
  <c r="AI75" i="5" a="1"/>
  <c r="AG70" i="5"/>
  <c r="AG70" i="5" a="1"/>
  <c r="CP71" i="5"/>
  <c r="CP71" i="5" a="1"/>
  <c r="AF75" i="5"/>
  <c r="AF75" i="5" a="1"/>
  <c r="AY78" i="5"/>
  <c r="AY78" i="5" a="1"/>
  <c r="W68" i="5"/>
  <c r="W68" i="5" a="1"/>
  <c r="I78" i="5"/>
  <c r="I78" i="5" a="1"/>
  <c r="T70" i="5"/>
  <c r="T70" i="5" a="1"/>
  <c r="CK75" i="5"/>
  <c r="CK75" i="5" a="1"/>
  <c r="BF81" i="5"/>
  <c r="BF81" i="5" a="1"/>
  <c r="M68" i="5"/>
  <c r="M68" i="5" a="1"/>
  <c r="X80" i="5"/>
  <c r="X80" i="5" a="1"/>
  <c r="CW80" i="5"/>
  <c r="CW80" i="5" a="1"/>
  <c r="DB79" i="5"/>
  <c r="DB79" i="5" a="1"/>
  <c r="BD80" i="5"/>
  <c r="BD80" i="5" a="1"/>
  <c r="BZ73" i="5"/>
  <c r="BZ73" i="5" a="1"/>
  <c r="BR77" i="5"/>
  <c r="BR77" i="5" a="1"/>
  <c r="G74" i="5"/>
  <c r="G74" i="5" a="1"/>
  <c r="R75" i="5"/>
  <c r="R75" i="5" a="1"/>
  <c r="T71" i="5"/>
  <c r="T71" i="5" a="1"/>
  <c r="AU79" i="5"/>
  <c r="AU79" i="5" a="1"/>
  <c r="BR68" i="5"/>
  <c r="BR68" i="5" a="1"/>
  <c r="DC76" i="5"/>
  <c r="DC76" i="5" a="1"/>
  <c r="AQ70" i="5"/>
  <c r="AQ70" i="5" a="1"/>
  <c r="CB76" i="5"/>
  <c r="CB76" i="5" a="1"/>
  <c r="CQ80" i="5"/>
  <c r="CQ80" i="5" a="1"/>
  <c r="BK81" i="5"/>
  <c r="BK81" i="5" a="1"/>
  <c r="Y74" i="5"/>
  <c r="Y74" i="5" a="1"/>
  <c r="AT82" i="5"/>
  <c r="AT82" i="5" a="1"/>
  <c r="CS74" i="5"/>
  <c r="CS74" i="5" a="1"/>
  <c r="P72" i="5"/>
  <c r="P72" i="5" a="1"/>
  <c r="C68" i="5"/>
  <c r="C68" i="5" a="1"/>
  <c r="AW74" i="5"/>
  <c r="AW74" i="5" a="1"/>
  <c r="DC80" i="5"/>
  <c r="DC80" i="5" a="1"/>
  <c r="CV69" i="5"/>
  <c r="CV69" i="5" a="1"/>
  <c r="CG68" i="5"/>
  <c r="CG68" i="5" a="1"/>
  <c r="DA73" i="5"/>
  <c r="DA73" i="5" a="1"/>
  <c r="CE78" i="5"/>
  <c r="CE78" i="5" a="1"/>
  <c r="BE78" i="5"/>
  <c r="BE78" i="5" a="1"/>
  <c r="CI78" i="5"/>
  <c r="CI78" i="5" a="1"/>
  <c r="BM70" i="5"/>
  <c r="BM70" i="5" a="1"/>
  <c r="CM75" i="5"/>
  <c r="CM75" i="5" a="1"/>
  <c r="CH69" i="5"/>
  <c r="CH69" i="5" a="1"/>
  <c r="L78" i="5"/>
  <c r="L78" i="5" a="1"/>
  <c r="BZ81" i="5"/>
  <c r="BZ81" i="5" a="1"/>
  <c r="AZ77" i="5"/>
  <c r="AZ77" i="5" a="1"/>
  <c r="AO73" i="5"/>
  <c r="AO73" i="5" a="1"/>
  <c r="BZ80" i="5"/>
  <c r="BZ80" i="5" a="1"/>
  <c r="AZ78" i="5"/>
  <c r="AZ78" i="5" a="1"/>
  <c r="BM79" i="5"/>
  <c r="BM79" i="5" a="1"/>
  <c r="BE71" i="5"/>
  <c r="BE71" i="5" a="1"/>
  <c r="AE80" i="5"/>
  <c r="AE80" i="5" a="1"/>
  <c r="C77" i="5"/>
  <c r="C77" i="5" a="1"/>
  <c r="CB69" i="5"/>
  <c r="CB69" i="5" a="1"/>
  <c r="AB73" i="5"/>
  <c r="AB73" i="5" a="1"/>
  <c r="F68" i="5"/>
  <c r="F68" i="5" a="1"/>
  <c r="N76" i="5"/>
  <c r="N76" i="5" a="1"/>
  <c r="M71" i="5"/>
  <c r="M71" i="5" a="1"/>
  <c r="BW74" i="5"/>
  <c r="BW74" i="5" a="1"/>
  <c r="BW70" i="5"/>
  <c r="BW70" i="5" a="1"/>
  <c r="S77" i="5"/>
  <c r="S77" i="5" a="1"/>
  <c r="AZ82" i="5"/>
  <c r="AZ82" i="5" a="1"/>
  <c r="AH81" i="5"/>
  <c r="AH81" i="5" a="1"/>
  <c r="AC72" i="5"/>
  <c r="AC72" i="5" a="1"/>
  <c r="AY76" i="5"/>
  <c r="AY76" i="5" a="1"/>
  <c r="C78" i="5"/>
  <c r="C78" i="5" a="1"/>
  <c r="I77" i="5"/>
  <c r="I77" i="5" a="1"/>
  <c r="AC70" i="5"/>
  <c r="AC70" i="5" a="1"/>
  <c r="BD69" i="5"/>
  <c r="BD69" i="5" a="1"/>
  <c r="CG80" i="5"/>
  <c r="CG80" i="5" a="1"/>
  <c r="AB69" i="5"/>
  <c r="AB69" i="5" a="1"/>
  <c r="J70" i="5"/>
  <c r="J70" i="5" a="1"/>
  <c r="CT73" i="5"/>
  <c r="CT73" i="5" a="1"/>
  <c r="CO76" i="5"/>
  <c r="CO76" i="5" a="1"/>
  <c r="BL80" i="5"/>
  <c r="BL80" i="5" a="1"/>
  <c r="CG73" i="5"/>
  <c r="CG73" i="5" a="1"/>
  <c r="AF69" i="5"/>
  <c r="AF69" i="5" a="1"/>
  <c r="BI78" i="5"/>
  <c r="BI78" i="5" a="1"/>
  <c r="V81" i="5"/>
  <c r="V81" i="5" a="1"/>
  <c r="BC77" i="5"/>
  <c r="BC77" i="5" a="1"/>
  <c r="BG75" i="5"/>
  <c r="BG75" i="5" a="1"/>
  <c r="BF69" i="5"/>
  <c r="BF69" i="5" a="1"/>
  <c r="CV80" i="5"/>
  <c r="CV80" i="5" a="1"/>
  <c r="CS78" i="5"/>
  <c r="CS78" i="5" a="1"/>
  <c r="CM79" i="5"/>
  <c r="CM79" i="5" a="1"/>
  <c r="AW72" i="5"/>
  <c r="AW72" i="5" a="1"/>
  <c r="Z73" i="5"/>
  <c r="Z73" i="5" a="1"/>
  <c r="CX73" i="5"/>
  <c r="CX73" i="5" a="1"/>
  <c r="CY78" i="5"/>
  <c r="CY78" i="5" a="1"/>
  <c r="DA68" i="5"/>
  <c r="DA68" i="5" a="1"/>
  <c r="BM78" i="5"/>
  <c r="BM78" i="5" a="1"/>
  <c r="BD71" i="5"/>
  <c r="BD71" i="5" a="1"/>
  <c r="C81" i="5"/>
  <c r="C81" i="5" a="1"/>
  <c r="BX71" i="5"/>
  <c r="BX71" i="5" a="1"/>
  <c r="AR78" i="5"/>
  <c r="AR78" i="5" a="1"/>
  <c r="AZ70" i="5"/>
  <c r="AZ70" i="5" a="1"/>
  <c r="CR72" i="5"/>
  <c r="CR72" i="5" a="1"/>
  <c r="BG73" i="5"/>
  <c r="BG73" i="5" a="1"/>
  <c r="DC70" i="5"/>
  <c r="DC70" i="5" a="1"/>
  <c r="K75" i="5"/>
  <c r="K75" i="5" a="1"/>
  <c r="CQ74" i="5"/>
  <c r="CQ74" i="5" a="1"/>
  <c r="CS79" i="5"/>
  <c r="CS79" i="5" a="1"/>
  <c r="CU73" i="5"/>
  <c r="CU73" i="5" a="1"/>
  <c r="CT82" i="5"/>
  <c r="CT82" i="5" a="1"/>
  <c r="CH81" i="5"/>
  <c r="CH81" i="5" a="1"/>
  <c r="BW73" i="5"/>
  <c r="BW73" i="5" a="1"/>
  <c r="CR81" i="5"/>
  <c r="CR81" i="5" a="1"/>
  <c r="CQ73" i="5"/>
  <c r="CQ73" i="5" a="1"/>
  <c r="CM80" i="5"/>
  <c r="CM80" i="5" a="1"/>
  <c r="BQ73" i="5"/>
  <c r="BQ73" i="5" a="1"/>
  <c r="AM81" i="5"/>
  <c r="AM81" i="5" a="1"/>
  <c r="CO71" i="5"/>
  <c r="CO71" i="5" a="1"/>
  <c r="AX69" i="5"/>
  <c r="AX69" i="5" a="1"/>
  <c r="AQ73" i="5"/>
  <c r="AQ73" i="5" a="1"/>
  <c r="Z75" i="5"/>
  <c r="Z75" i="5" a="1"/>
  <c r="CN76" i="5"/>
  <c r="CN76" i="5" a="1"/>
  <c r="D78" i="5"/>
  <c r="D78" i="5" a="1"/>
  <c r="CC77" i="5"/>
  <c r="CC77" i="5" a="1"/>
  <c r="J74" i="5"/>
  <c r="J74" i="5" a="1"/>
  <c r="CT72" i="5"/>
  <c r="CT72" i="5" a="1"/>
  <c r="AA82" i="5"/>
  <c r="AA82" i="5" a="1"/>
  <c r="CK77" i="5"/>
  <c r="CK77" i="5" a="1"/>
  <c r="BZ76" i="5"/>
  <c r="BZ76" i="5" a="1"/>
  <c r="AC82" i="5"/>
  <c r="AC82" i="5" a="1"/>
  <c r="BJ81" i="5"/>
  <c r="BJ81" i="5" a="1"/>
  <c r="BO72" i="5"/>
  <c r="BO72" i="5" a="1"/>
  <c r="AV70" i="5"/>
  <c r="AV70" i="5" a="1"/>
  <c r="J78" i="5"/>
  <c r="J78" i="5" a="1"/>
  <c r="CZ69" i="5"/>
  <c r="CZ69" i="5" a="1"/>
  <c r="CI77" i="5"/>
  <c r="CI77" i="5" a="1"/>
  <c r="BW79" i="5"/>
  <c r="BW79" i="5" a="1"/>
  <c r="AU80" i="5"/>
  <c r="AU80" i="5" a="1"/>
  <c r="CX80" i="5"/>
  <c r="CX80" i="5" a="1"/>
  <c r="CL78" i="5"/>
  <c r="CL78" i="5" a="1"/>
  <c r="AM71" i="5"/>
  <c r="AM71" i="5" a="1"/>
  <c r="CX79" i="5"/>
  <c r="CX79" i="5" a="1"/>
  <c r="BG68" i="5"/>
  <c r="BG68" i="5" a="1"/>
  <c r="BG69" i="5"/>
  <c r="BG69" i="5" a="1"/>
  <c r="O80" i="5"/>
  <c r="O80" i="5" a="1"/>
  <c r="BE80" i="5"/>
  <c r="BE80" i="5" a="1"/>
  <c r="AF68" i="5"/>
  <c r="AF68" i="5" a="1"/>
  <c r="CW74" i="5"/>
  <c r="CW74" i="5" a="1"/>
  <c r="BB79" i="5"/>
  <c r="BB79" i="5" a="1"/>
  <c r="BM76" i="5"/>
  <c r="BM76" i="5" a="1"/>
  <c r="AV82" i="5"/>
  <c r="AV82" i="5" a="1"/>
  <c r="BI77" i="5"/>
  <c r="BI77" i="5" a="1"/>
  <c r="BP81" i="5"/>
  <c r="BP81" i="5" a="1"/>
  <c r="CQ68" i="5"/>
  <c r="CQ68" i="5" a="1"/>
  <c r="O82" i="5"/>
  <c r="O82" i="5" a="1"/>
  <c r="BE68" i="5"/>
  <c r="BE68" i="5" a="1"/>
  <c r="CD69" i="5"/>
  <c r="CD69" i="5" a="1"/>
  <c r="D73" i="5"/>
  <c r="D73" i="5" a="1"/>
  <c r="CY75" i="5"/>
  <c r="CY75" i="5" a="1"/>
  <c r="J75" i="5"/>
  <c r="J75" i="5" a="1"/>
  <c r="AN81" i="5"/>
  <c r="AN81" i="5" a="1"/>
  <c r="BP73" i="5"/>
  <c r="BP73" i="5" a="1"/>
  <c r="CL75" i="5"/>
  <c r="CL75" i="5" a="1"/>
  <c r="BQ80" i="5"/>
  <c r="BQ80" i="5" a="1"/>
  <c r="G73" i="5"/>
  <c r="G73" i="5" a="1"/>
  <c r="BR75" i="5"/>
  <c r="BR75" i="5" a="1"/>
  <c r="CY77" i="5"/>
  <c r="CY77" i="5" a="1"/>
  <c r="O75" i="5"/>
  <c r="O75" i="5" a="1"/>
  <c r="K69" i="5"/>
  <c r="K69" i="5" a="1"/>
  <c r="BR78" i="5"/>
  <c r="BR78" i="5" a="1"/>
  <c r="BC75" i="5"/>
  <c r="BC75" i="5" a="1"/>
  <c r="CL80" i="5"/>
  <c r="CL80" i="5" a="1"/>
  <c r="CA79" i="5"/>
  <c r="CA79" i="5" a="1"/>
  <c r="AR76" i="5"/>
  <c r="AR76" i="5" a="1"/>
  <c r="DB75" i="5"/>
  <c r="DB75" i="5" a="1"/>
  <c r="BL77" i="5"/>
  <c r="BL77" i="5" a="1"/>
  <c r="H76" i="5"/>
  <c r="H76" i="5" a="1"/>
  <c r="BN75" i="5"/>
  <c r="BN75" i="5" a="1"/>
  <c r="CP72" i="5"/>
  <c r="CP72" i="5" a="1"/>
  <c r="BB81" i="5"/>
  <c r="BB81" i="5" a="1"/>
  <c r="S81" i="5"/>
  <c r="S81" i="5" a="1"/>
  <c r="AZ79" i="5"/>
  <c r="AZ79" i="5" a="1"/>
  <c r="CQ72" i="5"/>
  <c r="CQ72" i="5" a="1"/>
  <c r="CF70" i="5"/>
  <c r="CF70" i="5" a="1"/>
  <c r="CA71" i="5"/>
  <c r="CA71" i="5" a="1"/>
  <c r="T81" i="5"/>
  <c r="T81" i="5" a="1"/>
  <c r="CR82" i="5"/>
  <c r="CR82" i="5" a="1"/>
  <c r="BF74" i="5"/>
  <c r="BF74" i="5" a="1"/>
  <c r="O81" i="5"/>
  <c r="O81" i="5" a="1"/>
  <c r="R79" i="5"/>
  <c r="R79" i="5" a="1"/>
  <c r="AN75" i="5"/>
  <c r="AN75" i="5" a="1"/>
  <c r="CN69" i="5"/>
  <c r="CN69" i="5" a="1"/>
  <c r="AE69" i="5"/>
  <c r="AE69" i="5" a="1"/>
  <c r="AG72" i="5"/>
  <c r="AG72" i="5" a="1"/>
  <c r="O76" i="5"/>
  <c r="O76" i="5" a="1"/>
  <c r="CE71" i="5"/>
  <c r="CE71" i="5" a="1"/>
  <c r="BA73" i="5"/>
  <c r="BA73" i="5" a="1"/>
  <c r="AH70" i="5"/>
  <c r="AH70" i="5" a="1"/>
  <c r="U71" i="5"/>
  <c r="U71" i="5" a="1"/>
  <c r="BI81" i="5"/>
  <c r="BI81" i="5" a="1"/>
  <c r="DA77" i="5"/>
  <c r="DA77" i="5" a="1"/>
  <c r="CI74" i="5"/>
  <c r="CI74" i="5" a="1"/>
  <c r="CX70" i="5"/>
  <c r="CX70" i="5" a="1"/>
  <c r="J72" i="5"/>
  <c r="J72" i="5" a="1"/>
  <c r="E74" i="5"/>
  <c r="E74" i="5" a="1"/>
  <c r="V77" i="5"/>
  <c r="V77" i="5" a="1"/>
  <c r="Y69" i="5"/>
  <c r="Y69" i="5" a="1"/>
  <c r="AM78" i="5"/>
  <c r="AM78" i="5" a="1"/>
  <c r="CJ79" i="5"/>
  <c r="CJ79" i="5" a="1"/>
  <c r="G78" i="5"/>
  <c r="G78" i="5" a="1"/>
  <c r="P76" i="5"/>
  <c r="P76" i="5" a="1"/>
  <c r="BI71" i="5"/>
  <c r="BI71" i="5" a="1"/>
  <c r="CD82" i="5"/>
  <c r="CD82" i="5" a="1"/>
  <c r="AF79" i="5"/>
  <c r="AF79" i="5" a="1"/>
  <c r="CK72" i="5"/>
  <c r="CK72" i="5" a="1"/>
  <c r="CF74" i="5"/>
  <c r="CF74" i="5" a="1"/>
  <c r="BM72" i="5"/>
  <c r="BM72" i="5" a="1"/>
  <c r="H73" i="5"/>
  <c r="H73" i="5" a="1"/>
  <c r="CU69" i="5"/>
  <c r="CU69" i="5" a="1"/>
  <c r="BH68" i="5"/>
  <c r="BH68" i="5" a="1"/>
  <c r="N80" i="5"/>
  <c r="N80" i="5" a="1"/>
  <c r="S71" i="5"/>
  <c r="S71" i="5" a="1"/>
  <c r="AQ82" i="5"/>
  <c r="AQ82" i="5" a="1"/>
  <c r="H78" i="5"/>
  <c r="H78" i="5" a="1"/>
  <c r="CJ82" i="5"/>
  <c r="CJ82" i="5" a="1"/>
  <c r="AN80" i="5"/>
  <c r="AN80" i="5" a="1"/>
  <c r="L75" i="5"/>
  <c r="L75" i="5" a="1"/>
  <c r="AA75" i="5"/>
  <c r="AA75" i="5" a="1"/>
  <c r="M72" i="5"/>
  <c r="M72" i="5" a="1"/>
  <c r="AO79" i="5"/>
  <c r="AO79" i="5" a="1"/>
  <c r="H75" i="5"/>
  <c r="H75" i="5" a="1"/>
  <c r="AA69" i="5"/>
  <c r="AA69" i="5" a="1"/>
  <c r="I75" i="5"/>
  <c r="I75" i="5" a="1"/>
  <c r="AN79" i="5"/>
  <c r="AN79" i="5" a="1"/>
  <c r="CK81" i="5"/>
  <c r="CK81" i="5" a="1"/>
  <c r="CB73" i="5"/>
  <c r="CB73" i="5" a="1"/>
  <c r="Y76" i="5"/>
  <c r="Y76" i="5" a="1"/>
  <c r="CP68" i="5"/>
  <c r="CP68" i="5" a="1"/>
  <c r="CO78" i="5"/>
  <c r="CO78" i="5" a="1"/>
  <c r="BL68" i="5"/>
  <c r="BL68" i="5" a="1"/>
  <c r="AQ75" i="5"/>
  <c r="AQ75" i="5" a="1"/>
  <c r="CM71" i="5"/>
  <c r="CM71" i="5" a="1"/>
  <c r="CX68" i="5"/>
  <c r="CX68" i="5" a="1"/>
  <c r="BB75" i="5"/>
  <c r="BB75" i="5" a="1"/>
  <c r="Z81" i="5"/>
  <c r="Z81" i="5" a="1"/>
  <c r="CZ75" i="5"/>
  <c r="CZ75" i="5" a="1"/>
  <c r="CR77" i="5"/>
  <c r="CR77" i="5" a="1"/>
  <c r="BS77" i="5"/>
  <c r="BS77" i="5" a="1"/>
  <c r="AZ81" i="5"/>
  <c r="AZ81" i="5" a="1"/>
  <c r="P82" i="5"/>
  <c r="P82" i="5" a="1"/>
  <c r="BY76" i="5"/>
  <c r="BY76" i="5" a="1"/>
  <c r="BF79" i="5"/>
  <c r="BF79" i="5" a="1"/>
  <c r="BA70" i="5"/>
  <c r="BA70" i="5" a="1"/>
  <c r="AT68" i="5"/>
  <c r="AT68" i="5" a="1"/>
  <c r="CO70" i="5"/>
  <c r="CO70" i="5" a="1"/>
  <c r="H81" i="5"/>
  <c r="H81" i="5" a="1"/>
  <c r="CJ72" i="5"/>
  <c r="CJ72" i="5" a="1"/>
  <c r="G69" i="5"/>
  <c r="G69" i="5" a="1"/>
  <c r="CS72" i="5"/>
  <c r="CS72" i="5" a="1"/>
  <c r="W76" i="5"/>
  <c r="W76" i="5" a="1"/>
  <c r="N70" i="5"/>
  <c r="N70" i="5" a="1"/>
  <c r="BJ71" i="5"/>
  <c r="BJ71" i="5" a="1"/>
  <c r="BX75" i="5"/>
  <c r="BX75" i="5" a="1"/>
  <c r="U82" i="5"/>
  <c r="U82" i="5" a="1"/>
  <c r="BM80" i="5"/>
  <c r="BM80" i="5" a="1"/>
  <c r="U70" i="5"/>
  <c r="U70" i="5" a="1"/>
  <c r="AT70" i="5"/>
  <c r="AT70" i="5" a="1"/>
  <c r="I68" i="5"/>
  <c r="I68" i="5" a="1"/>
  <c r="J81" i="5"/>
  <c r="J81" i="5" a="1"/>
  <c r="BM75" i="5"/>
  <c r="BM75" i="5" a="1"/>
  <c r="BO68" i="5"/>
  <c r="BO68" i="5" a="1"/>
  <c r="C72" i="5"/>
  <c r="C72" i="5" a="1"/>
  <c r="DA78" i="5"/>
  <c r="DA78" i="5" a="1"/>
  <c r="T73" i="5"/>
  <c r="T73" i="5" a="1"/>
  <c r="M79" i="5"/>
  <c r="M79" i="5" a="1"/>
  <c r="CJ76" i="5"/>
  <c r="CJ76" i="5" a="1"/>
  <c r="BF82" i="5"/>
  <c r="BF82" i="5" a="1"/>
  <c r="AZ80" i="5"/>
  <c r="AZ80" i="5" a="1"/>
  <c r="I74" i="5"/>
  <c r="I74" i="5" a="1"/>
  <c r="CT70" i="5"/>
  <c r="CT70" i="5" a="1"/>
  <c r="CO73" i="5"/>
  <c r="CO73" i="5" a="1"/>
  <c r="BY81" i="5"/>
  <c r="BY81" i="5" a="1"/>
  <c r="N69" i="5"/>
  <c r="N69" i="5" a="1"/>
  <c r="BK75" i="5"/>
  <c r="BK75" i="5" a="1"/>
  <c r="AC78" i="5"/>
  <c r="AC78" i="5" a="1"/>
  <c r="AT69" i="5"/>
  <c r="AT69" i="5" a="1"/>
  <c r="K70" i="5"/>
  <c r="K70" i="5" a="1"/>
  <c r="BJ74" i="5"/>
  <c r="BJ74" i="5" a="1"/>
  <c r="V71" i="5"/>
  <c r="V71" i="5" a="1"/>
  <c r="BC70" i="5"/>
  <c r="BC70" i="5" a="1"/>
  <c r="BS76" i="5"/>
  <c r="BS76" i="5" a="1"/>
  <c r="AF81" i="5"/>
  <c r="AF81" i="5" a="1"/>
  <c r="CU75" i="5"/>
  <c r="CU75" i="5" a="1"/>
  <c r="AU74" i="5"/>
  <c r="AU74" i="5" a="1"/>
  <c r="DA80" i="5"/>
  <c r="DA80" i="5" a="1"/>
  <c r="CV81" i="5"/>
  <c r="CV81" i="5" a="1"/>
  <c r="Q78" i="5"/>
  <c r="Q78" i="5" a="1"/>
  <c r="Z79" i="5"/>
  <c r="AW49" i="5" a="1"/>
  <c r="Z79" i="5" a="1"/>
  <c r="AU49" i="5"/>
  <c r="AI64" i="5"/>
  <c r="AI64" i="5" a="1"/>
  <c r="BE62" i="5"/>
  <c r="BE62" i="5" a="1"/>
  <c r="CK62" i="5"/>
  <c r="CK62" i="5" a="1"/>
  <c r="BB63" i="5"/>
  <c r="BB63" i="5" a="1"/>
  <c r="BR62" i="5"/>
  <c r="BR62" i="5" a="1"/>
  <c r="Q64" i="5"/>
  <c r="Q64" i="5" a="1"/>
  <c r="W61" i="5"/>
  <c r="W61" i="5" a="1"/>
  <c r="BX63" i="5"/>
  <c r="BX63" i="5" a="1"/>
  <c r="BH63" i="5"/>
  <c r="BH63" i="5" a="1"/>
  <c r="BK63" i="5"/>
  <c r="BK63" i="5" a="1"/>
  <c r="CW64" i="5"/>
  <c r="CW64" i="5" a="1"/>
  <c r="AT63" i="5"/>
  <c r="AT63" i="5" a="1"/>
  <c r="AP61" i="5"/>
  <c r="AP61" i="5" a="1"/>
  <c r="AD61" i="5"/>
  <c r="AD61" i="5" a="1"/>
  <c r="Y64" i="5"/>
  <c r="Y64" i="5" a="1"/>
  <c r="J61" i="5"/>
  <c r="J61" i="5" a="1"/>
  <c r="BE64" i="5"/>
  <c r="BE64" i="5" a="1"/>
  <c r="CU63" i="5"/>
  <c r="CU63" i="5" a="1"/>
  <c r="AZ61" i="5"/>
  <c r="AZ61" i="5" a="1"/>
  <c r="CY61" i="5"/>
  <c r="CY61" i="5" a="1"/>
  <c r="CI64" i="5"/>
  <c r="CI64" i="5" a="1"/>
  <c r="BM62" i="5"/>
  <c r="BM62" i="5" a="1"/>
  <c r="AY61" i="5"/>
  <c r="AY61" i="5" a="1"/>
  <c r="CH64" i="5"/>
  <c r="CH64" i="5" a="1"/>
  <c r="AY63" i="5"/>
  <c r="AY63" i="5" a="1"/>
  <c r="CL63" i="5"/>
  <c r="CL63" i="5" a="1"/>
  <c r="D63" i="5"/>
  <c r="D63" i="5" a="1"/>
  <c r="DC61" i="5"/>
  <c r="DC61" i="5" a="1"/>
  <c r="BY62" i="5"/>
  <c r="BY62" i="5" a="1"/>
  <c r="CA64" i="5"/>
  <c r="CA64" i="5" a="1"/>
  <c r="J63" i="5"/>
  <c r="J63" i="5" a="1"/>
  <c r="BF63" i="5"/>
  <c r="BF63" i="5" a="1"/>
  <c r="E63" i="5"/>
  <c r="E63" i="5" a="1"/>
  <c r="AV63" i="5"/>
  <c r="AV63" i="5" a="1"/>
  <c r="BK62" i="5"/>
  <c r="BK62" i="5" a="1"/>
  <c r="CA61" i="5"/>
  <c r="CA61" i="5" a="1"/>
  <c r="CR64" i="5"/>
  <c r="CR64" i="5" a="1"/>
  <c r="L61" i="5"/>
  <c r="L61" i="5" a="1"/>
  <c r="AT61" i="5"/>
  <c r="AT61" i="5" a="1"/>
  <c r="CT64" i="5"/>
  <c r="CT64" i="5" a="1"/>
  <c r="BD63" i="5"/>
  <c r="BD63" i="5" a="1"/>
  <c r="DC63" i="5"/>
  <c r="DC63" i="5" a="1"/>
  <c r="Y63" i="5"/>
  <c r="Y63" i="5" a="1"/>
  <c r="CH62" i="5"/>
  <c r="CH62" i="5" a="1"/>
  <c r="P63" i="5"/>
  <c r="P63" i="5" a="1"/>
  <c r="CO61" i="5"/>
  <c r="CO61" i="5" a="1"/>
  <c r="CK63" i="5"/>
  <c r="CK63" i="5" a="1"/>
  <c r="X62" i="5"/>
  <c r="X62" i="5" a="1"/>
  <c r="CC63" i="5"/>
  <c r="CC63" i="5" a="1"/>
  <c r="CP61" i="5"/>
  <c r="CP61" i="5" a="1"/>
  <c r="BO63" i="5"/>
  <c r="BO63" i="5" a="1"/>
  <c r="CJ61" i="5"/>
  <c r="CJ61" i="5" a="1"/>
  <c r="AA61" i="5"/>
  <c r="AA61" i="5" a="1"/>
  <c r="Q63" i="5"/>
  <c r="Q63" i="5" a="1"/>
  <c r="L63" i="5"/>
  <c r="L63" i="5" a="1"/>
  <c r="CZ63" i="5"/>
  <c r="CZ63" i="5" a="1"/>
  <c r="BG64" i="5"/>
  <c r="BG64" i="5" a="1"/>
  <c r="O64" i="5"/>
  <c r="O64" i="5" a="1"/>
  <c r="CQ64" i="5"/>
  <c r="CQ64" i="5" a="1"/>
  <c r="BP63" i="5"/>
  <c r="BP63" i="5" a="1"/>
  <c r="BP61" i="5"/>
  <c r="BP61" i="5" a="1"/>
  <c r="CX63" i="5"/>
  <c r="CX63" i="5" a="1"/>
  <c r="AH63" i="5"/>
  <c r="AH63" i="5" a="1"/>
  <c r="CG64" i="5"/>
  <c r="CG64" i="5" a="1"/>
  <c r="AZ62" i="5"/>
  <c r="AZ62" i="5" a="1"/>
  <c r="CV61" i="5"/>
  <c r="CV61" i="5" a="1"/>
  <c r="E61" i="5"/>
  <c r="E61" i="5" a="1"/>
  <c r="CV62" i="5"/>
  <c r="CV62" i="5" a="1"/>
  <c r="AH64" i="5"/>
  <c r="AH64" i="5" a="1"/>
  <c r="I64" i="5"/>
  <c r="I64" i="5" a="1"/>
  <c r="BZ62" i="5"/>
  <c r="BZ62" i="5" a="1"/>
  <c r="CS64" i="5"/>
  <c r="CS64" i="5" a="1"/>
  <c r="CX61" i="5"/>
  <c r="CX61" i="5" a="1"/>
  <c r="BQ64" i="5"/>
  <c r="BQ64" i="5" a="1"/>
  <c r="AD64" i="5"/>
  <c r="AD64" i="5" a="1"/>
  <c r="CS62" i="5"/>
  <c r="CS62" i="5" a="1"/>
  <c r="CD62" i="5"/>
  <c r="CD62" i="5" a="1"/>
  <c r="AO61" i="5"/>
  <c r="AO61" i="5" a="1"/>
  <c r="AO64" i="5"/>
  <c r="AO64" i="5" a="1"/>
  <c r="BH61" i="5"/>
  <c r="BH61" i="5" a="1"/>
  <c r="BD64" i="5"/>
  <c r="BD64" i="5" a="1"/>
  <c r="G61" i="5"/>
  <c r="G61" i="5" a="1"/>
  <c r="Z63" i="5"/>
  <c r="Z63" i="5" a="1"/>
  <c r="DC62" i="5"/>
  <c r="DC62" i="5" a="1"/>
  <c r="AQ61" i="5"/>
  <c r="AQ61" i="5" a="1"/>
  <c r="AW61" i="5"/>
  <c r="AW61" i="5" a="1"/>
  <c r="DB64" i="5"/>
  <c r="DB64" i="5" a="1"/>
  <c r="AC64" i="5"/>
  <c r="AC64" i="5" a="1"/>
  <c r="H61" i="5"/>
  <c r="H61" i="5" a="1"/>
  <c r="CI62" i="5"/>
  <c r="CI62" i="5" a="1"/>
  <c r="AV64" i="5"/>
  <c r="AV64" i="5" a="1"/>
  <c r="C62" i="5"/>
  <c r="C62" i="5" a="1"/>
  <c r="BZ61" i="5"/>
  <c r="BZ61" i="5" a="1"/>
  <c r="AW62" i="5"/>
  <c r="AW62" i="5" a="1"/>
  <c r="M63" i="5"/>
  <c r="M63" i="5" a="1"/>
  <c r="BG63" i="5"/>
  <c r="BG63" i="5" a="1"/>
  <c r="CC64" i="5"/>
  <c r="CC64" i="5" a="1"/>
  <c r="AV62" i="5"/>
  <c r="AV62" i="5" a="1"/>
  <c r="CF63" i="5"/>
  <c r="CF63" i="5" a="1"/>
  <c r="BK61" i="5"/>
  <c r="BK61" i="5" a="1"/>
  <c r="BB61" i="5"/>
  <c r="BB61" i="5" a="1"/>
  <c r="CO62" i="5"/>
  <c r="CO62" i="5" a="1"/>
  <c r="P64" i="5"/>
  <c r="P64" i="5" a="1"/>
  <c r="AM61" i="5"/>
  <c r="AM61" i="5" a="1"/>
  <c r="BN64" i="5"/>
  <c r="BN64" i="5" a="1"/>
  <c r="U63" i="5"/>
  <c r="U63" i="5" a="1"/>
  <c r="F63" i="5"/>
  <c r="F63" i="5" a="1"/>
  <c r="K61" i="5"/>
  <c r="K61" i="5" a="1"/>
  <c r="BW61" i="5"/>
  <c r="BW61" i="5" a="1"/>
  <c r="Z64" i="5"/>
  <c r="Z64" i="5" a="1"/>
  <c r="O62" i="5"/>
  <c r="O62" i="5" a="1"/>
  <c r="CA63" i="5"/>
  <c r="CA63" i="5" a="1"/>
  <c r="BF62" i="5"/>
  <c r="BF62" i="5" a="1"/>
  <c r="AC62" i="5"/>
  <c r="AC62" i="5" a="1"/>
  <c r="BS63" i="5"/>
  <c r="BS63" i="5" a="1"/>
  <c r="CQ62" i="5"/>
  <c r="CQ62" i="5" a="1"/>
  <c r="DC64" i="5"/>
  <c r="DC64" i="5" a="1"/>
  <c r="AX61" i="5"/>
  <c r="AX61" i="5" a="1"/>
  <c r="AI62" i="5"/>
  <c r="AI62" i="5" a="1"/>
  <c r="AX64" i="5"/>
  <c r="AX64" i="5" a="1"/>
  <c r="G62" i="5"/>
  <c r="G62" i="5" a="1"/>
  <c r="DB62" i="5"/>
  <c r="DB62" i="5" a="1"/>
  <c r="AE64" i="5"/>
  <c r="AE64" i="5" a="1"/>
  <c r="Y62" i="5"/>
  <c r="Y62" i="5" a="1"/>
  <c r="AQ64" i="5"/>
  <c r="AQ64" i="5" a="1"/>
  <c r="AR62" i="5"/>
  <c r="AR62" i="5" a="1"/>
  <c r="AG63" i="5"/>
  <c r="AG63" i="5" a="1"/>
  <c r="CL64" i="5"/>
  <c r="CL64" i="5" a="1"/>
  <c r="BR61" i="5"/>
  <c r="BR61" i="5" a="1"/>
  <c r="BX62" i="5"/>
  <c r="BX62" i="5" a="1"/>
  <c r="AP64" i="5"/>
  <c r="AP64" i="5" a="1"/>
  <c r="BG62" i="5"/>
  <c r="BG62" i="5" a="1"/>
  <c r="CF61" i="5"/>
  <c r="CF61" i="5" a="1"/>
  <c r="V62" i="5"/>
  <c r="V62" i="5" a="1"/>
  <c r="BQ63" i="5"/>
  <c r="BQ63" i="5" a="1"/>
  <c r="I61" i="5"/>
  <c r="I61" i="5" a="1"/>
  <c r="AE61" i="5"/>
  <c r="AE61" i="5" a="1"/>
  <c r="J62" i="5"/>
  <c r="J62" i="5" a="1"/>
  <c r="CO63" i="5"/>
  <c r="CO63" i="5" a="1"/>
  <c r="BE63" i="5"/>
  <c r="BE63" i="5" a="1"/>
  <c r="AY62" i="5"/>
  <c r="AY62" i="5" a="1"/>
  <c r="V63" i="5"/>
  <c r="V63" i="5" a="1"/>
  <c r="CR62" i="5"/>
  <c r="CR62" i="5" a="1"/>
  <c r="CP64" i="5"/>
  <c r="CP64" i="5" a="1"/>
  <c r="J64" i="5"/>
  <c r="J64" i="5" a="1"/>
  <c r="BW62" i="5"/>
  <c r="BW62" i="5" a="1"/>
  <c r="BL62" i="5"/>
  <c r="BL62" i="5" a="1"/>
  <c r="BC61" i="5"/>
  <c r="BC61" i="5" a="1"/>
  <c r="BC64" i="5"/>
  <c r="BC64" i="5" a="1"/>
  <c r="AU62" i="5"/>
  <c r="AU62" i="5" a="1"/>
  <c r="AB62" i="5"/>
  <c r="AB62" i="5" a="1"/>
  <c r="U64" i="5"/>
  <c r="U64" i="5" a="1"/>
  <c r="O63" i="5"/>
  <c r="O63" i="5" a="1"/>
  <c r="CG62" i="5"/>
  <c r="CG62" i="5" a="1"/>
  <c r="BC62" i="5"/>
  <c r="BC62" i="5" a="1"/>
  <c r="AC61" i="5"/>
  <c r="AC61" i="5" a="1"/>
  <c r="AF64" i="5"/>
  <c r="AF64" i="5" a="1"/>
  <c r="CN63" i="5"/>
  <c r="CN63" i="5" a="1"/>
  <c r="DB61" i="5"/>
  <c r="DB61" i="5" a="1"/>
  <c r="CM61" i="5"/>
  <c r="CM61" i="5" a="1"/>
  <c r="S63" i="5"/>
  <c r="S63" i="5" a="1"/>
  <c r="BB64" i="5"/>
  <c r="BB64" i="5" a="1"/>
  <c r="Z61" i="5"/>
  <c r="Z61" i="5" a="1"/>
  <c r="CE62" i="5"/>
  <c r="CE62" i="5" a="1"/>
  <c r="W64" i="5"/>
  <c r="W64" i="5" a="1"/>
  <c r="BX61" i="5"/>
  <c r="BX61" i="5" a="1"/>
  <c r="BF64" i="5"/>
  <c r="BF64" i="5" a="1"/>
  <c r="CA62" i="5"/>
  <c r="CA62" i="5" a="1"/>
  <c r="Q62" i="5"/>
  <c r="Q62" i="5" a="1"/>
  <c r="W63" i="5"/>
  <c r="W63" i="5" a="1"/>
  <c r="BM64" i="5"/>
  <c r="BM64" i="5" a="1"/>
  <c r="P61" i="5"/>
  <c r="P61" i="5" a="1"/>
  <c r="CM63" i="5"/>
  <c r="CM63" i="5" a="1"/>
  <c r="M64" i="5"/>
  <c r="M64" i="5" a="1"/>
  <c r="CK64" i="5"/>
  <c r="CK64" i="5" a="1"/>
  <c r="BD62" i="5"/>
  <c r="BD62" i="5" a="1"/>
  <c r="M61" i="5"/>
  <c r="M61" i="5" a="1"/>
  <c r="CW62" i="5"/>
  <c r="CW62" i="5" a="1"/>
  <c r="CV64" i="5"/>
  <c r="CV64" i="5" a="1"/>
  <c r="N63" i="5"/>
  <c r="N63" i="5" a="1"/>
  <c r="BJ61" i="5"/>
  <c r="BJ61" i="5" a="1"/>
  <c r="U62" i="5"/>
  <c r="U62" i="5" a="1"/>
  <c r="BM63" i="5"/>
  <c r="BM63" i="5" a="1"/>
  <c r="N64" i="5"/>
  <c r="N64" i="5" a="1"/>
  <c r="CN62" i="5"/>
  <c r="CN62" i="5" a="1"/>
  <c r="T61" i="5"/>
  <c r="T61" i="5" a="1"/>
  <c r="BY64" i="5"/>
  <c r="BY64" i="5" a="1"/>
  <c r="I63" i="5"/>
  <c r="I63" i="5" a="1"/>
  <c r="M62" i="5"/>
  <c r="M62" i="5" a="1"/>
  <c r="CR61" i="5"/>
  <c r="CR61" i="5" a="1"/>
  <c r="E64" i="5"/>
  <c r="E64" i="5" a="1"/>
  <c r="AT64" i="5"/>
  <c r="AT64" i="5" a="1"/>
  <c r="D61" i="5"/>
  <c r="D61" i="5" a="1"/>
  <c r="BE61" i="5"/>
  <c r="BE61" i="5" a="1"/>
  <c r="BG61" i="5"/>
  <c r="BG61" i="5" a="1"/>
  <c r="CH63" i="5"/>
  <c r="CH63" i="5" a="1"/>
  <c r="AU61" i="5"/>
  <c r="AU61" i="5" a="1"/>
  <c r="CG63" i="5"/>
  <c r="CG63" i="5" a="1"/>
  <c r="BN62" i="5"/>
  <c r="BN62" i="5" a="1"/>
  <c r="N61" i="5"/>
  <c r="N61" i="5" a="1"/>
  <c r="CN64" i="5"/>
  <c r="CN64" i="5" a="1"/>
  <c r="AN64" i="5"/>
  <c r="AN64" i="5" a="1"/>
  <c r="AF63" i="5"/>
  <c r="AF63" i="5" a="1"/>
  <c r="S62" i="5"/>
  <c r="S62" i="5" a="1"/>
  <c r="AS62" i="5"/>
  <c r="AS62" i="5" a="1"/>
  <c r="BJ64" i="5"/>
  <c r="BJ64" i="5" a="1"/>
  <c r="BZ63" i="5"/>
  <c r="BZ63" i="5" a="1"/>
  <c r="AN62" i="5"/>
  <c r="AN62" i="5" a="1"/>
  <c r="AX62" i="5"/>
  <c r="AX62" i="5" a="1"/>
  <c r="BN63" i="5"/>
  <c r="BN63" i="5" a="1"/>
  <c r="CD64" i="5"/>
  <c r="CD64" i="5" a="1"/>
  <c r="BA62" i="5"/>
  <c r="BA62" i="5" a="1"/>
  <c r="G64" i="5"/>
  <c r="G64" i="5" a="1"/>
  <c r="BL63" i="5"/>
  <c r="BL63" i="5" a="1"/>
  <c r="AU64" i="5"/>
  <c r="AU64" i="5" a="1"/>
  <c r="CX64" i="5"/>
  <c r="CX64" i="5" a="1"/>
  <c r="AP63" i="5"/>
  <c r="AP63" i="5" a="1"/>
  <c r="K62" i="5"/>
  <c r="K62" i="5" a="1"/>
  <c r="CX62" i="5"/>
  <c r="CX62" i="5" a="1"/>
  <c r="U61" i="5"/>
  <c r="U61" i="5" a="1"/>
  <c r="BA64" i="5"/>
  <c r="BA64" i="5" a="1"/>
  <c r="CF64" i="5"/>
  <c r="CF64" i="5" a="1"/>
  <c r="AI63" i="5"/>
  <c r="AI63" i="5" a="1"/>
  <c r="CJ63" i="5"/>
  <c r="CJ63" i="5" a="1"/>
  <c r="G63" i="5"/>
  <c r="G63" i="5" a="1"/>
  <c r="CS61" i="5"/>
  <c r="CS61" i="5" a="1"/>
  <c r="CZ62" i="5"/>
  <c r="CZ62" i="5" a="1"/>
  <c r="CJ64" i="5"/>
  <c r="CJ64" i="5" a="1"/>
  <c r="R61" i="5"/>
  <c r="R61" i="5" a="1"/>
  <c r="AU63" i="5"/>
  <c r="AU63" i="5" a="1"/>
  <c r="CU61" i="5"/>
  <c r="CU61" i="5" a="1"/>
  <c r="CE61" i="5"/>
  <c r="CE61" i="5" a="1"/>
  <c r="CD61" i="5"/>
  <c r="CD61" i="5" a="1"/>
  <c r="CN61" i="5"/>
  <c r="CN61" i="5" a="1"/>
  <c r="AI61" i="5"/>
  <c r="AI61" i="5" a="1"/>
  <c r="D64" i="5"/>
  <c r="D64" i="5" a="1"/>
  <c r="AA63" i="5"/>
  <c r="AA63" i="5" a="1"/>
  <c r="AE63" i="5"/>
  <c r="AE63" i="5" a="1"/>
  <c r="E62" i="5"/>
  <c r="E62" i="5" a="1"/>
  <c r="BI62" i="5"/>
  <c r="BI62" i="5" a="1"/>
  <c r="BC63" i="5"/>
  <c r="BC63" i="5" a="1"/>
  <c r="P62" i="5"/>
  <c r="P62" i="5" a="1"/>
  <c r="V61" i="5"/>
  <c r="V61" i="5" a="1"/>
  <c r="BB62" i="5"/>
  <c r="BB62" i="5" a="1"/>
  <c r="BZ64" i="5"/>
  <c r="BZ64" i="5" a="1"/>
  <c r="CY63" i="5"/>
  <c r="CY63" i="5" a="1"/>
  <c r="AC63" i="5"/>
  <c r="AC63" i="5" a="1"/>
  <c r="X61" i="5"/>
  <c r="X61" i="5" a="1"/>
  <c r="BQ62" i="5"/>
  <c r="BQ62" i="5" a="1"/>
  <c r="CL61" i="5"/>
  <c r="CL61" i="5" a="1"/>
  <c r="CF62" i="5"/>
  <c r="CF62" i="5" a="1"/>
  <c r="AM62" i="5"/>
  <c r="AM62" i="5" a="1"/>
  <c r="CJ62" i="5"/>
  <c r="CJ62" i="5" a="1"/>
  <c r="CQ63" i="5"/>
  <c r="CQ63" i="5" a="1"/>
  <c r="I62" i="5"/>
  <c r="I62" i="5" a="1"/>
  <c r="BI63" i="5"/>
  <c r="BI63" i="5" a="1"/>
  <c r="CQ61" i="5"/>
  <c r="CQ61" i="5" a="1"/>
  <c r="T64" i="5"/>
  <c r="T64" i="5" a="1"/>
  <c r="BW63" i="5"/>
  <c r="BW63" i="5" a="1"/>
  <c r="AX63" i="5"/>
  <c r="AX63" i="5" a="1"/>
  <c r="V64" i="5"/>
  <c r="V64" i="5" a="1"/>
  <c r="AB61" i="5"/>
  <c r="AB61" i="5" a="1"/>
  <c r="DB63" i="5"/>
  <c r="DB63" i="5" a="1"/>
  <c r="CW63" i="5"/>
  <c r="CW63" i="5" a="1"/>
  <c r="BS64" i="5"/>
  <c r="BS64" i="5" a="1"/>
  <c r="AR61" i="5"/>
  <c r="AR61" i="5" a="1"/>
  <c r="CS63" i="5"/>
  <c r="CS63" i="5" a="1"/>
  <c r="BJ63" i="5"/>
  <c r="BJ63" i="5" a="1"/>
  <c r="AT62" i="5"/>
  <c r="AT62" i="5" a="1"/>
  <c r="BD61" i="5"/>
  <c r="BD61" i="5" a="1"/>
  <c r="AS63" i="5"/>
  <c r="AS63" i="5" a="1"/>
  <c r="BX64" i="5"/>
  <c r="BX64" i="5" a="1"/>
  <c r="H63" i="5"/>
  <c r="H63" i="5" a="1"/>
  <c r="CY62" i="5"/>
  <c r="CY62" i="5" a="1"/>
  <c r="AH62" i="5"/>
  <c r="AH62" i="5" a="1"/>
  <c r="AR64" i="5"/>
  <c r="AR64" i="5" a="1"/>
  <c r="BR64" i="5"/>
  <c r="BR64" i="5" a="1"/>
  <c r="AF61" i="5"/>
  <c r="AF61" i="5" a="1"/>
  <c r="T62" i="5"/>
  <c r="T62" i="5" a="1"/>
  <c r="AA64" i="5"/>
  <c r="AA64" i="5" a="1"/>
  <c r="BL61" i="5"/>
  <c r="BL61" i="5" a="1"/>
  <c r="BY61" i="5"/>
  <c r="BY61" i="5" a="1"/>
  <c r="AO63" i="5"/>
  <c r="AO63" i="5" a="1"/>
  <c r="AQ63" i="5"/>
  <c r="AQ63" i="5" a="1"/>
  <c r="AS64" i="5"/>
  <c r="AS64" i="5" a="1"/>
  <c r="AA62" i="5"/>
  <c r="AA62" i="5" a="1"/>
  <c r="AZ63" i="5"/>
  <c r="AZ63" i="5" a="1"/>
  <c r="CZ61" i="5"/>
  <c r="CZ61" i="5" a="1"/>
  <c r="AY64" i="5"/>
  <c r="AY64" i="5" a="1"/>
  <c r="CL62" i="5"/>
  <c r="CL62" i="5" a="1"/>
  <c r="X64" i="5"/>
  <c r="X64" i="5" a="1"/>
  <c r="Y61" i="5"/>
  <c r="Y61" i="5" a="1"/>
  <c r="AN61" i="5"/>
  <c r="AN61" i="5" a="1"/>
  <c r="H64" i="5"/>
  <c r="H64" i="5" a="1"/>
  <c r="BP62" i="5"/>
  <c r="BP62" i="5" a="1"/>
  <c r="AB64" i="5"/>
  <c r="AB64" i="5" a="1"/>
  <c r="DA62" i="5"/>
  <c r="DA62" i="5" a="1"/>
  <c r="CD63" i="5"/>
  <c r="CD63" i="5" a="1"/>
  <c r="K63" i="5"/>
  <c r="K63" i="5" a="1"/>
  <c r="BI61" i="5"/>
  <c r="BI61" i="5" a="1"/>
  <c r="CP62" i="5"/>
  <c r="CP62" i="5" a="1"/>
  <c r="L62" i="5"/>
  <c r="L62" i="5" a="1"/>
  <c r="CE64" i="5"/>
  <c r="CE64" i="5" a="1"/>
  <c r="DA64" i="5"/>
  <c r="DA64" i="5" a="1"/>
  <c r="CI63" i="5"/>
  <c r="CI63" i="5" a="1"/>
  <c r="BI64" i="5"/>
  <c r="BI64" i="5" a="1"/>
  <c r="CU64" i="5"/>
  <c r="CU64" i="5" a="1"/>
  <c r="Q61" i="5"/>
  <c r="Q61" i="5" a="1"/>
  <c r="R63" i="5"/>
  <c r="R63" i="5" a="1"/>
  <c r="AO62" i="5"/>
  <c r="AO62" i="5" a="1"/>
  <c r="BM61" i="5"/>
  <c r="BM61" i="5" a="1"/>
  <c r="C64" i="5"/>
  <c r="C64" i="5" a="1"/>
  <c r="CM62" i="5"/>
  <c r="CM62" i="5" a="1"/>
  <c r="AG61" i="5"/>
  <c r="AG61" i="5" a="1"/>
  <c r="N62" i="5"/>
  <c r="N62" i="5" a="1"/>
  <c r="W62" i="5"/>
  <c r="W62" i="5" a="1"/>
  <c r="CT61" i="5"/>
  <c r="CT61" i="5" a="1"/>
  <c r="AE62" i="5"/>
  <c r="AE62" i="5" a="1"/>
  <c r="AD62" i="5"/>
  <c r="AD62" i="5" a="1"/>
  <c r="CC61" i="5"/>
  <c r="CC61" i="5" a="1"/>
  <c r="BA61" i="5"/>
  <c r="BA61" i="5" a="1"/>
  <c r="CM64" i="5"/>
  <c r="CM64" i="5" a="1"/>
  <c r="AN63" i="5"/>
  <c r="AN63" i="5" a="1"/>
  <c r="CH61" i="5"/>
  <c r="CH61" i="5" a="1"/>
  <c r="T63" i="5"/>
  <c r="T63" i="5" a="1"/>
  <c r="CG61" i="5"/>
  <c r="CG61" i="5" a="1"/>
  <c r="BA63" i="5"/>
  <c r="BA63" i="5" a="1"/>
  <c r="BS62" i="5"/>
  <c r="BS62" i="5" a="1"/>
  <c r="CU62" i="5"/>
  <c r="CU62" i="5" a="1"/>
  <c r="K64" i="5"/>
  <c r="K64" i="5" a="1"/>
  <c r="BN61" i="5"/>
  <c r="BN61" i="5" a="1"/>
  <c r="BW64" i="5"/>
  <c r="BW64" i="5" a="1"/>
  <c r="AD63" i="5"/>
  <c r="AD63" i="5" a="1"/>
  <c r="CB64" i="5"/>
  <c r="CB64" i="5" a="1"/>
  <c r="BQ61" i="5"/>
  <c r="BQ61" i="5" a="1"/>
  <c r="CO64" i="5"/>
  <c r="CO64" i="5" a="1"/>
  <c r="DA63" i="5"/>
  <c r="DA63" i="5" a="1"/>
  <c r="AR63" i="5"/>
  <c r="AR63" i="5" a="1"/>
  <c r="CB62" i="5"/>
  <c r="CB62" i="5" a="1"/>
  <c r="CC62" i="5"/>
  <c r="CC62" i="5" a="1"/>
  <c r="AW63" i="5"/>
  <c r="AW63" i="5" a="1"/>
  <c r="BL64" i="5"/>
  <c r="BL64" i="5" a="1"/>
  <c r="L64" i="5"/>
  <c r="L64" i="5" a="1"/>
  <c r="R62" i="5"/>
  <c r="R62" i="5" a="1"/>
  <c r="S64" i="5"/>
  <c r="S64" i="5" a="1"/>
  <c r="CE63" i="5"/>
  <c r="CE63" i="5" a="1"/>
  <c r="CV63" i="5"/>
  <c r="CV63" i="5" a="1"/>
  <c r="AZ64" i="5"/>
  <c r="AZ64" i="5" a="1"/>
  <c r="BF61" i="5"/>
  <c r="BF61" i="5" a="1"/>
  <c r="AM64" i="5"/>
  <c r="AM64" i="5" a="1"/>
  <c r="O61" i="5"/>
  <c r="O61" i="5" a="1"/>
  <c r="CP63" i="5"/>
  <c r="CP63" i="5" a="1"/>
  <c r="BJ62" i="5"/>
  <c r="BJ62" i="5" a="1"/>
  <c r="CK61" i="5"/>
  <c r="CK61" i="5" a="1"/>
  <c r="CT63" i="5"/>
  <c r="CT63" i="5" a="1"/>
  <c r="BR63" i="5"/>
  <c r="BR63" i="5" a="1"/>
  <c r="CT62" i="5"/>
  <c r="CT62" i="5" a="1"/>
  <c r="CY64" i="5"/>
  <c r="CY64" i="5" a="1"/>
  <c r="AS61" i="5"/>
  <c r="AS61" i="5" a="1"/>
  <c r="BO61" i="5"/>
  <c r="BO61" i="5" a="1"/>
  <c r="BS61" i="5"/>
  <c r="BS61" i="5" a="1"/>
  <c r="CB63" i="5"/>
  <c r="CB63" i="5" a="1"/>
  <c r="X63" i="5"/>
  <c r="X63" i="5" a="1"/>
  <c r="F64" i="5"/>
  <c r="F64" i="5" a="1"/>
  <c r="AH61" i="5"/>
  <c r="AH61" i="5" a="1"/>
  <c r="AM63" i="5"/>
  <c r="AM63" i="5" a="1"/>
  <c r="BO62" i="5"/>
  <c r="BO62" i="5" a="1"/>
  <c r="D62" i="5"/>
  <c r="D62" i="5" a="1"/>
  <c r="AB63" i="5"/>
  <c r="AB63" i="5" a="1"/>
  <c r="CB61" i="5"/>
  <c r="CB61" i="5" a="1"/>
  <c r="H62" i="5"/>
  <c r="H62" i="5" a="1"/>
  <c r="AF62" i="5"/>
  <c r="AF62" i="5" a="1"/>
  <c r="CZ64" i="5"/>
  <c r="CZ64" i="5" a="1"/>
  <c r="AG64" i="5"/>
  <c r="AG64" i="5" a="1"/>
  <c r="BH64" i="5"/>
  <c r="BH64" i="5" a="1"/>
  <c r="DA61" i="5"/>
  <c r="DA61" i="5" a="1"/>
  <c r="BK64" i="5"/>
  <c r="BK64" i="5" a="1"/>
  <c r="AW64" i="5"/>
  <c r="AW64" i="5" a="1"/>
  <c r="AP62" i="5"/>
  <c r="AP62" i="5" a="1"/>
  <c r="Z62" i="5"/>
  <c r="Z62" i="5" a="1"/>
  <c r="R64" i="5"/>
  <c r="R64" i="5" a="1"/>
  <c r="S61" i="5"/>
  <c r="S61" i="5" a="1"/>
  <c r="AQ62" i="5"/>
  <c r="AQ62" i="5" a="1"/>
  <c r="CW61" i="5"/>
  <c r="CW61" i="5" a="1"/>
  <c r="BH62" i="5"/>
  <c r="BH62" i="5" a="1"/>
  <c r="BO64" i="5"/>
  <c r="BO64" i="5" a="1"/>
  <c r="F61" i="5"/>
  <c r="F61" i="5" a="1"/>
  <c r="CI61" i="5"/>
  <c r="CI61" i="5" a="1"/>
  <c r="CR63" i="5"/>
  <c r="CR63" i="5" a="1"/>
  <c r="F62" i="5"/>
  <c r="F62" i="5" a="1"/>
  <c r="C61" i="5"/>
  <c r="C61" i="5" a="1"/>
  <c r="AG62" i="5"/>
  <c r="AG62" i="5" a="1"/>
  <c r="BP64" i="5"/>
  <c r="BP64" i="5" a="1"/>
  <c r="AV61" i="5"/>
  <c r="AV61" i="5" a="1"/>
  <c r="C63" i="5"/>
  <c r="C63" i="5" a="1"/>
  <c r="BY63" i="5"/>
  <c r="AS49" i="5" a="1"/>
  <c r="AU49" i="5" a="1"/>
  <c r="BY63" i="5" a="1"/>
</calcChain>
</file>

<file path=xl/sharedStrings.xml><?xml version="1.0" encoding="utf-8"?>
<sst xmlns="http://schemas.openxmlformats.org/spreadsheetml/2006/main" count="867" uniqueCount="232">
  <si>
    <t>S/N</t>
  </si>
  <si>
    <t>Exercise</t>
  </si>
  <si>
    <t>General Details</t>
  </si>
  <si>
    <t>Signals</t>
  </si>
  <si>
    <t xml:space="preserve">Medic </t>
  </si>
  <si>
    <t>Medic</t>
  </si>
  <si>
    <t>Ammo</t>
  </si>
  <si>
    <t>Ration</t>
  </si>
  <si>
    <t>Transport</t>
  </si>
  <si>
    <t>Others</t>
  </si>
  <si>
    <t>Conventional Arms</t>
  </si>
  <si>
    <t>Demolition</t>
  </si>
  <si>
    <t>Start:
Date / Timing</t>
  </si>
  <si>
    <t>End:
Date / Timing</t>
  </si>
  <si>
    <t>SOUV</t>
  </si>
  <si>
    <t>5-Ton</t>
  </si>
  <si>
    <t>GP Car</t>
  </si>
  <si>
    <t>Other Vehicles (Boats, Trailers, F550)</t>
  </si>
  <si>
    <t>TO</t>
  </si>
  <si>
    <t>Reporting Venue</t>
  </si>
  <si>
    <t>Destination Venue</t>
  </si>
  <si>
    <t>Parkover</t>
  </si>
  <si>
    <t>Remarks</t>
  </si>
  <si>
    <t>Indent ID</t>
  </si>
  <si>
    <t>Date/Timing</t>
  </si>
  <si>
    <t>Venue</t>
  </si>
  <si>
    <t>20 - seater</t>
  </si>
  <si>
    <t>40 - seater</t>
  </si>
  <si>
    <t>1 way / 2 way / Disposal</t>
  </si>
  <si>
    <t>POC + Contact Number</t>
  </si>
  <si>
    <t>RPL</t>
  </si>
  <si>
    <t>Fast Craft</t>
  </si>
  <si>
    <t>Stores</t>
  </si>
  <si>
    <t>ICCT Instructors</t>
  </si>
  <si>
    <t>SOC Key</t>
  </si>
  <si>
    <t>Link Bridge Key</t>
  </si>
  <si>
    <t>M1 Gate Key</t>
  </si>
  <si>
    <t>Area to Book</t>
  </si>
  <si>
    <t>PRC 650</t>
  </si>
  <si>
    <t>PRC 940</t>
  </si>
  <si>
    <t>DIPOLE</t>
  </si>
  <si>
    <t>AM78</t>
  </si>
  <si>
    <t>VRC 947</t>
  </si>
  <si>
    <t>TA427</t>
  </si>
  <si>
    <t>SB22</t>
  </si>
  <si>
    <t>RL11 + D10</t>
  </si>
  <si>
    <t xml:space="preserve">WALKIE TALKIE </t>
  </si>
  <si>
    <t xml:space="preserve">TRS </t>
  </si>
  <si>
    <t>BINOCULAR: 8 X 30, SWAROVSKI</t>
  </si>
  <si>
    <t>BINOCULAR: 8 X MAGN, 30 MM</t>
  </si>
  <si>
    <t>READER, MAP, BETALIGHT</t>
  </si>
  <si>
    <t>COMPASS MAGNETIC</t>
  </si>
  <si>
    <t>LASER AIMING DEVICE, VISIBLE</t>
  </si>
  <si>
    <t>LASER AIMING DEVICE, IR</t>
  </si>
  <si>
    <t>BORELIGHT - BL (VIS)</t>
  </si>
  <si>
    <t>XTREK GPS</t>
  </si>
  <si>
    <t>IN-REACH GPS</t>
  </si>
  <si>
    <t>NVG</t>
  </si>
  <si>
    <t>NIGHTHAWK</t>
  </si>
  <si>
    <t>UTWS</t>
  </si>
  <si>
    <t>Optics</t>
  </si>
  <si>
    <t>No. Required</t>
  </si>
  <si>
    <t>Collection Date/Timing</t>
  </si>
  <si>
    <t>Return Date/Timing</t>
  </si>
  <si>
    <t>5.56MM MMR RED</t>
  </si>
  <si>
    <t>5.56MM MMR BLUE</t>
  </si>
  <si>
    <t xml:space="preserve">CTG SIG 16MM GREEN </t>
  </si>
  <si>
    <t xml:space="preserve">CTG SIG 16MM ILLUM </t>
  </si>
  <si>
    <t xml:space="preserve">CTG SIG 16MM RED </t>
  </si>
  <si>
    <t xml:space="preserve">FLARE SURFACE TRIPWIRE MK2 </t>
  </si>
  <si>
    <t xml:space="preserve">SIM THUNFLASH NON-ELEC </t>
  </si>
  <si>
    <t xml:space="preserve">GRENADE HAND SMOKE SCREENING N452 </t>
  </si>
  <si>
    <t xml:space="preserve">DEMO KIT BANGALORE TORPEDO NO 21 </t>
  </si>
  <si>
    <t xml:space="preserve">BOOSTER DEMOLITION CHARGE, PETN, NO. 1 </t>
  </si>
  <si>
    <t xml:space="preserve">CHARGE DEMOLITION TNT FLAKES </t>
  </si>
  <si>
    <t xml:space="preserve">CHGE DEMO BLK NO 3 0.5KG </t>
  </si>
  <si>
    <t xml:space="preserve">DEMO KIT PROJECTED LINE CHGE </t>
  </si>
  <si>
    <t xml:space="preserve">DETONATOR,NON-ELEC NO.8 </t>
  </si>
  <si>
    <t xml:space="preserve">DETONATOR ELECTRIC,NO. 8 </t>
  </si>
  <si>
    <t xml:space="preserve">IGN TIME BLAST FUSE NE </t>
  </si>
  <si>
    <t xml:space="preserve">MATCH SAFETY 1.9 INCH </t>
  </si>
  <si>
    <t xml:space="preserve">RKT HAND FIRED 38MM ILLUM 400M </t>
  </si>
  <si>
    <t xml:space="preserve">RKT HAND FIRED PARACHUTE SIGNAL RED </t>
  </si>
  <si>
    <t xml:space="preserve">SIMULATOR FLASH ARTILLERY, TNT </t>
  </si>
  <si>
    <t xml:space="preserve">PELLET RIOT CONTROL AGENT SMOKE CS </t>
  </si>
  <si>
    <t xml:space="preserve">CARTRIDGE 9MM LUGER, SINTOX, BALL - 8G </t>
  </si>
  <si>
    <t>From</t>
  </si>
  <si>
    <t>To</t>
  </si>
  <si>
    <t>Vehicle Details (with Authorised Troops)</t>
  </si>
  <si>
    <t>ACMS</t>
  </si>
  <si>
    <t>UOCE</t>
  </si>
  <si>
    <t>Heartlanders Tools</t>
  </si>
  <si>
    <t>PANTES</t>
  </si>
  <si>
    <t>Heli Belts</t>
  </si>
  <si>
    <t>ALFRE</t>
  </si>
  <si>
    <t>iPETS</t>
  </si>
  <si>
    <t>POL</t>
  </si>
  <si>
    <t>DEMO LIVE FIRING</t>
  </si>
  <si>
    <t>SMARTO Indenting Assistant @ OCS</t>
  </si>
  <si>
    <t>Click to expand -&gt;</t>
  </si>
  <si>
    <t>Wing</t>
  </si>
  <si>
    <t>TWG</t>
  </si>
  <si>
    <t>Strength</t>
  </si>
  <si>
    <t>No. of Platoons</t>
  </si>
  <si>
    <t>No. of Sections</t>
  </si>
  <si>
    <t>No. of Groups</t>
  </si>
  <si>
    <t>Month</t>
  </si>
  <si>
    <t>No. of Columns added since 090118</t>
  </si>
  <si>
    <t>&lt;- Please fill in</t>
  </si>
  <si>
    <t>FILL IN THE COLUMNS BELOW</t>
  </si>
  <si>
    <t>Ration (RDA)</t>
  </si>
  <si>
    <t>General</t>
  </si>
  <si>
    <t>Military Transport</t>
  </si>
  <si>
    <t>15 Ton Lorry</t>
  </si>
  <si>
    <t>Civilian Transport</t>
  </si>
  <si>
    <t>Sea Transport</t>
  </si>
  <si>
    <t>Remarks (E.g. Tying in with Another Exercise?)</t>
  </si>
  <si>
    <t xml:space="preserve">Start Date </t>
  </si>
  <si>
    <t xml:space="preserve">Start Time </t>
  </si>
  <si>
    <t xml:space="preserve">End Date </t>
  </si>
  <si>
    <t xml:space="preserve">End Time </t>
  </si>
  <si>
    <t>Conducting Officer</t>
  </si>
  <si>
    <t>Contact No.</t>
  </si>
  <si>
    <t>Ammo Collection Base</t>
  </si>
  <si>
    <t>Remarks
(E.g no. of rounds for demonstration)</t>
  </si>
  <si>
    <t>5.56MM BLANK</t>
  </si>
  <si>
    <t>5.56MM LIVE</t>
  </si>
  <si>
    <t>5.56MM TRACER</t>
  </si>
  <si>
    <t>7.62MM BLANK</t>
  </si>
  <si>
    <t>7.62MM LIVE</t>
  </si>
  <si>
    <t>40MM TP</t>
  </si>
  <si>
    <t>40MM ILLUM</t>
  </si>
  <si>
    <t>40MM HEDP</t>
  </si>
  <si>
    <t>MATADOR SUBCAL</t>
  </si>
  <si>
    <t>MATADOR HEAT</t>
  </si>
  <si>
    <t>DIRECTIONAL FRAGMENTATION CHARGE M18A1 (CLAYMORE)</t>
  </si>
  <si>
    <t xml:space="preserve">THUNDERFLASH, ELECTRIC </t>
  </si>
  <si>
    <t xml:space="preserve">CORD DETONATING, PETN (6000-7000 M/SEC) </t>
  </si>
  <si>
    <t xml:space="preserve">FDD NO.41, W/STAINLESS STL, INNER TUBE </t>
  </si>
  <si>
    <t xml:space="preserve">FUSE BLASTING, INSTANTANEOUS,30 M/SEC </t>
  </si>
  <si>
    <t xml:space="preserve">FUSE BLASTING TIME SAFETY, 15.24M/EA </t>
  </si>
  <si>
    <t>PLASTIC EXPLOSIVE, PETN, 125GM IN M2A1 BOX</t>
  </si>
  <si>
    <t xml:space="preserve">SIGNAL, SMOKE: MARINE MK9 </t>
  </si>
  <si>
    <t>Date / Time</t>
  </si>
  <si>
    <t>MMR WCK + PPE</t>
  </si>
  <si>
    <t>EG</t>
  </si>
  <si>
    <t>Route March (8km)</t>
  </si>
  <si>
    <t>LTA Tan Ah Kow</t>
  </si>
  <si>
    <t>Heartlanders</t>
  </si>
  <si>
    <t>Heli</t>
  </si>
  <si>
    <t>MMR</t>
  </si>
  <si>
    <t>Conduct</t>
  </si>
  <si>
    <t>start</t>
  </si>
  <si>
    <t>end</t>
  </si>
  <si>
    <t>Default</t>
  </si>
  <si>
    <t>MCN</t>
  </si>
  <si>
    <t>LMG BORELIGHT</t>
  </si>
  <si>
    <t>DNRS</t>
  </si>
  <si>
    <t>Basic Fighting System</t>
  </si>
  <si>
    <t>Commander Enhancement Addon</t>
  </si>
  <si>
    <t>SAR21 MMS</t>
  </si>
  <si>
    <t>UMPC</t>
  </si>
  <si>
    <t>IMS/HHPC</t>
  </si>
  <si>
    <t>HHPC JUNCTION BOX BATTERY</t>
  </si>
  <si>
    <t>HHPC BATT</t>
  </si>
  <si>
    <t>UMPC BATT</t>
  </si>
  <si>
    <t>BFS/CEA BATT</t>
  </si>
  <si>
    <t>KEYHOLE SENSOR</t>
  </si>
  <si>
    <t>TACTICAL THROWING SENSOR</t>
  </si>
  <si>
    <t>FORWARD SENSOR SYSTEM</t>
  </si>
  <si>
    <t>ROUND CORNER SENSOR</t>
  </si>
  <si>
    <t>HEARTLANDERS TOOLS</t>
  </si>
  <si>
    <t>HORN,LOUDSPEAKER: PORTABLE</t>
  </si>
  <si>
    <t>SHIELD, PERSONAL PROTECTIVE</t>
  </si>
  <si>
    <t>BATON, TELESCOPIC: W/HANDLE STRAP</t>
  </si>
  <si>
    <t>SIGN:`STOP’, DETACHABLE</t>
  </si>
  <si>
    <t>CONCERTINA WIRE SUPPORT STAND</t>
  </si>
  <si>
    <t>DETECTOR, HAND-HELD: DETECTS METALS</t>
  </si>
  <si>
    <t>MIRROR, INSPECTION: F/UNDERCARRIAGE VEH</t>
  </si>
  <si>
    <t>ROAD SPIKES, TRAINING: 200 RUBBER SPIKES</t>
  </si>
  <si>
    <t>HAMMER, HAND: MATT BLACK, 90CM LG</t>
  </si>
  <si>
    <t xml:space="preserve">CUTTER, BOLT: MATT BLACK, 70CM LG </t>
  </si>
  <si>
    <t>CROWBAR : MATT BLACK, 20 IN. LG</t>
  </si>
  <si>
    <t>MIRROR, INSPECTION: F/TELESCOPIC</t>
  </si>
  <si>
    <t>SEARCHLIGHT : PORTABLE. NON-RECHARGEABLE</t>
  </si>
  <si>
    <t>LADDER, ESCAPE: FOLDABLE W/ BACK PACK</t>
  </si>
  <si>
    <t>LAMP, FLUORESCENT: WEAPON WITH MOUNT</t>
  </si>
  <si>
    <t>Soldier Sensor and Transmitter</t>
  </si>
  <si>
    <t>PAN MWLD</t>
  </si>
  <si>
    <t>PAN SFT:IW (SAR21/M16/AR15)</t>
  </si>
  <si>
    <t>PAN SFT: IW c/w SLAT Clamp (M203)</t>
  </si>
  <si>
    <t>PAN M203: SLAT</t>
  </si>
  <si>
    <t>PAN SFT: SAW</t>
  </si>
  <si>
    <t>PAN SFT: GPMG</t>
  </si>
  <si>
    <t>Claymore Mines</t>
  </si>
  <si>
    <t>Anti Tank Mines</t>
  </si>
  <si>
    <t>Anti Personnel Mines</t>
  </si>
  <si>
    <t>Programming Equipment</t>
  </si>
  <si>
    <t>Universal Control Gun</t>
  </si>
  <si>
    <t>MATAS w/o TL</t>
  </si>
  <si>
    <t>Laser Target Locator</t>
  </si>
  <si>
    <t>Accessories / Batteries</t>
  </si>
  <si>
    <t>Total AA Size Battery (SFT, LDM)</t>
  </si>
  <si>
    <t>Total 9Volt Battery (Laser Target Locator Battery)</t>
  </si>
  <si>
    <t>M203 Battery Charger</t>
  </si>
  <si>
    <t>HELI</t>
  </si>
  <si>
    <t>HELI Belts</t>
  </si>
  <si>
    <t>Weapon Conversion Kit</t>
  </si>
  <si>
    <t>Protective Gear</t>
  </si>
  <si>
    <t>Diesel</t>
  </si>
  <si>
    <t>40l</t>
  </si>
  <si>
    <t>Petrol 92</t>
  </si>
  <si>
    <t>Petrol 95</t>
  </si>
  <si>
    <t>Petrol 98</t>
  </si>
  <si>
    <t>Instances</t>
  </si>
  <si>
    <t>HEARTLANDERS TOOLS / PTCO</t>
  </si>
  <si>
    <t>20L</t>
  </si>
  <si>
    <t>MTW</t>
  </si>
  <si>
    <t>Matador Sub Cal (Rounds)</t>
  </si>
  <si>
    <t>M203 Dummy Rounds</t>
  </si>
  <si>
    <t>7.62 Dummy Rounds</t>
  </si>
  <si>
    <t>Generator</t>
  </si>
  <si>
    <t>SEE LESSON PLAN</t>
  </si>
  <si>
    <t>WING:</t>
  </si>
  <si>
    <t>SIGNAL / OPTICS / TRS INDENT FOR: SIGNAL / OPTICS / TRS INDENT FOR:</t>
  </si>
  <si>
    <t>SIGNALS</t>
  </si>
  <si>
    <t>OPTICS</t>
  </si>
  <si>
    <t>20 l</t>
  </si>
  <si>
    <t>Matador Sub Cal (Tube)</t>
  </si>
  <si>
    <t>LUV (HQ)</t>
  </si>
  <si>
    <t>MB290 (HQ)</t>
  </si>
  <si>
    <t>LUV (PLC)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</si>
</sst>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"/>
    <numFmt numFmtId="165" formatCode="0;;;@"/>
    <numFmt numFmtId="166" formatCode="ddmmyy"/>
    <numFmt numFmtId="167" formatCode="dd"/>
    <numFmt numFmtId="168" formatCode="d/m/yy;@"/>
    <numFmt numFmtId="169" formatCode="mmm"/>
    <numFmt numFmtId="170" formatCode="0.0000000000"/>
    <numFmt numFmtId="171" formatCode="[$$-C09]#,##0.00;[Red]&quot;-&quot;[$$-C09]#,##0.00"/>
  </numFmts>
  <fonts count="50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5"/>
      <color indexed="9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color rgb="FF000000"/>
      <name val="Arial1"/>
    </font>
    <font>
      <sz val="11"/>
      <color rgb="FF000000"/>
      <name val="Arial Narrow"/>
      <family val="2"/>
    </font>
    <font>
      <b/>
      <sz val="14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Courier New"/>
      <family val="3"/>
    </font>
    <font>
      <b/>
      <sz val="8"/>
      <color rgb="FF000000"/>
      <name val="Arial Narrow"/>
      <family val="2"/>
    </font>
    <font>
      <sz val="9"/>
      <color rgb="FF000000"/>
      <name val="Arial Narrow"/>
      <family val="2"/>
    </font>
    <font>
      <b/>
      <sz val="12"/>
      <color rgb="FF000000"/>
      <name val="Arial1"/>
    </font>
    <font>
      <b/>
      <i/>
      <sz val="16"/>
      <color rgb="FF000000"/>
      <name val="Calibri"/>
      <family val="2"/>
    </font>
    <font>
      <sz val="10"/>
      <color rgb="FF000000"/>
      <name val="Arial2"/>
    </font>
    <font>
      <b/>
      <sz val="10"/>
      <color rgb="FF000000"/>
      <name val="Times New Roman1"/>
    </font>
    <font>
      <b/>
      <i/>
      <u/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sz val="11"/>
      <color rgb="FF000000"/>
      <name val="Arial1"/>
    </font>
    <font>
      <sz val="11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u/>
      <sz val="14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8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10"/>
        <bgColor indexed="61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CC"/>
        <bgColor rgb="FFFFFFCC"/>
      </patternFill>
    </fill>
    <fill>
      <patternFill patternType="solid">
        <fgColor rgb="FFEFEFEF"/>
        <bgColor rgb="FFEFEFEF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8"/>
        <bgColor indexed="58"/>
      </patternFill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608">
    <xf numFmtId="0" fontId="0" fillId="0" borderId="0"/>
    <xf numFmtId="0" fontId="2" fillId="0" borderId="0"/>
    <xf numFmtId="0" fontId="3" fillId="0" borderId="0"/>
    <xf numFmtId="0" fontId="2" fillId="0" borderId="0"/>
    <xf numFmtId="0" fontId="5" fillId="7" borderId="0"/>
    <xf numFmtId="0" fontId="2" fillId="8" borderId="0"/>
    <xf numFmtId="0" fontId="2" fillId="8" borderId="0"/>
    <xf numFmtId="0" fontId="2" fillId="8" borderId="0"/>
    <xf numFmtId="0" fontId="2" fillId="8" borderId="0"/>
    <xf numFmtId="0" fontId="2" fillId="8" borderId="0"/>
    <xf numFmtId="0" fontId="2" fillId="8" borderId="0"/>
    <xf numFmtId="0" fontId="2" fillId="8" borderId="0"/>
    <xf numFmtId="0" fontId="2" fillId="8" borderId="0"/>
    <xf numFmtId="0" fontId="2" fillId="8" borderId="0"/>
    <xf numFmtId="0" fontId="2" fillId="8" borderId="0"/>
    <xf numFmtId="0" fontId="2" fillId="8" borderId="0"/>
    <xf numFmtId="0" fontId="2" fillId="8" borderId="0"/>
    <xf numFmtId="0" fontId="2" fillId="8" borderId="0"/>
    <xf numFmtId="0" fontId="2" fillId="8" borderId="0"/>
    <xf numFmtId="0" fontId="2" fillId="8" borderId="0"/>
    <xf numFmtId="0" fontId="2" fillId="8" borderId="0"/>
    <xf numFmtId="0" fontId="2" fillId="8" borderId="0"/>
    <xf numFmtId="0" fontId="2" fillId="8" borderId="0"/>
    <xf numFmtId="0" fontId="2" fillId="8" borderId="0"/>
    <xf numFmtId="0" fontId="2" fillId="8" borderId="0"/>
    <xf numFmtId="0" fontId="2" fillId="8" borderId="0"/>
    <xf numFmtId="0" fontId="2" fillId="8" borderId="0"/>
    <xf numFmtId="0" fontId="2" fillId="8" borderId="0"/>
    <xf numFmtId="0" fontId="2" fillId="8" borderId="0"/>
    <xf numFmtId="0" fontId="2" fillId="8" borderId="0"/>
    <xf numFmtId="0" fontId="2" fillId="8" borderId="0"/>
    <xf numFmtId="0" fontId="2" fillId="8" borderId="0"/>
    <xf numFmtId="0" fontId="2" fillId="8" borderId="0"/>
    <xf numFmtId="0" fontId="2" fillId="8" borderId="0"/>
    <xf numFmtId="0" fontId="2" fillId="8" borderId="0"/>
    <xf numFmtId="0" fontId="2" fillId="8" borderId="0"/>
    <xf numFmtId="0" fontId="2" fillId="0" borderId="0"/>
    <xf numFmtId="0" fontId="2" fillId="0" borderId="0"/>
    <xf numFmtId="0" fontId="2" fillId="8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/>
    <xf numFmtId="0" fontId="2" fillId="8" borderId="0"/>
    <xf numFmtId="0" fontId="2" fillId="8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0" borderId="0"/>
    <xf numFmtId="0" fontId="2" fillId="0" borderId="0"/>
    <xf numFmtId="0" fontId="2" fillId="9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/>
    <xf numFmtId="0" fontId="2" fillId="9" borderId="0"/>
    <xf numFmtId="0" fontId="2" fillId="9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0" borderId="0"/>
    <xf numFmtId="0" fontId="2" fillId="0" borderId="0"/>
    <xf numFmtId="0" fontId="2" fillId="1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/>
    <xf numFmtId="0" fontId="2" fillId="10" borderId="0"/>
    <xf numFmtId="0" fontId="2" fillId="10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0" borderId="0"/>
    <xf numFmtId="0" fontId="2" fillId="0" borderId="0"/>
    <xf numFmtId="0" fontId="2" fillId="5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/>
    <xf numFmtId="0" fontId="2" fillId="5" borderId="0"/>
    <xf numFmtId="0" fontId="2" fillId="5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0" borderId="0"/>
    <xf numFmtId="0" fontId="2" fillId="0" borderId="0"/>
    <xf numFmtId="0" fontId="2" fillId="12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2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2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2" borderId="0"/>
    <xf numFmtId="0" fontId="2" fillId="12" borderId="0"/>
    <xf numFmtId="0" fontId="2" fillId="12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0" borderId="0"/>
    <xf numFmtId="0" fontId="2" fillId="0" borderId="0"/>
    <xf numFmtId="0" fontId="2" fillId="13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3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3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3" borderId="0"/>
    <xf numFmtId="0" fontId="2" fillId="13" borderId="0"/>
    <xf numFmtId="0" fontId="2" fillId="13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0" borderId="0"/>
    <xf numFmtId="0" fontId="2" fillId="0" borderId="0"/>
    <xf numFmtId="0" fontId="2" fillId="14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4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4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4" borderId="0"/>
    <xf numFmtId="0" fontId="2" fillId="14" borderId="0"/>
    <xf numFmtId="0" fontId="2" fillId="14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0" borderId="0"/>
    <xf numFmtId="0" fontId="2" fillId="0" borderId="0"/>
    <xf numFmtId="0" fontId="2" fillId="15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/>
    <xf numFmtId="0" fontId="2" fillId="15" borderId="0"/>
    <xf numFmtId="0" fontId="2" fillId="15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0" borderId="0"/>
    <xf numFmtId="0" fontId="2" fillId="0" borderId="0"/>
    <xf numFmtId="0" fontId="2" fillId="13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3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3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3" borderId="0"/>
    <xf numFmtId="0" fontId="2" fillId="13" borderId="0"/>
    <xf numFmtId="0" fontId="2" fillId="13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0" borderId="0"/>
    <xf numFmtId="0" fontId="2" fillId="0" borderId="0"/>
    <xf numFmtId="0" fontId="2" fillId="16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6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6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6" borderId="0"/>
    <xf numFmtId="0" fontId="2" fillId="16" borderId="0"/>
    <xf numFmtId="0" fontId="2" fillId="16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2" fillId="0" borderId="0"/>
    <xf numFmtId="0" fontId="2" fillId="0" borderId="0"/>
    <xf numFmtId="0" fontId="6" fillId="17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17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17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17" borderId="0"/>
    <xf numFmtId="0" fontId="6" fillId="17" borderId="0"/>
    <xf numFmtId="0" fontId="6" fillId="17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2" fillId="0" borderId="0"/>
    <xf numFmtId="0" fontId="2" fillId="0" borderId="0"/>
    <xf numFmtId="0" fontId="6" fillId="14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14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14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14" borderId="0"/>
    <xf numFmtId="0" fontId="6" fillId="14" borderId="0"/>
    <xf numFmtId="0" fontId="6" fillId="14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2" fillId="0" borderId="0"/>
    <xf numFmtId="0" fontId="2" fillId="0" borderId="0"/>
    <xf numFmtId="0" fontId="6" fillId="15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15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15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15" borderId="0"/>
    <xf numFmtId="0" fontId="6" fillId="15" borderId="0"/>
    <xf numFmtId="0" fontId="6" fillId="15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2" fillId="0" borderId="0"/>
    <xf numFmtId="0" fontId="2" fillId="0" borderId="0"/>
    <xf numFmtId="0" fontId="6" fillId="18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18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18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18" borderId="0"/>
    <xf numFmtId="0" fontId="6" fillId="18" borderId="0"/>
    <xf numFmtId="0" fontId="6" fillId="18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2" fillId="0" borderId="0"/>
    <xf numFmtId="0" fontId="2" fillId="0" borderId="0"/>
    <xf numFmtId="0" fontId="6" fillId="19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19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19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19" borderId="0"/>
    <xf numFmtId="0" fontId="6" fillId="19" borderId="0"/>
    <xf numFmtId="0" fontId="6" fillId="19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2" fillId="0" borderId="0"/>
    <xf numFmtId="0" fontId="2" fillId="0" borderId="0"/>
    <xf numFmtId="0" fontId="6" fillId="2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2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2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20" borderId="0"/>
    <xf numFmtId="0" fontId="6" fillId="20" borderId="0"/>
    <xf numFmtId="0" fontId="6" fillId="20" borderId="0"/>
    <xf numFmtId="0" fontId="6" fillId="21" borderId="0"/>
    <xf numFmtId="0" fontId="6" fillId="21" borderId="0"/>
    <xf numFmtId="0" fontId="6" fillId="21" borderId="0"/>
    <xf numFmtId="0" fontId="6" fillId="21" borderId="0"/>
    <xf numFmtId="0" fontId="6" fillId="21" borderId="0"/>
    <xf numFmtId="0" fontId="6" fillId="21" borderId="0"/>
    <xf numFmtId="0" fontId="6" fillId="21" borderId="0"/>
    <xf numFmtId="0" fontId="6" fillId="21" borderId="0"/>
    <xf numFmtId="0" fontId="6" fillId="21" borderId="0"/>
    <xf numFmtId="0" fontId="6" fillId="21" borderId="0"/>
    <xf numFmtId="0" fontId="6" fillId="21" borderId="0"/>
    <xf numFmtId="0" fontId="6" fillId="21" borderId="0"/>
    <xf numFmtId="0" fontId="6" fillId="21" borderId="0"/>
    <xf numFmtId="0" fontId="6" fillId="21" borderId="0"/>
    <xf numFmtId="0" fontId="6" fillId="21" borderId="0"/>
    <xf numFmtId="0" fontId="6" fillId="21" borderId="0"/>
    <xf numFmtId="0" fontId="6" fillId="21" borderId="0"/>
    <xf numFmtId="0" fontId="6" fillId="21" borderId="0"/>
    <xf numFmtId="0" fontId="6" fillId="21" borderId="0"/>
    <xf numFmtId="0" fontId="6" fillId="21" borderId="0"/>
    <xf numFmtId="0" fontId="6" fillId="21" borderId="0"/>
    <xf numFmtId="0" fontId="6" fillId="21" borderId="0"/>
    <xf numFmtId="0" fontId="6" fillId="21" borderId="0"/>
    <xf numFmtId="0" fontId="6" fillId="21" borderId="0"/>
    <xf numFmtId="0" fontId="6" fillId="21" borderId="0"/>
    <xf numFmtId="0" fontId="6" fillId="21" borderId="0"/>
    <xf numFmtId="0" fontId="6" fillId="21" borderId="0"/>
    <xf numFmtId="0" fontId="6" fillId="21" borderId="0"/>
    <xf numFmtId="0" fontId="6" fillId="21" borderId="0"/>
    <xf numFmtId="0" fontId="6" fillId="21" borderId="0"/>
    <xf numFmtId="0" fontId="2" fillId="0" borderId="0"/>
    <xf numFmtId="0" fontId="2" fillId="0" borderId="0"/>
    <xf numFmtId="0" fontId="6" fillId="21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21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21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21" borderId="0"/>
    <xf numFmtId="0" fontId="6" fillId="21" borderId="0"/>
    <xf numFmtId="0" fontId="6" fillId="21" borderId="0"/>
    <xf numFmtId="0" fontId="6" fillId="7" borderId="0"/>
    <xf numFmtId="0" fontId="6" fillId="7" borderId="0"/>
    <xf numFmtId="0" fontId="6" fillId="7" borderId="0"/>
    <xf numFmtId="0" fontId="6" fillId="7" borderId="0"/>
    <xf numFmtId="0" fontId="6" fillId="7" borderId="0"/>
    <xf numFmtId="0" fontId="6" fillId="7" borderId="0"/>
    <xf numFmtId="0" fontId="6" fillId="7" borderId="0"/>
    <xf numFmtId="0" fontId="6" fillId="7" borderId="0"/>
    <xf numFmtId="0" fontId="6" fillId="7" borderId="0"/>
    <xf numFmtId="0" fontId="6" fillId="7" borderId="0"/>
    <xf numFmtId="0" fontId="6" fillId="7" borderId="0"/>
    <xf numFmtId="0" fontId="6" fillId="7" borderId="0"/>
    <xf numFmtId="0" fontId="6" fillId="7" borderId="0"/>
    <xf numFmtId="0" fontId="6" fillId="7" borderId="0"/>
    <xf numFmtId="0" fontId="6" fillId="7" borderId="0"/>
    <xf numFmtId="0" fontId="6" fillId="7" borderId="0"/>
    <xf numFmtId="0" fontId="6" fillId="7" borderId="0"/>
    <xf numFmtId="0" fontId="6" fillId="7" borderId="0"/>
    <xf numFmtId="0" fontId="6" fillId="7" borderId="0"/>
    <xf numFmtId="0" fontId="6" fillId="7" borderId="0"/>
    <xf numFmtId="0" fontId="6" fillId="7" borderId="0"/>
    <xf numFmtId="0" fontId="6" fillId="7" borderId="0"/>
    <xf numFmtId="0" fontId="6" fillId="7" borderId="0"/>
    <xf numFmtId="0" fontId="6" fillId="7" borderId="0"/>
    <xf numFmtId="0" fontId="6" fillId="7" borderId="0"/>
    <xf numFmtId="0" fontId="6" fillId="7" borderId="0"/>
    <xf numFmtId="0" fontId="6" fillId="7" borderId="0"/>
    <xf numFmtId="0" fontId="6" fillId="7" borderId="0"/>
    <xf numFmtId="0" fontId="6" fillId="7" borderId="0"/>
    <xf numFmtId="0" fontId="6" fillId="7" borderId="0"/>
    <xf numFmtId="0" fontId="2" fillId="0" borderId="0"/>
    <xf numFmtId="0" fontId="2" fillId="0" borderId="0"/>
    <xf numFmtId="0" fontId="2" fillId="0" borderId="0"/>
    <xf numFmtId="0" fontId="6" fillId="7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7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7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7" borderId="0"/>
    <xf numFmtId="0" fontId="6" fillId="7" borderId="0"/>
    <xf numFmtId="0" fontId="6" fillId="7" borderId="0"/>
    <xf numFmtId="0" fontId="6" fillId="22" borderId="0"/>
    <xf numFmtId="0" fontId="6" fillId="22" borderId="0"/>
    <xf numFmtId="0" fontId="6" fillId="22" borderId="0"/>
    <xf numFmtId="0" fontId="6" fillId="22" borderId="0"/>
    <xf numFmtId="0" fontId="6" fillId="22" borderId="0"/>
    <xf numFmtId="0" fontId="6" fillId="22" borderId="0"/>
    <xf numFmtId="0" fontId="6" fillId="22" borderId="0"/>
    <xf numFmtId="0" fontId="6" fillId="22" borderId="0"/>
    <xf numFmtId="0" fontId="6" fillId="22" borderId="0"/>
    <xf numFmtId="0" fontId="6" fillId="22" borderId="0"/>
    <xf numFmtId="0" fontId="6" fillId="22" borderId="0"/>
    <xf numFmtId="0" fontId="6" fillId="22" borderId="0"/>
    <xf numFmtId="0" fontId="6" fillId="22" borderId="0"/>
    <xf numFmtId="0" fontId="6" fillId="22" borderId="0"/>
    <xf numFmtId="0" fontId="6" fillId="22" borderId="0"/>
    <xf numFmtId="0" fontId="6" fillId="22" borderId="0"/>
    <xf numFmtId="0" fontId="6" fillId="22" borderId="0"/>
    <xf numFmtId="0" fontId="6" fillId="22" borderId="0"/>
    <xf numFmtId="0" fontId="6" fillId="22" borderId="0"/>
    <xf numFmtId="0" fontId="6" fillId="22" borderId="0"/>
    <xf numFmtId="0" fontId="6" fillId="22" borderId="0"/>
    <xf numFmtId="0" fontId="6" fillId="22" borderId="0"/>
    <xf numFmtId="0" fontId="6" fillId="22" borderId="0"/>
    <xf numFmtId="0" fontId="6" fillId="22" borderId="0"/>
    <xf numFmtId="0" fontId="6" fillId="22" borderId="0"/>
    <xf numFmtId="0" fontId="6" fillId="22" borderId="0"/>
    <xf numFmtId="0" fontId="6" fillId="22" borderId="0"/>
    <xf numFmtId="0" fontId="6" fillId="22" borderId="0"/>
    <xf numFmtId="0" fontId="6" fillId="22" borderId="0"/>
    <xf numFmtId="0" fontId="6" fillId="22" borderId="0"/>
    <xf numFmtId="0" fontId="2" fillId="0" borderId="0"/>
    <xf numFmtId="0" fontId="2" fillId="0" borderId="0"/>
    <xf numFmtId="0" fontId="2" fillId="0" borderId="0"/>
    <xf numFmtId="0" fontId="6" fillId="22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22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22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22" borderId="0"/>
    <xf numFmtId="0" fontId="6" fillId="22" borderId="0"/>
    <xf numFmtId="0" fontId="6" fillId="22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2" fillId="0" borderId="0"/>
    <xf numFmtId="0" fontId="2" fillId="0" borderId="0"/>
    <xf numFmtId="0" fontId="2" fillId="0" borderId="0"/>
    <xf numFmtId="0" fontId="6" fillId="18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18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18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18" borderId="0"/>
    <xf numFmtId="0" fontId="6" fillId="18" borderId="0"/>
    <xf numFmtId="0" fontId="6" fillId="18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2" fillId="0" borderId="0"/>
    <xf numFmtId="0" fontId="2" fillId="0" borderId="0"/>
    <xf numFmtId="0" fontId="2" fillId="0" borderId="0"/>
    <xf numFmtId="0" fontId="6" fillId="19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19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19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19" borderId="0"/>
    <xf numFmtId="0" fontId="6" fillId="19" borderId="0"/>
    <xf numFmtId="0" fontId="6" fillId="19" borderId="0"/>
    <xf numFmtId="0" fontId="6" fillId="23" borderId="0"/>
    <xf numFmtId="0" fontId="6" fillId="23" borderId="0"/>
    <xf numFmtId="0" fontId="6" fillId="23" borderId="0"/>
    <xf numFmtId="0" fontId="6" fillId="23" borderId="0"/>
    <xf numFmtId="0" fontId="6" fillId="23" borderId="0"/>
    <xf numFmtId="0" fontId="6" fillId="23" borderId="0"/>
    <xf numFmtId="0" fontId="6" fillId="23" borderId="0"/>
    <xf numFmtId="0" fontId="6" fillId="23" borderId="0"/>
    <xf numFmtId="0" fontId="6" fillId="23" borderId="0"/>
    <xf numFmtId="0" fontId="6" fillId="23" borderId="0"/>
    <xf numFmtId="0" fontId="6" fillId="23" borderId="0"/>
    <xf numFmtId="0" fontId="6" fillId="23" borderId="0"/>
    <xf numFmtId="0" fontId="6" fillId="23" borderId="0"/>
    <xf numFmtId="0" fontId="6" fillId="23" borderId="0"/>
    <xf numFmtId="0" fontId="6" fillId="23" borderId="0"/>
    <xf numFmtId="0" fontId="6" fillId="23" borderId="0"/>
    <xf numFmtId="0" fontId="6" fillId="23" borderId="0"/>
    <xf numFmtId="0" fontId="6" fillId="23" borderId="0"/>
    <xf numFmtId="0" fontId="6" fillId="23" borderId="0"/>
    <xf numFmtId="0" fontId="6" fillId="23" borderId="0"/>
    <xf numFmtId="0" fontId="6" fillId="23" borderId="0"/>
    <xf numFmtId="0" fontId="6" fillId="23" borderId="0"/>
    <xf numFmtId="0" fontId="6" fillId="23" borderId="0"/>
    <xf numFmtId="0" fontId="6" fillId="23" borderId="0"/>
    <xf numFmtId="0" fontId="6" fillId="23" borderId="0"/>
    <xf numFmtId="0" fontId="6" fillId="23" borderId="0"/>
    <xf numFmtId="0" fontId="6" fillId="23" borderId="0"/>
    <xf numFmtId="0" fontId="6" fillId="23" borderId="0"/>
    <xf numFmtId="0" fontId="6" fillId="23" borderId="0"/>
    <xf numFmtId="0" fontId="6" fillId="23" borderId="0"/>
    <xf numFmtId="0" fontId="2" fillId="0" borderId="0"/>
    <xf numFmtId="0" fontId="2" fillId="0" borderId="0"/>
    <xf numFmtId="0" fontId="2" fillId="0" borderId="0"/>
    <xf numFmtId="0" fontId="6" fillId="23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23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23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23" borderId="0"/>
    <xf numFmtId="0" fontId="6" fillId="23" borderId="0"/>
    <xf numFmtId="0" fontId="6" fillId="23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2" fillId="0" borderId="0"/>
    <xf numFmtId="0" fontId="2" fillId="0" borderId="0"/>
    <xf numFmtId="0" fontId="2" fillId="0" borderId="0"/>
    <xf numFmtId="0" fontId="7" fillId="9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9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9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9" borderId="0"/>
    <xf numFmtId="0" fontId="7" fillId="9" borderId="0"/>
    <xf numFmtId="0" fontId="7" fillId="9" borderId="0"/>
    <xf numFmtId="0" fontId="8" fillId="6" borderId="27"/>
    <xf numFmtId="0" fontId="8" fillId="6" borderId="27"/>
    <xf numFmtId="0" fontId="8" fillId="6" borderId="27"/>
    <xf numFmtId="0" fontId="8" fillId="6" borderId="27"/>
    <xf numFmtId="0" fontId="8" fillId="6" borderId="27"/>
    <xf numFmtId="0" fontId="8" fillId="6" borderId="27"/>
    <xf numFmtId="0" fontId="8" fillId="6" borderId="27"/>
    <xf numFmtId="0" fontId="8" fillId="6" borderId="27"/>
    <xf numFmtId="0" fontId="8" fillId="6" borderId="27"/>
    <xf numFmtId="0" fontId="8" fillId="6" borderId="27"/>
    <xf numFmtId="0" fontId="8" fillId="6" borderId="27"/>
    <xf numFmtId="0" fontId="8" fillId="6" borderId="27"/>
    <xf numFmtId="0" fontId="8" fillId="6" borderId="27"/>
    <xf numFmtId="0" fontId="8" fillId="6" borderId="27"/>
    <xf numFmtId="0" fontId="8" fillId="6" borderId="27"/>
    <xf numFmtId="0" fontId="8" fillId="6" borderId="27"/>
    <xf numFmtId="0" fontId="8" fillId="6" borderId="27"/>
    <xf numFmtId="0" fontId="8" fillId="6" borderId="27"/>
    <xf numFmtId="0" fontId="8" fillId="6" borderId="27"/>
    <xf numFmtId="0" fontId="8" fillId="6" borderId="27"/>
    <xf numFmtId="0" fontId="8" fillId="6" borderId="27"/>
    <xf numFmtId="0" fontId="8" fillId="6" borderId="27"/>
    <xf numFmtId="0" fontId="8" fillId="6" borderId="27"/>
    <xf numFmtId="0" fontId="8" fillId="6" borderId="27"/>
    <xf numFmtId="0" fontId="8" fillId="6" borderId="27"/>
    <xf numFmtId="0" fontId="8" fillId="6" borderId="27"/>
    <xf numFmtId="0" fontId="8" fillId="6" borderId="27"/>
    <xf numFmtId="0" fontId="8" fillId="6" borderId="27"/>
    <xf numFmtId="0" fontId="8" fillId="6" borderId="27"/>
    <xf numFmtId="0" fontId="8" fillId="6" borderId="27"/>
    <xf numFmtId="0" fontId="2" fillId="0" borderId="0"/>
    <xf numFmtId="0" fontId="2" fillId="0" borderId="0"/>
    <xf numFmtId="0" fontId="2" fillId="0" borderId="0"/>
    <xf numFmtId="0" fontId="8" fillId="6" borderId="27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6" borderId="27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6" borderId="27"/>
    <xf numFmtId="0" fontId="2" fillId="0" borderId="0"/>
    <xf numFmtId="0" fontId="2" fillId="0" borderId="0"/>
    <xf numFmtId="0" fontId="2" fillId="0" borderId="0"/>
    <xf numFmtId="0" fontId="2" fillId="0" borderId="0"/>
    <xf numFmtId="0" fontId="8" fillId="6" borderId="27"/>
    <xf numFmtId="0" fontId="8" fillId="6" borderId="27"/>
    <xf numFmtId="0" fontId="8" fillId="6" borderId="27"/>
    <xf numFmtId="0" fontId="9" fillId="24" borderId="28"/>
    <xf numFmtId="0" fontId="9" fillId="24" borderId="28"/>
    <xf numFmtId="0" fontId="9" fillId="24" borderId="28"/>
    <xf numFmtId="0" fontId="9" fillId="24" borderId="28"/>
    <xf numFmtId="0" fontId="9" fillId="24" borderId="28"/>
    <xf numFmtId="0" fontId="9" fillId="24" borderId="28"/>
    <xf numFmtId="0" fontId="9" fillId="24" borderId="28"/>
    <xf numFmtId="0" fontId="9" fillId="24" borderId="28"/>
    <xf numFmtId="0" fontId="9" fillId="24" borderId="28"/>
    <xf numFmtId="0" fontId="9" fillId="24" borderId="28"/>
    <xf numFmtId="0" fontId="9" fillId="24" borderId="28"/>
    <xf numFmtId="0" fontId="9" fillId="24" borderId="28"/>
    <xf numFmtId="0" fontId="9" fillId="24" borderId="28"/>
    <xf numFmtId="0" fontId="9" fillId="24" borderId="28"/>
    <xf numFmtId="0" fontId="9" fillId="24" borderId="28"/>
    <xf numFmtId="0" fontId="9" fillId="24" borderId="28"/>
    <xf numFmtId="0" fontId="9" fillId="24" borderId="28"/>
    <xf numFmtId="0" fontId="9" fillId="24" borderId="28"/>
    <xf numFmtId="0" fontId="9" fillId="24" borderId="28"/>
    <xf numFmtId="0" fontId="9" fillId="24" borderId="28"/>
    <xf numFmtId="0" fontId="9" fillId="24" borderId="28"/>
    <xf numFmtId="0" fontId="9" fillId="24" borderId="28"/>
    <xf numFmtId="0" fontId="9" fillId="24" borderId="28"/>
    <xf numFmtId="0" fontId="9" fillId="24" borderId="28"/>
    <xf numFmtId="0" fontId="9" fillId="24" borderId="28"/>
    <xf numFmtId="0" fontId="9" fillId="24" borderId="28"/>
    <xf numFmtId="0" fontId="9" fillId="24" borderId="28"/>
    <xf numFmtId="0" fontId="9" fillId="24" borderId="28"/>
    <xf numFmtId="0" fontId="9" fillId="24" borderId="28"/>
    <xf numFmtId="0" fontId="9" fillId="24" borderId="28"/>
    <xf numFmtId="0" fontId="2" fillId="0" borderId="0"/>
    <xf numFmtId="0" fontId="2" fillId="0" borderId="0"/>
    <xf numFmtId="0" fontId="2" fillId="0" borderId="0"/>
    <xf numFmtId="0" fontId="9" fillId="24" borderId="28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24" borderId="28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24" borderId="28"/>
    <xf numFmtId="0" fontId="2" fillId="0" borderId="0"/>
    <xf numFmtId="0" fontId="2" fillId="0" borderId="0"/>
    <xf numFmtId="0" fontId="2" fillId="0" borderId="0"/>
    <xf numFmtId="0" fontId="2" fillId="0" borderId="0"/>
    <xf numFmtId="0" fontId="9" fillId="24" borderId="28"/>
    <xf numFmtId="0" fontId="9" fillId="24" borderId="28"/>
    <xf numFmtId="0" fontId="9" fillId="24" borderId="28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11" fillId="10" borderId="0"/>
    <xf numFmtId="0" fontId="2" fillId="0" borderId="0"/>
    <xf numFmtId="0" fontId="2" fillId="0" borderId="0"/>
    <xf numFmtId="0" fontId="2" fillId="0" borderId="0"/>
    <xf numFmtId="0" fontId="11" fillId="1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1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1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10" borderId="0"/>
    <xf numFmtId="0" fontId="11" fillId="10" borderId="0"/>
    <xf numFmtId="0" fontId="11" fillId="10" borderId="0"/>
    <xf numFmtId="0" fontId="12" fillId="0" borderId="29"/>
    <xf numFmtId="0" fontId="12" fillId="0" borderId="29"/>
    <xf numFmtId="0" fontId="12" fillId="0" borderId="29"/>
    <xf numFmtId="0" fontId="12" fillId="0" borderId="29"/>
    <xf numFmtId="0" fontId="12" fillId="0" borderId="29"/>
    <xf numFmtId="0" fontId="12" fillId="0" borderId="29"/>
    <xf numFmtId="0" fontId="12" fillId="0" borderId="29"/>
    <xf numFmtId="0" fontId="12" fillId="0" borderId="29"/>
    <xf numFmtId="0" fontId="12" fillId="0" borderId="29"/>
    <xf numFmtId="0" fontId="12" fillId="0" borderId="29"/>
    <xf numFmtId="0" fontId="12" fillId="0" borderId="29"/>
    <xf numFmtId="0" fontId="12" fillId="0" borderId="29"/>
    <xf numFmtId="0" fontId="12" fillId="0" borderId="29"/>
    <xf numFmtId="0" fontId="12" fillId="0" borderId="29"/>
    <xf numFmtId="0" fontId="12" fillId="0" borderId="29"/>
    <xf numFmtId="0" fontId="12" fillId="0" borderId="29"/>
    <xf numFmtId="0" fontId="12" fillId="0" borderId="29"/>
    <xf numFmtId="0" fontId="12" fillId="0" borderId="29"/>
    <xf numFmtId="0" fontId="12" fillId="0" borderId="29"/>
    <xf numFmtId="0" fontId="12" fillId="0" borderId="29"/>
    <xf numFmtId="0" fontId="12" fillId="0" borderId="29"/>
    <xf numFmtId="0" fontId="12" fillId="0" borderId="29"/>
    <xf numFmtId="0" fontId="12" fillId="0" borderId="29"/>
    <xf numFmtId="0" fontId="12" fillId="0" borderId="29"/>
    <xf numFmtId="0" fontId="12" fillId="0" borderId="29"/>
    <xf numFmtId="0" fontId="12" fillId="0" borderId="29"/>
    <xf numFmtId="0" fontId="12" fillId="0" borderId="29"/>
    <xf numFmtId="0" fontId="12" fillId="0" borderId="29"/>
    <xf numFmtId="0" fontId="12" fillId="0" borderId="29"/>
    <xf numFmtId="0" fontId="12" fillId="0" borderId="29"/>
    <xf numFmtId="0" fontId="2" fillId="0" borderId="0"/>
    <xf numFmtId="0" fontId="2" fillId="0" borderId="0"/>
    <xf numFmtId="0" fontId="2" fillId="0" borderId="0"/>
    <xf numFmtId="0" fontId="12" fillId="0" borderId="29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29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29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29"/>
    <xf numFmtId="0" fontId="12" fillId="0" borderId="29"/>
    <xf numFmtId="0" fontId="12" fillId="0" borderId="29"/>
    <xf numFmtId="0" fontId="13" fillId="0" borderId="30"/>
    <xf numFmtId="0" fontId="13" fillId="0" borderId="30"/>
    <xf numFmtId="0" fontId="13" fillId="0" borderId="30"/>
    <xf numFmtId="0" fontId="13" fillId="0" borderId="30"/>
    <xf numFmtId="0" fontId="13" fillId="0" borderId="30"/>
    <xf numFmtId="0" fontId="13" fillId="0" borderId="30"/>
    <xf numFmtId="0" fontId="13" fillId="0" borderId="30"/>
    <xf numFmtId="0" fontId="13" fillId="0" borderId="30"/>
    <xf numFmtId="0" fontId="13" fillId="0" borderId="30"/>
    <xf numFmtId="0" fontId="13" fillId="0" borderId="30"/>
    <xf numFmtId="0" fontId="13" fillId="0" borderId="30"/>
    <xf numFmtId="0" fontId="13" fillId="0" borderId="30"/>
    <xf numFmtId="0" fontId="13" fillId="0" borderId="30"/>
    <xf numFmtId="0" fontId="13" fillId="0" borderId="30"/>
    <xf numFmtId="0" fontId="13" fillId="0" borderId="30"/>
    <xf numFmtId="0" fontId="13" fillId="0" borderId="30"/>
    <xf numFmtId="0" fontId="13" fillId="0" borderId="30"/>
    <xf numFmtId="0" fontId="13" fillId="0" borderId="30"/>
    <xf numFmtId="0" fontId="13" fillId="0" borderId="30"/>
    <xf numFmtId="0" fontId="13" fillId="0" borderId="30"/>
    <xf numFmtId="0" fontId="13" fillId="0" borderId="30"/>
    <xf numFmtId="0" fontId="13" fillId="0" borderId="30"/>
    <xf numFmtId="0" fontId="13" fillId="0" borderId="30"/>
    <xf numFmtId="0" fontId="13" fillId="0" borderId="30"/>
    <xf numFmtId="0" fontId="13" fillId="0" borderId="30"/>
    <xf numFmtId="0" fontId="13" fillId="0" borderId="30"/>
    <xf numFmtId="0" fontId="13" fillId="0" borderId="30"/>
    <xf numFmtId="0" fontId="13" fillId="0" borderId="30"/>
    <xf numFmtId="0" fontId="13" fillId="0" borderId="30"/>
    <xf numFmtId="0" fontId="13" fillId="0" borderId="30"/>
    <xf numFmtId="0" fontId="2" fillId="0" borderId="0"/>
    <xf numFmtId="0" fontId="2" fillId="0" borderId="0"/>
    <xf numFmtId="0" fontId="2" fillId="0" borderId="0"/>
    <xf numFmtId="0" fontId="13" fillId="0" borderId="3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3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3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30"/>
    <xf numFmtId="0" fontId="13" fillId="0" borderId="30"/>
    <xf numFmtId="0" fontId="13" fillId="0" borderId="30"/>
    <xf numFmtId="0" fontId="14" fillId="0" borderId="31"/>
    <xf numFmtId="0" fontId="14" fillId="0" borderId="31"/>
    <xf numFmtId="0" fontId="14" fillId="0" borderId="31"/>
    <xf numFmtId="0" fontId="14" fillId="0" borderId="31"/>
    <xf numFmtId="0" fontId="14" fillId="0" borderId="31"/>
    <xf numFmtId="0" fontId="14" fillId="0" borderId="31"/>
    <xf numFmtId="0" fontId="14" fillId="0" borderId="31"/>
    <xf numFmtId="0" fontId="14" fillId="0" borderId="31"/>
    <xf numFmtId="0" fontId="14" fillId="0" borderId="31"/>
    <xf numFmtId="0" fontId="14" fillId="0" borderId="31"/>
    <xf numFmtId="0" fontId="14" fillId="0" borderId="31"/>
    <xf numFmtId="0" fontId="14" fillId="0" borderId="31"/>
    <xf numFmtId="0" fontId="14" fillId="0" borderId="31"/>
    <xf numFmtId="0" fontId="14" fillId="0" borderId="31"/>
    <xf numFmtId="0" fontId="14" fillId="0" borderId="31"/>
    <xf numFmtId="0" fontId="14" fillId="0" borderId="31"/>
    <xf numFmtId="0" fontId="14" fillId="0" borderId="31"/>
    <xf numFmtId="0" fontId="14" fillId="0" borderId="31"/>
    <xf numFmtId="0" fontId="14" fillId="0" borderId="31"/>
    <xf numFmtId="0" fontId="14" fillId="0" borderId="31"/>
    <xf numFmtId="0" fontId="14" fillId="0" borderId="31"/>
    <xf numFmtId="0" fontId="14" fillId="0" borderId="31"/>
    <xf numFmtId="0" fontId="14" fillId="0" borderId="31"/>
    <xf numFmtId="0" fontId="14" fillId="0" borderId="31"/>
    <xf numFmtId="0" fontId="14" fillId="0" borderId="31"/>
    <xf numFmtId="0" fontId="14" fillId="0" borderId="31"/>
    <xf numFmtId="0" fontId="14" fillId="0" borderId="31"/>
    <xf numFmtId="0" fontId="14" fillId="0" borderId="31"/>
    <xf numFmtId="0" fontId="14" fillId="0" borderId="31"/>
    <xf numFmtId="0" fontId="14" fillId="0" borderId="31"/>
    <xf numFmtId="0" fontId="2" fillId="0" borderId="0"/>
    <xf numFmtId="0" fontId="2" fillId="0" borderId="0"/>
    <xf numFmtId="0" fontId="2" fillId="0" borderId="0"/>
    <xf numFmtId="0" fontId="14" fillId="0" borderId="31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31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31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31"/>
    <xf numFmtId="0" fontId="14" fillId="0" borderId="31"/>
    <xf numFmtId="0" fontId="14" fillId="0" borderId="31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5" fillId="12" borderId="27"/>
    <xf numFmtId="0" fontId="15" fillId="12" borderId="27"/>
    <xf numFmtId="0" fontId="15" fillId="12" borderId="27"/>
    <xf numFmtId="0" fontId="15" fillId="12" borderId="27"/>
    <xf numFmtId="0" fontId="15" fillId="12" borderId="27"/>
    <xf numFmtId="0" fontId="15" fillId="12" borderId="27"/>
    <xf numFmtId="0" fontId="15" fillId="12" borderId="27"/>
    <xf numFmtId="0" fontId="15" fillId="12" borderId="27"/>
    <xf numFmtId="0" fontId="15" fillId="12" borderId="27"/>
    <xf numFmtId="0" fontId="15" fillId="12" borderId="27"/>
    <xf numFmtId="0" fontId="15" fillId="12" borderId="27"/>
    <xf numFmtId="0" fontId="15" fillId="12" borderId="27"/>
    <xf numFmtId="0" fontId="15" fillId="12" borderId="27"/>
    <xf numFmtId="0" fontId="15" fillId="12" borderId="27"/>
    <xf numFmtId="0" fontId="15" fillId="12" borderId="27"/>
    <xf numFmtId="0" fontId="15" fillId="12" borderId="27"/>
    <xf numFmtId="0" fontId="15" fillId="12" borderId="27"/>
    <xf numFmtId="0" fontId="15" fillId="12" borderId="27"/>
    <xf numFmtId="0" fontId="15" fillId="12" borderId="27"/>
    <xf numFmtId="0" fontId="15" fillId="12" borderId="27"/>
    <xf numFmtId="0" fontId="15" fillId="12" borderId="27"/>
    <xf numFmtId="0" fontId="15" fillId="12" borderId="27"/>
    <xf numFmtId="0" fontId="15" fillId="12" borderId="27"/>
    <xf numFmtId="0" fontId="15" fillId="12" borderId="27"/>
    <xf numFmtId="0" fontId="15" fillId="12" borderId="27"/>
    <xf numFmtId="0" fontId="15" fillId="12" borderId="27"/>
    <xf numFmtId="0" fontId="15" fillId="12" borderId="27"/>
    <xf numFmtId="0" fontId="15" fillId="12" borderId="27"/>
    <xf numFmtId="0" fontId="15" fillId="12" borderId="27"/>
    <xf numFmtId="0" fontId="15" fillId="12" borderId="27"/>
    <xf numFmtId="0" fontId="2" fillId="0" borderId="0"/>
    <xf numFmtId="0" fontId="2" fillId="0" borderId="0"/>
    <xf numFmtId="0" fontId="2" fillId="0" borderId="0"/>
    <xf numFmtId="0" fontId="15" fillId="12" borderId="27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12" borderId="27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12" borderId="27"/>
    <xf numFmtId="0" fontId="2" fillId="0" borderId="0"/>
    <xf numFmtId="0" fontId="2" fillId="0" borderId="0"/>
    <xf numFmtId="0" fontId="2" fillId="0" borderId="0"/>
    <xf numFmtId="0" fontId="2" fillId="0" borderId="0"/>
    <xf numFmtId="0" fontId="15" fillId="12" borderId="27"/>
    <xf numFmtId="0" fontId="15" fillId="12" borderId="27"/>
    <xf numFmtId="0" fontId="15" fillId="12" borderId="27"/>
    <xf numFmtId="0" fontId="16" fillId="0" borderId="32"/>
    <xf numFmtId="0" fontId="16" fillId="0" borderId="32"/>
    <xf numFmtId="0" fontId="16" fillId="0" borderId="32"/>
    <xf numFmtId="0" fontId="16" fillId="0" borderId="32"/>
    <xf numFmtId="0" fontId="16" fillId="0" borderId="32"/>
    <xf numFmtId="0" fontId="16" fillId="0" borderId="32"/>
    <xf numFmtId="0" fontId="16" fillId="0" borderId="32"/>
    <xf numFmtId="0" fontId="16" fillId="0" borderId="32"/>
    <xf numFmtId="0" fontId="16" fillId="0" borderId="32"/>
    <xf numFmtId="0" fontId="16" fillId="0" borderId="32"/>
    <xf numFmtId="0" fontId="16" fillId="0" borderId="32"/>
    <xf numFmtId="0" fontId="16" fillId="0" borderId="32"/>
    <xf numFmtId="0" fontId="16" fillId="0" borderId="32"/>
    <xf numFmtId="0" fontId="16" fillId="0" borderId="32"/>
    <xf numFmtId="0" fontId="16" fillId="0" borderId="32"/>
    <xf numFmtId="0" fontId="16" fillId="0" borderId="32"/>
    <xf numFmtId="0" fontId="16" fillId="0" borderId="32"/>
    <xf numFmtId="0" fontId="16" fillId="0" borderId="32"/>
    <xf numFmtId="0" fontId="16" fillId="0" borderId="32"/>
    <xf numFmtId="0" fontId="16" fillId="0" borderId="32"/>
    <xf numFmtId="0" fontId="16" fillId="0" borderId="32"/>
    <xf numFmtId="0" fontId="16" fillId="0" borderId="32"/>
    <xf numFmtId="0" fontId="16" fillId="0" borderId="32"/>
    <xf numFmtId="0" fontId="16" fillId="0" borderId="32"/>
    <xf numFmtId="0" fontId="16" fillId="0" borderId="32"/>
    <xf numFmtId="0" fontId="16" fillId="0" borderId="32"/>
    <xf numFmtId="0" fontId="16" fillId="0" borderId="32"/>
    <xf numFmtId="0" fontId="16" fillId="0" borderId="32"/>
    <xf numFmtId="0" fontId="16" fillId="0" borderId="32"/>
    <xf numFmtId="0" fontId="16" fillId="0" borderId="32"/>
    <xf numFmtId="0" fontId="2" fillId="0" borderId="0"/>
    <xf numFmtId="0" fontId="2" fillId="0" borderId="0"/>
    <xf numFmtId="0" fontId="2" fillId="0" borderId="0"/>
    <xf numFmtId="0" fontId="16" fillId="0" borderId="32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32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32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32"/>
    <xf numFmtId="0" fontId="16" fillId="0" borderId="32"/>
    <xf numFmtId="0" fontId="16" fillId="0" borderId="32"/>
    <xf numFmtId="0" fontId="17" fillId="25" borderId="0"/>
    <xf numFmtId="0" fontId="17" fillId="25" borderId="0"/>
    <xf numFmtId="0" fontId="17" fillId="25" borderId="0"/>
    <xf numFmtId="0" fontId="17" fillId="25" borderId="0"/>
    <xf numFmtId="0" fontId="17" fillId="25" borderId="0"/>
    <xf numFmtId="0" fontId="17" fillId="25" borderId="0"/>
    <xf numFmtId="0" fontId="17" fillId="25" borderId="0"/>
    <xf numFmtId="0" fontId="17" fillId="25" borderId="0"/>
    <xf numFmtId="0" fontId="17" fillId="25" borderId="0"/>
    <xf numFmtId="0" fontId="17" fillId="25" borderId="0"/>
    <xf numFmtId="0" fontId="17" fillId="25" borderId="0"/>
    <xf numFmtId="0" fontId="17" fillId="25" borderId="0"/>
    <xf numFmtId="0" fontId="17" fillId="25" borderId="0"/>
    <xf numFmtId="0" fontId="17" fillId="25" borderId="0"/>
    <xf numFmtId="0" fontId="17" fillId="25" borderId="0"/>
    <xf numFmtId="0" fontId="17" fillId="25" borderId="0"/>
    <xf numFmtId="0" fontId="17" fillId="25" borderId="0"/>
    <xf numFmtId="0" fontId="17" fillId="25" borderId="0"/>
    <xf numFmtId="0" fontId="17" fillId="25" borderId="0"/>
    <xf numFmtId="0" fontId="17" fillId="25" borderId="0"/>
    <xf numFmtId="0" fontId="17" fillId="25" borderId="0"/>
    <xf numFmtId="0" fontId="17" fillId="25" borderId="0"/>
    <xf numFmtId="0" fontId="17" fillId="25" borderId="0"/>
    <xf numFmtId="0" fontId="17" fillId="25" borderId="0"/>
    <xf numFmtId="0" fontId="17" fillId="25" borderId="0"/>
    <xf numFmtId="0" fontId="17" fillId="25" borderId="0"/>
    <xf numFmtId="0" fontId="17" fillId="25" borderId="0"/>
    <xf numFmtId="0" fontId="17" fillId="25" borderId="0"/>
    <xf numFmtId="0" fontId="17" fillId="25" borderId="0"/>
    <xf numFmtId="0" fontId="17" fillId="25" borderId="0"/>
    <xf numFmtId="0" fontId="2" fillId="0" borderId="0"/>
    <xf numFmtId="0" fontId="2" fillId="0" borderId="0"/>
    <xf numFmtId="0" fontId="2" fillId="0" borderId="0"/>
    <xf numFmtId="0" fontId="17" fillId="25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25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25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25" borderId="0"/>
    <xf numFmtId="0" fontId="17" fillId="25" borderId="0"/>
    <xf numFmtId="0" fontId="17" fillId="25" borderId="0"/>
    <xf numFmtId="0" fontId="2" fillId="26" borderId="33"/>
    <xf numFmtId="0" fontId="2" fillId="26" borderId="33"/>
    <xf numFmtId="0" fontId="2" fillId="26" borderId="33"/>
    <xf numFmtId="0" fontId="2" fillId="26" borderId="33"/>
    <xf numFmtId="0" fontId="2" fillId="26" borderId="33"/>
    <xf numFmtId="0" fontId="2" fillId="26" borderId="33"/>
    <xf numFmtId="0" fontId="2" fillId="26" borderId="33"/>
    <xf numFmtId="0" fontId="2" fillId="26" borderId="33"/>
    <xf numFmtId="0" fontId="2" fillId="26" borderId="33"/>
    <xf numFmtId="0" fontId="2" fillId="26" borderId="33"/>
    <xf numFmtId="0" fontId="2" fillId="26" borderId="33"/>
    <xf numFmtId="0" fontId="2" fillId="26" borderId="33"/>
    <xf numFmtId="0" fontId="2" fillId="26" borderId="33"/>
    <xf numFmtId="0" fontId="2" fillId="26" borderId="33"/>
    <xf numFmtId="0" fontId="2" fillId="26" borderId="33"/>
    <xf numFmtId="0" fontId="2" fillId="26" borderId="33"/>
    <xf numFmtId="0" fontId="2" fillId="26" borderId="33"/>
    <xf numFmtId="0" fontId="2" fillId="26" borderId="33"/>
    <xf numFmtId="0" fontId="2" fillId="26" borderId="33"/>
    <xf numFmtId="0" fontId="2" fillId="26" borderId="33"/>
    <xf numFmtId="0" fontId="2" fillId="26" borderId="33"/>
    <xf numFmtId="0" fontId="2" fillId="26" borderId="33"/>
    <xf numFmtId="0" fontId="2" fillId="26" borderId="33"/>
    <xf numFmtId="0" fontId="2" fillId="26" borderId="33"/>
    <xf numFmtId="0" fontId="2" fillId="26" borderId="33"/>
    <xf numFmtId="0" fontId="2" fillId="26" borderId="33"/>
    <xf numFmtId="0" fontId="2" fillId="26" borderId="33"/>
    <xf numFmtId="0" fontId="2" fillId="26" borderId="33"/>
    <xf numFmtId="0" fontId="2" fillId="26" borderId="33"/>
    <xf numFmtId="0" fontId="2" fillId="26" borderId="33"/>
    <xf numFmtId="0" fontId="2" fillId="0" borderId="0"/>
    <xf numFmtId="0" fontId="2" fillId="0" borderId="0"/>
    <xf numFmtId="0" fontId="2" fillId="0" borderId="0"/>
    <xf numFmtId="0" fontId="2" fillId="26" borderId="33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6" borderId="33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6" borderId="33"/>
    <xf numFmtId="0" fontId="2" fillId="0" borderId="0"/>
    <xf numFmtId="0" fontId="2" fillId="0" borderId="0"/>
    <xf numFmtId="0" fontId="2" fillId="0" borderId="0"/>
    <xf numFmtId="0" fontId="2" fillId="0" borderId="0"/>
    <xf numFmtId="0" fontId="2" fillId="26" borderId="33"/>
    <xf numFmtId="0" fontId="2" fillId="26" borderId="33"/>
    <xf numFmtId="0" fontId="2" fillId="26" borderId="33"/>
    <xf numFmtId="0" fontId="18" fillId="6" borderId="34"/>
    <xf numFmtId="0" fontId="18" fillId="6" borderId="34"/>
    <xf numFmtId="0" fontId="18" fillId="6" borderId="34"/>
    <xf numFmtId="0" fontId="18" fillId="6" borderId="34"/>
    <xf numFmtId="0" fontId="18" fillId="6" borderId="34"/>
    <xf numFmtId="0" fontId="18" fillId="6" borderId="34"/>
    <xf numFmtId="0" fontId="18" fillId="6" borderId="34"/>
    <xf numFmtId="0" fontId="18" fillId="6" borderId="34"/>
    <xf numFmtId="0" fontId="18" fillId="6" borderId="34"/>
    <xf numFmtId="0" fontId="18" fillId="6" borderId="34"/>
    <xf numFmtId="0" fontId="18" fillId="6" borderId="34"/>
    <xf numFmtId="0" fontId="18" fillId="6" borderId="34"/>
    <xf numFmtId="0" fontId="18" fillId="6" borderId="34"/>
    <xf numFmtId="0" fontId="18" fillId="6" borderId="34"/>
    <xf numFmtId="0" fontId="18" fillId="6" borderId="34"/>
    <xf numFmtId="0" fontId="18" fillId="6" borderId="34"/>
    <xf numFmtId="0" fontId="18" fillId="6" borderId="34"/>
    <xf numFmtId="0" fontId="18" fillId="6" borderId="34"/>
    <xf numFmtId="0" fontId="18" fillId="6" borderId="34"/>
    <xf numFmtId="0" fontId="18" fillId="6" borderId="34"/>
    <xf numFmtId="0" fontId="18" fillId="6" borderId="34"/>
    <xf numFmtId="0" fontId="18" fillId="6" borderId="34"/>
    <xf numFmtId="0" fontId="18" fillId="6" borderId="34"/>
    <xf numFmtId="0" fontId="18" fillId="6" borderId="34"/>
    <xf numFmtId="0" fontId="18" fillId="6" borderId="34"/>
    <xf numFmtId="0" fontId="18" fillId="6" borderId="34"/>
    <xf numFmtId="0" fontId="18" fillId="6" borderId="34"/>
    <xf numFmtId="0" fontId="18" fillId="6" borderId="34"/>
    <xf numFmtId="0" fontId="18" fillId="6" borderId="34"/>
    <xf numFmtId="0" fontId="18" fillId="6" borderId="34"/>
    <xf numFmtId="0" fontId="2" fillId="0" borderId="0"/>
    <xf numFmtId="0" fontId="2" fillId="0" borderId="0"/>
    <xf numFmtId="0" fontId="2" fillId="0" borderId="0"/>
    <xf numFmtId="0" fontId="18" fillId="6" borderId="34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6" borderId="34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6" borderId="34"/>
    <xf numFmtId="0" fontId="2" fillId="0" borderId="0"/>
    <xf numFmtId="0" fontId="2" fillId="0" borderId="0"/>
    <xf numFmtId="0" fontId="2" fillId="0" borderId="0"/>
    <xf numFmtId="0" fontId="2" fillId="0" borderId="0"/>
    <xf numFmtId="0" fontId="18" fillId="6" borderId="34"/>
    <xf numFmtId="0" fontId="18" fillId="6" borderId="34"/>
    <xf numFmtId="0" fontId="18" fillId="6" borderId="34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" fillId="0" borderId="0"/>
    <xf numFmtId="0" fontId="2" fillId="0" borderId="0"/>
    <xf numFmtId="0" fontId="2" fillId="0" borderId="0"/>
    <xf numFmtId="0" fontId="20" fillId="0" borderId="35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35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35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35"/>
    <xf numFmtId="0" fontId="20" fillId="0" borderId="35"/>
    <xf numFmtId="0" fontId="20" fillId="0" borderId="35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21" fillId="0" borderId="0"/>
    <xf numFmtId="0" fontId="27" fillId="0" borderId="0"/>
    <xf numFmtId="0" fontId="28" fillId="0" borderId="49"/>
    <xf numFmtId="0" fontId="29" fillId="0" borderId="0">
      <alignment horizontal="center"/>
      <protection hidden="1"/>
    </xf>
    <xf numFmtId="0" fontId="30" fillId="0" borderId="49">
      <alignment horizontal="center" vertical="top" wrapText="1"/>
    </xf>
    <xf numFmtId="0" fontId="31" fillId="0" borderId="0"/>
    <xf numFmtId="0" fontId="32" fillId="0" borderId="0"/>
    <xf numFmtId="0" fontId="33" fillId="0" borderId="49"/>
    <xf numFmtId="0" fontId="27" fillId="32" borderId="0"/>
    <xf numFmtId="0" fontId="34" fillId="0" borderId="50"/>
    <xf numFmtId="0" fontId="34" fillId="0" borderId="50">
      <alignment horizontal="left" vertical="center"/>
    </xf>
    <xf numFmtId="0" fontId="35" fillId="0" borderId="0">
      <alignment horizontal="center"/>
    </xf>
    <xf numFmtId="0" fontId="35" fillId="0" borderId="0">
      <alignment horizontal="center" textRotation="90"/>
    </xf>
    <xf numFmtId="0" fontId="27" fillId="33" borderId="0"/>
    <xf numFmtId="170" fontId="36" fillId="0" borderId="0"/>
    <xf numFmtId="0" fontId="37" fillId="34" borderId="49">
      <alignment horizontal="center" vertical="top" wrapText="1"/>
    </xf>
    <xf numFmtId="10" fontId="3" fillId="0" borderId="0"/>
    <xf numFmtId="0" fontId="38" fillId="0" borderId="0"/>
    <xf numFmtId="171" fontId="38" fillId="0" borderId="0"/>
    <xf numFmtId="2" fontId="39" fillId="0" borderId="49">
      <alignment horizontal="center" vertical="center"/>
      <protection locked="0"/>
    </xf>
    <xf numFmtId="0" fontId="40" fillId="0" borderId="0"/>
    <xf numFmtId="0" fontId="2" fillId="0" borderId="0"/>
  </cellStyleXfs>
  <cellXfs count="202">
    <xf numFmtId="0" fontId="0" fillId="0" borderId="0" xfId="0"/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4" fillId="2" borderId="23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16" fontId="25" fillId="0" borderId="47" xfId="0" applyNumberFormat="1" applyFont="1" applyBorder="1" applyAlignment="1">
      <alignment horizontal="center" vertical="center" wrapText="1"/>
    </xf>
    <xf numFmtId="0" fontId="25" fillId="29" borderId="20" xfId="0" applyFont="1" applyFill="1" applyBorder="1" applyAlignment="1">
      <alignment horizontal="center" vertical="center"/>
    </xf>
    <xf numFmtId="0" fontId="26" fillId="0" borderId="1" xfId="0" applyFont="1" applyBorder="1"/>
    <xf numFmtId="0" fontId="0" fillId="30" borderId="1" xfId="0" applyFill="1" applyBorder="1"/>
    <xf numFmtId="0" fontId="0" fillId="3" borderId="0" xfId="0" applyFill="1"/>
    <xf numFmtId="0" fontId="2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30" borderId="1" xfId="0" applyFill="1" applyBorder="1" applyAlignment="1">
      <alignment horizontal="center"/>
    </xf>
    <xf numFmtId="0" fontId="0" fillId="0" borderId="0" xfId="0" applyAlignment="1">
      <alignment vertical="center" wrapText="1"/>
    </xf>
    <xf numFmtId="0" fontId="24" fillId="0" borderId="0" xfId="0" applyFont="1" applyAlignment="1">
      <alignment horizontal="center" vertical="center" textRotation="90" wrapText="1"/>
    </xf>
    <xf numFmtId="0" fontId="4" fillId="31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30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17" fontId="0" fillId="0" borderId="1" xfId="0" applyNumberFormat="1" applyBorder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17" fontId="0" fillId="0" borderId="0" xfId="0" applyNumberFormat="1" applyAlignment="1">
      <alignment horizontal="center" vertical="center" wrapText="1"/>
    </xf>
    <xf numFmtId="0" fontId="41" fillId="0" borderId="0" xfId="0" applyFont="1" applyAlignment="1">
      <alignment vertical="center"/>
    </xf>
    <xf numFmtId="0" fontId="4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 textRotation="90" wrapText="1"/>
    </xf>
    <xf numFmtId="49" fontId="43" fillId="0" borderId="0" xfId="1" applyNumberFormat="1" applyFont="1" applyAlignment="1">
      <alignment horizontal="right"/>
    </xf>
    <xf numFmtId="0" fontId="44" fillId="36" borderId="55" xfId="1" applyFont="1" applyFill="1" applyBorder="1" applyAlignment="1">
      <alignment horizontal="center" vertical="center"/>
    </xf>
    <xf numFmtId="0" fontId="44" fillId="36" borderId="56" xfId="1" applyFont="1" applyFill="1" applyBorder="1" applyAlignment="1">
      <alignment horizontal="center" vertical="center"/>
    </xf>
    <xf numFmtId="0" fontId="44" fillId="0" borderId="1" xfId="1" applyFont="1" applyBorder="1" applyAlignment="1">
      <alignment horizontal="center" vertical="center"/>
    </xf>
    <xf numFmtId="0" fontId="2" fillId="0" borderId="1" xfId="2607" applyBorder="1" applyAlignment="1">
      <alignment horizontal="center"/>
    </xf>
    <xf numFmtId="0" fontId="46" fillId="0" borderId="1" xfId="1" applyFont="1" applyBorder="1" applyAlignment="1">
      <alignment horizontal="center" vertical="center"/>
    </xf>
    <xf numFmtId="0" fontId="46" fillId="0" borderId="0" xfId="1" applyFont="1" applyAlignment="1">
      <alignment wrapText="1"/>
    </xf>
    <xf numFmtId="0" fontId="46" fillId="0" borderId="1" xfId="1" applyFont="1" applyBorder="1"/>
    <xf numFmtId="0" fontId="46" fillId="0" borderId="0" xfId="1" applyFont="1" applyAlignment="1">
      <alignment horizontal="center"/>
    </xf>
    <xf numFmtId="0" fontId="44" fillId="36" borderId="57" xfId="1" applyFont="1" applyFill="1" applyBorder="1" applyAlignment="1">
      <alignment horizontal="center" vertical="center"/>
    </xf>
    <xf numFmtId="0" fontId="44" fillId="36" borderId="1" xfId="1" applyFont="1" applyFill="1" applyBorder="1" applyAlignment="1">
      <alignment horizontal="center" vertical="center"/>
    </xf>
    <xf numFmtId="0" fontId="48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25" fillId="0" borderId="21" xfId="0" applyFont="1" applyBorder="1" applyAlignment="1">
      <alignment horizontal="center" vertical="center"/>
    </xf>
    <xf numFmtId="0" fontId="25" fillId="28" borderId="0" xfId="0" applyFont="1" applyFill="1" applyAlignment="1">
      <alignment horizontal="center" vertical="center"/>
    </xf>
    <xf numFmtId="0" fontId="25" fillId="28" borderId="14" xfId="0" applyFont="1" applyFill="1" applyBorder="1" applyAlignment="1">
      <alignment horizontal="center" vertical="center"/>
    </xf>
    <xf numFmtId="0" fontId="4" fillId="27" borderId="24" xfId="0" applyFont="1" applyFill="1" applyBorder="1" applyAlignment="1">
      <alignment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4" fillId="28" borderId="37" xfId="0" applyFont="1" applyFill="1" applyBorder="1" applyAlignment="1">
      <alignment vertical="center" wrapText="1"/>
    </xf>
    <xf numFmtId="0" fontId="4" fillId="28" borderId="24" xfId="0" applyFont="1" applyFill="1" applyBorder="1" applyAlignment="1">
      <alignment vertical="center" wrapText="1"/>
    </xf>
    <xf numFmtId="0" fontId="4" fillId="28" borderId="25" xfId="0" applyFont="1" applyFill="1" applyBorder="1" applyAlignment="1">
      <alignment vertical="center" wrapText="1"/>
    </xf>
    <xf numFmtId="0" fontId="4" fillId="27" borderId="37" xfId="0" applyFont="1" applyFill="1" applyBorder="1" applyAlignment="1">
      <alignment vertical="center" wrapText="1"/>
    </xf>
    <xf numFmtId="0" fontId="25" fillId="0" borderId="59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28" borderId="13" xfId="0" applyFont="1" applyFill="1" applyBorder="1" applyAlignment="1">
      <alignment horizontal="center" vertical="center"/>
    </xf>
    <xf numFmtId="0" fontId="0" fillId="0" borderId="1" xfId="0" applyBorder="1" applyAlignment="1">
      <alignment textRotation="90" wrapText="1"/>
    </xf>
    <xf numFmtId="0" fontId="0" fillId="30" borderId="0" xfId="0" applyFill="1"/>
    <xf numFmtId="0" fontId="0" fillId="30" borderId="0" xfId="0" applyFill="1" applyAlignment="1">
      <alignment horizontal="center"/>
    </xf>
    <xf numFmtId="0" fontId="0" fillId="0" borderId="1" xfId="0" applyBorder="1" applyAlignment="1">
      <alignment textRotation="90"/>
    </xf>
    <xf numFmtId="17" fontId="0" fillId="0" borderId="60" xfId="0" applyNumberFormat="1" applyBorder="1" applyAlignment="1">
      <alignment vertical="center"/>
    </xf>
    <xf numFmtId="17" fontId="0" fillId="0" borderId="51" xfId="0" applyNumberFormat="1" applyBorder="1" applyAlignment="1">
      <alignment vertical="center"/>
    </xf>
    <xf numFmtId="17" fontId="0" fillId="0" borderId="26" xfId="0" applyNumberFormat="1" applyBorder="1" applyAlignment="1">
      <alignment vertical="center"/>
    </xf>
    <xf numFmtId="17" fontId="0" fillId="0" borderId="21" xfId="0" applyNumberFormat="1" applyBorder="1" applyAlignment="1">
      <alignment vertical="center"/>
    </xf>
    <xf numFmtId="17" fontId="0" fillId="0" borderId="22" xfId="0" applyNumberFormat="1" applyBorder="1" applyAlignment="1">
      <alignment vertical="center"/>
    </xf>
    <xf numFmtId="17" fontId="0" fillId="0" borderId="61" xfId="0" applyNumberFormat="1" applyBorder="1" applyAlignment="1">
      <alignment vertical="center"/>
    </xf>
    <xf numFmtId="0" fontId="0" fillId="0" borderId="3" xfId="0" applyBorder="1" applyAlignment="1">
      <alignment textRotation="90"/>
    </xf>
    <xf numFmtId="0" fontId="0" fillId="0" borderId="3" xfId="0" applyBorder="1" applyAlignment="1">
      <alignment textRotation="90" wrapText="1"/>
    </xf>
    <xf numFmtId="0" fontId="0" fillId="30" borderId="0" xfId="0" applyFill="1" applyAlignment="1">
      <alignment textRotation="90"/>
    </xf>
    <xf numFmtId="17" fontId="0" fillId="0" borderId="60" xfId="0" applyNumberFormat="1" applyBorder="1" applyAlignment="1">
      <alignment horizontal="left" vertical="top"/>
    </xf>
    <xf numFmtId="0" fontId="48" fillId="4" borderId="0" xfId="0" applyFont="1" applyFill="1" applyAlignment="1">
      <alignment horizontal="left" vertical="center"/>
    </xf>
    <xf numFmtId="0" fontId="25" fillId="0" borderId="38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 wrapText="1"/>
    </xf>
    <xf numFmtId="0" fontId="49" fillId="0" borderId="1" xfId="0" applyFont="1" applyBorder="1"/>
    <xf numFmtId="0" fontId="0" fillId="30" borderId="0" xfId="0" applyFill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38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8" borderId="1" xfId="0" applyFill="1" applyBorder="1" applyAlignment="1">
      <alignment horizontal="distributed" wrapText="1"/>
    </xf>
    <xf numFmtId="0" fontId="0" fillId="0" borderId="1" xfId="0" applyBorder="1" applyAlignment="1">
      <alignment wrapText="1"/>
    </xf>
    <xf numFmtId="0" fontId="0" fillId="38" borderId="1" xfId="0" applyFill="1" applyBorder="1" applyAlignment="1">
      <alignment wrapText="1"/>
    </xf>
    <xf numFmtId="0" fontId="25" fillId="0" borderId="47" xfId="0" applyFont="1" applyBorder="1" applyAlignment="1">
      <alignment horizontal="center" vertical="center" wrapText="1"/>
    </xf>
    <xf numFmtId="17" fontId="0" fillId="0" borderId="0" xfId="0" applyNumberFormat="1" applyAlignment="1">
      <alignment vertical="center"/>
    </xf>
    <xf numFmtId="0" fontId="0" fillId="0" borderId="1" xfId="0" applyBorder="1" applyAlignment="1">
      <alignment horizontal="distributed" wrapText="1"/>
    </xf>
    <xf numFmtId="0" fontId="0" fillId="0" borderId="0" xfId="0" applyAlignment="1">
      <alignment horizontal="center" vertical="center" textRotation="90"/>
    </xf>
    <xf numFmtId="0" fontId="0" fillId="3" borderId="1" xfId="0" applyFill="1" applyBorder="1" applyAlignment="1">
      <alignment horizontal="distributed" wrapText="1"/>
    </xf>
    <xf numFmtId="0" fontId="0" fillId="38" borderId="1" xfId="0" applyFill="1" applyBorder="1" applyAlignment="1">
      <alignment horizontal="center" wrapText="1"/>
    </xf>
    <xf numFmtId="0" fontId="0" fillId="38" borderId="6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38" borderId="4" xfId="0" applyFill="1" applyBorder="1" applyAlignment="1">
      <alignment wrapText="1"/>
    </xf>
    <xf numFmtId="0" fontId="0" fillId="0" borderId="2" xfId="0" applyBorder="1" applyAlignment="1">
      <alignment horizontal="distributed" wrapText="1"/>
    </xf>
    <xf numFmtId="0" fontId="0" fillId="3" borderId="0" xfId="0" applyFill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52" xfId="0" applyFont="1" applyFill="1" applyBorder="1" applyAlignment="1">
      <alignment horizontal="center" vertical="center" wrapText="1"/>
    </xf>
    <xf numFmtId="164" fontId="25" fillId="0" borderId="47" xfId="0" applyNumberFormat="1" applyFont="1" applyBorder="1" applyAlignment="1">
      <alignment horizontal="center" vertical="center" wrapText="1"/>
    </xf>
    <xf numFmtId="165" fontId="25" fillId="0" borderId="4" xfId="0" applyNumberFormat="1" applyFont="1" applyBorder="1" applyAlignment="1">
      <alignment horizontal="center" vertical="center"/>
    </xf>
    <xf numFmtId="165" fontId="25" fillId="0" borderId="21" xfId="0" applyNumberFormat="1" applyFont="1" applyBorder="1" applyAlignment="1">
      <alignment horizontal="center" vertical="center"/>
    </xf>
    <xf numFmtId="165" fontId="25" fillId="31" borderId="20" xfId="0" applyNumberFormat="1" applyFont="1" applyFill="1" applyBorder="1" applyAlignment="1">
      <alignment horizontal="center" vertical="center"/>
    </xf>
    <xf numFmtId="165" fontId="25" fillId="27" borderId="13" xfId="0" applyNumberFormat="1" applyFont="1" applyFill="1" applyBorder="1" applyAlignment="1">
      <alignment horizontal="center" vertical="center"/>
    </xf>
    <xf numFmtId="164" fontId="25" fillId="0" borderId="0" xfId="0" applyNumberFormat="1" applyFont="1" applyAlignment="1">
      <alignment horizontal="center" vertical="center" wrapText="1"/>
    </xf>
    <xf numFmtId="164" fontId="25" fillId="0" borderId="22" xfId="0" applyNumberFormat="1" applyFont="1" applyBorder="1" applyAlignment="1">
      <alignment horizontal="center" vertical="center" wrapText="1"/>
    </xf>
    <xf numFmtId="164" fontId="25" fillId="0" borderId="21" xfId="0" applyNumberFormat="1" applyFont="1" applyBorder="1" applyAlignment="1">
      <alignment horizontal="center" vertical="center" wrapText="1"/>
    </xf>
    <xf numFmtId="165" fontId="25" fillId="0" borderId="3" xfId="0" applyNumberFormat="1" applyFont="1" applyBorder="1" applyAlignment="1">
      <alignment horizontal="center" vertical="center"/>
    </xf>
    <xf numFmtId="166" fontId="25" fillId="0" borderId="3" xfId="0" applyNumberFormat="1" applyFont="1" applyBorder="1" applyAlignment="1">
      <alignment horizontal="center" vertical="center" wrapText="1"/>
    </xf>
    <xf numFmtId="164" fontId="25" fillId="0" borderId="3" xfId="0" applyNumberFormat="1" applyFont="1" applyBorder="1" applyAlignment="1">
      <alignment horizontal="center" vertical="center" wrapText="1"/>
    </xf>
    <xf numFmtId="164" fontId="25" fillId="0" borderId="3" xfId="0" applyNumberFormat="1" applyFont="1" applyBorder="1" applyAlignment="1">
      <alignment horizontal="center" vertical="center"/>
    </xf>
    <xf numFmtId="164" fontId="25" fillId="0" borderId="54" xfId="0" applyNumberFormat="1" applyFont="1" applyBorder="1" applyAlignment="1">
      <alignment horizontal="center" vertical="center"/>
    </xf>
    <xf numFmtId="165" fontId="25" fillId="27" borderId="20" xfId="0" applyNumberFormat="1" applyFon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distributed" wrapText="1"/>
    </xf>
    <xf numFmtId="168" fontId="0" fillId="0" borderId="0" xfId="0" applyNumberFormat="1"/>
    <xf numFmtId="0" fontId="0" fillId="0" borderId="0" xfId="0"/>
    <xf numFmtId="0" fontId="4" fillId="2" borderId="16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0" fontId="4" fillId="2" borderId="48" xfId="0" applyFont="1" applyFill="1" applyBorder="1" applyAlignment="1">
      <alignment horizontal="center" vertical="center" wrapText="1"/>
    </xf>
    <xf numFmtId="0" fontId="4" fillId="2" borderId="4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46" fillId="0" borderId="0" xfId="1" applyFont="1"/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0" borderId="1" xfId="0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62" xfId="0" applyBorder="1"/>
    <xf numFmtId="0" fontId="4" fillId="2" borderId="53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63" xfId="0" applyBorder="1"/>
    <xf numFmtId="0" fontId="4" fillId="2" borderId="11" xfId="0" applyFont="1" applyFill="1" applyBorder="1" applyAlignment="1">
      <alignment horizontal="center" vertical="center" wrapText="1"/>
    </xf>
    <xf numFmtId="0" fontId="0" fillId="0" borderId="16" xfId="0" applyBorder="1"/>
    <xf numFmtId="0" fontId="4" fillId="27" borderId="41" xfId="0" applyFont="1" applyFill="1" applyBorder="1" applyAlignment="1">
      <alignment horizontal="center" vertical="top" textRotation="90" wrapText="1"/>
    </xf>
    <xf numFmtId="0" fontId="0" fillId="0" borderId="36" xfId="0" applyBorder="1"/>
    <xf numFmtId="0" fontId="4" fillId="2" borderId="12" xfId="0" applyFont="1" applyFill="1" applyBorder="1" applyAlignment="1">
      <alignment horizontal="center" vertical="center" wrapText="1"/>
    </xf>
    <xf numFmtId="0" fontId="0" fillId="0" borderId="48" xfId="0" applyBorder="1"/>
    <xf numFmtId="0" fontId="4" fillId="2" borderId="47" xfId="0" applyFont="1" applyFill="1" applyBorder="1" applyAlignment="1">
      <alignment horizontal="center" vertical="center" wrapText="1"/>
    </xf>
    <xf numFmtId="0" fontId="0" fillId="0" borderId="3" xfId="0" applyBorder="1"/>
    <xf numFmtId="0" fontId="4" fillId="2" borderId="40" xfId="0" applyFont="1" applyFill="1" applyBorder="1" applyAlignment="1">
      <alignment horizontal="center" vertical="center" wrapText="1"/>
    </xf>
    <xf numFmtId="0" fontId="0" fillId="0" borderId="22" xfId="0" applyBorder="1"/>
    <xf numFmtId="0" fontId="4" fillId="27" borderId="24" xfId="0" applyFont="1" applyFill="1" applyBorder="1" applyAlignment="1">
      <alignment horizontal="center" vertical="center" wrapText="1"/>
    </xf>
    <xf numFmtId="0" fontId="0" fillId="0" borderId="24" xfId="0" applyBorder="1"/>
    <xf numFmtId="0" fontId="4" fillId="27" borderId="41" xfId="0" applyFont="1" applyFill="1" applyBorder="1" applyAlignment="1">
      <alignment horizontal="center" vertical="center" wrapText="1"/>
    </xf>
    <xf numFmtId="0" fontId="0" fillId="0" borderId="25" xfId="0" applyBorder="1"/>
    <xf numFmtId="0" fontId="4" fillId="2" borderId="58" xfId="0" applyFont="1" applyFill="1" applyBorder="1" applyAlignment="1">
      <alignment horizontal="center" vertical="center" wrapText="1"/>
    </xf>
    <xf numFmtId="0" fontId="0" fillId="0" borderId="59" xfId="0" applyBorder="1"/>
    <xf numFmtId="0" fontId="4" fillId="28" borderId="41" xfId="0" applyFont="1" applyFill="1" applyBorder="1" applyAlignment="1">
      <alignment horizontal="center" vertical="top" textRotation="90" wrapText="1"/>
    </xf>
    <xf numFmtId="0" fontId="4" fillId="29" borderId="41" xfId="0" applyFont="1" applyFill="1" applyBorder="1" applyAlignment="1">
      <alignment horizontal="center" vertical="top" textRotation="90" wrapText="1"/>
    </xf>
    <xf numFmtId="0" fontId="4" fillId="2" borderId="44" xfId="0" applyFont="1" applyFill="1" applyBorder="1" applyAlignment="1">
      <alignment horizontal="center" vertical="center" wrapText="1"/>
    </xf>
    <xf numFmtId="0" fontId="0" fillId="0" borderId="52" xfId="0" applyBorder="1"/>
    <xf numFmtId="0" fontId="0" fillId="0" borderId="40" xfId="0" applyBorder="1"/>
    <xf numFmtId="0" fontId="2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28" borderId="41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0" fillId="0" borderId="19" xfId="0" applyBorder="1"/>
    <xf numFmtId="0" fontId="4" fillId="2" borderId="21" xfId="0" applyFont="1" applyFill="1" applyBorder="1" applyAlignment="1">
      <alignment horizontal="center" vertical="center" wrapText="1"/>
    </xf>
    <xf numFmtId="0" fontId="0" fillId="0" borderId="21" xfId="0" applyBorder="1"/>
    <xf numFmtId="0" fontId="4" fillId="29" borderId="37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43" xfId="0" applyBorder="1"/>
    <xf numFmtId="0" fontId="0" fillId="0" borderId="18" xfId="0" applyBorder="1"/>
    <xf numFmtId="0" fontId="4" fillId="27" borderId="39" xfId="0" applyFont="1" applyFill="1" applyBorder="1" applyAlignment="1">
      <alignment horizontal="center" vertical="center" wrapText="1"/>
    </xf>
    <xf numFmtId="0" fontId="0" fillId="0" borderId="7" xfId="0" applyBorder="1"/>
    <xf numFmtId="0" fontId="4" fillId="2" borderId="38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 wrapText="1"/>
    </xf>
    <xf numFmtId="0" fontId="4" fillId="31" borderId="20" xfId="0" applyFont="1" applyFill="1" applyBorder="1" applyAlignment="1">
      <alignment horizontal="center" vertical="top" textRotation="90" wrapText="1"/>
    </xf>
    <xf numFmtId="0" fontId="4" fillId="2" borderId="6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8" xfId="0" applyFont="1" applyFill="1" applyBorder="1" applyAlignment="1">
      <alignment horizontal="center" vertical="center" wrapText="1"/>
    </xf>
    <xf numFmtId="0" fontId="4" fillId="27" borderId="25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22" fillId="35" borderId="1" xfId="0" applyFont="1" applyFill="1" applyBorder="1" applyAlignment="1">
      <alignment horizontal="left" vertical="top"/>
    </xf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"/>
    </xf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51" xfId="0" applyBorder="1" applyAlignment="1">
      <alignment horizontal="center" vertical="center" textRotation="90"/>
    </xf>
    <xf numFmtId="0" fontId="0" fillId="0" borderId="51" xfId="0" applyBorder="1"/>
    <xf numFmtId="0" fontId="0" fillId="0" borderId="1" xfId="0" applyBorder="1" applyAlignment="1">
      <alignment horizontal="center" wrapText="1"/>
    </xf>
    <xf numFmtId="0" fontId="47" fillId="0" borderId="0" xfId="1" applyFont="1"/>
    <xf numFmtId="0" fontId="44" fillId="37" borderId="0" xfId="1" applyFont="1" applyFill="1" applyAlignment="1">
      <alignment horizontal="center" vertical="center"/>
    </xf>
    <xf numFmtId="0" fontId="46" fillId="0" borderId="0" xfId="1" applyFont="1"/>
    <xf numFmtId="0" fontId="43" fillId="0" borderId="0" xfId="1" applyFont="1" applyAlignment="1">
      <alignment horizontal="left" vertical="center"/>
    </xf>
    <xf numFmtId="0" fontId="43" fillId="0" borderId="0" xfId="1" applyFont="1" applyAlignment="1">
      <alignment vertical="center"/>
    </xf>
    <xf numFmtId="0" fontId="44" fillId="0" borderId="0" xfId="1" applyFont="1"/>
    <xf numFmtId="169" fontId="45" fillId="0" borderId="0" xfId="1" applyNumberFormat="1" applyFont="1" applyAlignment="1">
      <alignment horizontal="left"/>
    </xf>
    <xf numFmtId="0" fontId="44" fillId="37" borderId="1" xfId="1" applyFont="1" applyFill="1" applyBorder="1" applyAlignment="1">
      <alignment horizontal="center" vertical="center"/>
    </xf>
    <xf numFmtId="0" fontId="43" fillId="0" borderId="0" xfId="1" applyFont="1" applyAlignment="1">
      <alignment horizontal="right"/>
    </xf>
  </cellXfs>
  <cellStyles count="2608">
    <cellStyle name="20% - Accent1 1" xfId="5" xr:uid="{00000000-0005-0000-0000-000005000000}"/>
    <cellStyle name="20% - Accent1 10" xfId="6" xr:uid="{00000000-0005-0000-0000-000006000000}"/>
    <cellStyle name="20% - Accent1 11" xfId="7" xr:uid="{00000000-0005-0000-0000-000007000000}"/>
    <cellStyle name="20% - Accent1 12" xfId="8" xr:uid="{00000000-0005-0000-0000-000008000000}"/>
    <cellStyle name="20% - Accent1 13" xfId="9" xr:uid="{00000000-0005-0000-0000-000009000000}"/>
    <cellStyle name="20% - Accent1 14" xfId="10" xr:uid="{00000000-0005-0000-0000-00000A000000}"/>
    <cellStyle name="20% - Accent1 15" xfId="11" xr:uid="{00000000-0005-0000-0000-00000B000000}"/>
    <cellStyle name="20% - Accent1 16" xfId="12" xr:uid="{00000000-0005-0000-0000-00000C000000}"/>
    <cellStyle name="20% - Accent1 17" xfId="13" xr:uid="{00000000-0005-0000-0000-00000D000000}"/>
    <cellStyle name="20% - Accent1 18" xfId="14" xr:uid="{00000000-0005-0000-0000-00000E000000}"/>
    <cellStyle name="20% - Accent1 19" xfId="15" xr:uid="{00000000-0005-0000-0000-00000F000000}"/>
    <cellStyle name="20% - Accent1 2" xfId="16" xr:uid="{00000000-0005-0000-0000-000010000000}"/>
    <cellStyle name="20% - Accent1 20" xfId="17" xr:uid="{00000000-0005-0000-0000-000011000000}"/>
    <cellStyle name="20% - Accent1 21" xfId="18" xr:uid="{00000000-0005-0000-0000-000012000000}"/>
    <cellStyle name="20% - Accent1 22" xfId="19" xr:uid="{00000000-0005-0000-0000-000013000000}"/>
    <cellStyle name="20% - Accent1 23" xfId="20" xr:uid="{00000000-0005-0000-0000-000014000000}"/>
    <cellStyle name="20% - Accent1 24" xfId="21" xr:uid="{00000000-0005-0000-0000-000015000000}"/>
    <cellStyle name="20% - Accent1 25" xfId="22" xr:uid="{00000000-0005-0000-0000-000016000000}"/>
    <cellStyle name="20% - Accent1 26" xfId="23" xr:uid="{00000000-0005-0000-0000-000017000000}"/>
    <cellStyle name="20% - Accent1 27" xfId="24" xr:uid="{00000000-0005-0000-0000-000018000000}"/>
    <cellStyle name="20% - Accent1 28" xfId="25" xr:uid="{00000000-0005-0000-0000-000019000000}"/>
    <cellStyle name="20% - Accent1 29" xfId="26" xr:uid="{00000000-0005-0000-0000-00001A000000}"/>
    <cellStyle name="20% - Accent1 3" xfId="27" xr:uid="{00000000-0005-0000-0000-00001B000000}"/>
    <cellStyle name="20% - Accent1 30" xfId="28" xr:uid="{00000000-0005-0000-0000-00001C000000}"/>
    <cellStyle name="20% - Accent1 31" xfId="29" xr:uid="{00000000-0005-0000-0000-00001D000000}"/>
    <cellStyle name="20% - Accent1 32" xfId="30" xr:uid="{00000000-0005-0000-0000-00001E000000}"/>
    <cellStyle name="20% - Accent1 33" xfId="31" xr:uid="{00000000-0005-0000-0000-00001F000000}"/>
    <cellStyle name="20% - Accent1 34" xfId="32" xr:uid="{00000000-0005-0000-0000-000020000000}"/>
    <cellStyle name="20% - Accent1 35" xfId="33" xr:uid="{00000000-0005-0000-0000-000021000000}"/>
    <cellStyle name="20% - Accent1 36" xfId="34" xr:uid="{00000000-0005-0000-0000-000022000000}"/>
    <cellStyle name="20% - Accent1 37" xfId="35" xr:uid="{00000000-0005-0000-0000-000023000000}"/>
    <cellStyle name="20% - Accent1 38" xfId="36" xr:uid="{00000000-0005-0000-0000-000024000000}"/>
    <cellStyle name="20% - Accent1 39" xfId="37" xr:uid="{00000000-0005-0000-0000-000025000000}"/>
    <cellStyle name="20% - Accent1 4" xfId="38" xr:uid="{00000000-0005-0000-0000-000026000000}"/>
    <cellStyle name="20% - Accent1 40" xfId="39" xr:uid="{00000000-0005-0000-0000-000027000000}"/>
    <cellStyle name="20% - Accent1 41" xfId="40" xr:uid="{00000000-0005-0000-0000-000028000000}"/>
    <cellStyle name="20% - Accent1 42" xfId="41" xr:uid="{00000000-0005-0000-0000-000029000000}"/>
    <cellStyle name="20% - Accent1 43" xfId="42" xr:uid="{00000000-0005-0000-0000-00002A000000}"/>
    <cellStyle name="20% - Accent1 44" xfId="43" xr:uid="{00000000-0005-0000-0000-00002B000000}"/>
    <cellStyle name="20% - Accent1 45" xfId="44" xr:uid="{00000000-0005-0000-0000-00002C000000}"/>
    <cellStyle name="20% - Accent1 46" xfId="45" xr:uid="{00000000-0005-0000-0000-00002D000000}"/>
    <cellStyle name="20% - Accent1 47" xfId="46" xr:uid="{00000000-0005-0000-0000-00002E000000}"/>
    <cellStyle name="20% - Accent1 48" xfId="47" xr:uid="{00000000-0005-0000-0000-00002F000000}"/>
    <cellStyle name="20% - Accent1 49" xfId="48" xr:uid="{00000000-0005-0000-0000-000030000000}"/>
    <cellStyle name="20% - Accent1 5" xfId="49" xr:uid="{00000000-0005-0000-0000-000031000000}"/>
    <cellStyle name="20% - Accent1 50" xfId="50" xr:uid="{00000000-0005-0000-0000-000032000000}"/>
    <cellStyle name="20% - Accent1 51" xfId="51" xr:uid="{00000000-0005-0000-0000-000033000000}"/>
    <cellStyle name="20% - Accent1 52" xfId="52" xr:uid="{00000000-0005-0000-0000-000034000000}"/>
    <cellStyle name="20% - Accent1 53" xfId="53" xr:uid="{00000000-0005-0000-0000-000035000000}"/>
    <cellStyle name="20% - Accent1 54" xfId="54" xr:uid="{00000000-0005-0000-0000-000036000000}"/>
    <cellStyle name="20% - Accent1 55" xfId="55" xr:uid="{00000000-0005-0000-0000-000037000000}"/>
    <cellStyle name="20% - Accent1 56" xfId="56" xr:uid="{00000000-0005-0000-0000-000038000000}"/>
    <cellStyle name="20% - Accent1 57" xfId="57" xr:uid="{00000000-0005-0000-0000-000039000000}"/>
    <cellStyle name="20% - Accent1 58" xfId="58" xr:uid="{00000000-0005-0000-0000-00003A000000}"/>
    <cellStyle name="20% - Accent1 59" xfId="59" xr:uid="{00000000-0005-0000-0000-00003B000000}"/>
    <cellStyle name="20% - Accent1 6" xfId="60" xr:uid="{00000000-0005-0000-0000-00003C000000}"/>
    <cellStyle name="20% - Accent1 60" xfId="61" xr:uid="{00000000-0005-0000-0000-00003D000000}"/>
    <cellStyle name="20% - Accent1 61" xfId="62" xr:uid="{00000000-0005-0000-0000-00003E000000}"/>
    <cellStyle name="20% - Accent1 62" xfId="63" xr:uid="{00000000-0005-0000-0000-00003F000000}"/>
    <cellStyle name="20% - Accent1 63" xfId="64" xr:uid="{00000000-0005-0000-0000-000040000000}"/>
    <cellStyle name="20% - Accent1 7" xfId="65" xr:uid="{00000000-0005-0000-0000-000041000000}"/>
    <cellStyle name="20% - Accent1 8" xfId="66" xr:uid="{00000000-0005-0000-0000-000042000000}"/>
    <cellStyle name="20% - Accent1 9" xfId="67" xr:uid="{00000000-0005-0000-0000-000043000000}"/>
    <cellStyle name="20% - Accent2 1" xfId="68" xr:uid="{00000000-0005-0000-0000-000044000000}"/>
    <cellStyle name="20% - Accent2 10" xfId="69" xr:uid="{00000000-0005-0000-0000-000045000000}"/>
    <cellStyle name="20% - Accent2 11" xfId="70" xr:uid="{00000000-0005-0000-0000-000046000000}"/>
    <cellStyle name="20% - Accent2 12" xfId="71" xr:uid="{00000000-0005-0000-0000-000047000000}"/>
    <cellStyle name="20% - Accent2 13" xfId="72" xr:uid="{00000000-0005-0000-0000-000048000000}"/>
    <cellStyle name="20% - Accent2 14" xfId="73" xr:uid="{00000000-0005-0000-0000-000049000000}"/>
    <cellStyle name="20% - Accent2 15" xfId="74" xr:uid="{00000000-0005-0000-0000-00004A000000}"/>
    <cellStyle name="20% - Accent2 16" xfId="75" xr:uid="{00000000-0005-0000-0000-00004B000000}"/>
    <cellStyle name="20% - Accent2 17" xfId="76" xr:uid="{00000000-0005-0000-0000-00004C000000}"/>
    <cellStyle name="20% - Accent2 18" xfId="77" xr:uid="{00000000-0005-0000-0000-00004D000000}"/>
    <cellStyle name="20% - Accent2 19" xfId="78" xr:uid="{00000000-0005-0000-0000-00004E000000}"/>
    <cellStyle name="20% - Accent2 2" xfId="79" xr:uid="{00000000-0005-0000-0000-00004F000000}"/>
    <cellStyle name="20% - Accent2 20" xfId="80" xr:uid="{00000000-0005-0000-0000-000050000000}"/>
    <cellStyle name="20% - Accent2 21" xfId="81" xr:uid="{00000000-0005-0000-0000-000051000000}"/>
    <cellStyle name="20% - Accent2 22" xfId="82" xr:uid="{00000000-0005-0000-0000-000052000000}"/>
    <cellStyle name="20% - Accent2 23" xfId="83" xr:uid="{00000000-0005-0000-0000-000053000000}"/>
    <cellStyle name="20% - Accent2 24" xfId="84" xr:uid="{00000000-0005-0000-0000-000054000000}"/>
    <cellStyle name="20% - Accent2 25" xfId="85" xr:uid="{00000000-0005-0000-0000-000055000000}"/>
    <cellStyle name="20% - Accent2 26" xfId="86" xr:uid="{00000000-0005-0000-0000-000056000000}"/>
    <cellStyle name="20% - Accent2 27" xfId="87" xr:uid="{00000000-0005-0000-0000-000057000000}"/>
    <cellStyle name="20% - Accent2 28" xfId="88" xr:uid="{00000000-0005-0000-0000-000058000000}"/>
    <cellStyle name="20% - Accent2 29" xfId="89" xr:uid="{00000000-0005-0000-0000-000059000000}"/>
    <cellStyle name="20% - Accent2 3" xfId="90" xr:uid="{00000000-0005-0000-0000-00005A000000}"/>
    <cellStyle name="20% - Accent2 30" xfId="91" xr:uid="{00000000-0005-0000-0000-00005B000000}"/>
    <cellStyle name="20% - Accent2 31" xfId="92" xr:uid="{00000000-0005-0000-0000-00005C000000}"/>
    <cellStyle name="20% - Accent2 32" xfId="93" xr:uid="{00000000-0005-0000-0000-00005D000000}"/>
    <cellStyle name="20% - Accent2 33" xfId="94" xr:uid="{00000000-0005-0000-0000-00005E000000}"/>
    <cellStyle name="20% - Accent2 34" xfId="95" xr:uid="{00000000-0005-0000-0000-00005F000000}"/>
    <cellStyle name="20% - Accent2 35" xfId="96" xr:uid="{00000000-0005-0000-0000-000060000000}"/>
    <cellStyle name="20% - Accent2 36" xfId="97" xr:uid="{00000000-0005-0000-0000-000061000000}"/>
    <cellStyle name="20% - Accent2 37" xfId="98" xr:uid="{00000000-0005-0000-0000-000062000000}"/>
    <cellStyle name="20% - Accent2 38" xfId="99" xr:uid="{00000000-0005-0000-0000-000063000000}"/>
    <cellStyle name="20% - Accent2 39" xfId="100" xr:uid="{00000000-0005-0000-0000-000064000000}"/>
    <cellStyle name="20% - Accent2 4" xfId="101" xr:uid="{00000000-0005-0000-0000-000065000000}"/>
    <cellStyle name="20% - Accent2 40" xfId="102" xr:uid="{00000000-0005-0000-0000-000066000000}"/>
    <cellStyle name="20% - Accent2 41" xfId="103" xr:uid="{00000000-0005-0000-0000-000067000000}"/>
    <cellStyle name="20% - Accent2 42" xfId="104" xr:uid="{00000000-0005-0000-0000-000068000000}"/>
    <cellStyle name="20% - Accent2 43" xfId="105" xr:uid="{00000000-0005-0000-0000-000069000000}"/>
    <cellStyle name="20% - Accent2 44" xfId="106" xr:uid="{00000000-0005-0000-0000-00006A000000}"/>
    <cellStyle name="20% - Accent2 45" xfId="107" xr:uid="{00000000-0005-0000-0000-00006B000000}"/>
    <cellStyle name="20% - Accent2 46" xfId="108" xr:uid="{00000000-0005-0000-0000-00006C000000}"/>
    <cellStyle name="20% - Accent2 47" xfId="109" xr:uid="{00000000-0005-0000-0000-00006D000000}"/>
    <cellStyle name="20% - Accent2 48" xfId="110" xr:uid="{00000000-0005-0000-0000-00006E000000}"/>
    <cellStyle name="20% - Accent2 49" xfId="111" xr:uid="{00000000-0005-0000-0000-00006F000000}"/>
    <cellStyle name="20% - Accent2 5" xfId="112" xr:uid="{00000000-0005-0000-0000-000070000000}"/>
    <cellStyle name="20% - Accent2 50" xfId="113" xr:uid="{00000000-0005-0000-0000-000071000000}"/>
    <cellStyle name="20% - Accent2 51" xfId="114" xr:uid="{00000000-0005-0000-0000-000072000000}"/>
    <cellStyle name="20% - Accent2 52" xfId="115" xr:uid="{00000000-0005-0000-0000-000073000000}"/>
    <cellStyle name="20% - Accent2 53" xfId="116" xr:uid="{00000000-0005-0000-0000-000074000000}"/>
    <cellStyle name="20% - Accent2 54" xfId="117" xr:uid="{00000000-0005-0000-0000-000075000000}"/>
    <cellStyle name="20% - Accent2 55" xfId="118" xr:uid="{00000000-0005-0000-0000-000076000000}"/>
    <cellStyle name="20% - Accent2 56" xfId="119" xr:uid="{00000000-0005-0000-0000-000077000000}"/>
    <cellStyle name="20% - Accent2 57" xfId="120" xr:uid="{00000000-0005-0000-0000-000078000000}"/>
    <cellStyle name="20% - Accent2 58" xfId="121" xr:uid="{00000000-0005-0000-0000-000079000000}"/>
    <cellStyle name="20% - Accent2 59" xfId="122" xr:uid="{00000000-0005-0000-0000-00007A000000}"/>
    <cellStyle name="20% - Accent2 6" xfId="123" xr:uid="{00000000-0005-0000-0000-00007B000000}"/>
    <cellStyle name="20% - Accent2 60" xfId="124" xr:uid="{00000000-0005-0000-0000-00007C000000}"/>
    <cellStyle name="20% - Accent2 61" xfId="125" xr:uid="{00000000-0005-0000-0000-00007D000000}"/>
    <cellStyle name="20% - Accent2 62" xfId="126" xr:uid="{00000000-0005-0000-0000-00007E000000}"/>
    <cellStyle name="20% - Accent2 63" xfId="127" xr:uid="{00000000-0005-0000-0000-00007F000000}"/>
    <cellStyle name="20% - Accent2 7" xfId="128" xr:uid="{00000000-0005-0000-0000-000080000000}"/>
    <cellStyle name="20% - Accent2 8" xfId="129" xr:uid="{00000000-0005-0000-0000-000081000000}"/>
    <cellStyle name="20% - Accent2 9" xfId="130" xr:uid="{00000000-0005-0000-0000-000082000000}"/>
    <cellStyle name="20% - Accent3 1" xfId="131" xr:uid="{00000000-0005-0000-0000-000083000000}"/>
    <cellStyle name="20% - Accent3 10" xfId="132" xr:uid="{00000000-0005-0000-0000-000084000000}"/>
    <cellStyle name="20% - Accent3 11" xfId="133" xr:uid="{00000000-0005-0000-0000-000085000000}"/>
    <cellStyle name="20% - Accent3 12" xfId="134" xr:uid="{00000000-0005-0000-0000-000086000000}"/>
    <cellStyle name="20% - Accent3 13" xfId="135" xr:uid="{00000000-0005-0000-0000-000087000000}"/>
    <cellStyle name="20% - Accent3 14" xfId="136" xr:uid="{00000000-0005-0000-0000-000088000000}"/>
    <cellStyle name="20% - Accent3 15" xfId="137" xr:uid="{00000000-0005-0000-0000-000089000000}"/>
    <cellStyle name="20% - Accent3 16" xfId="138" xr:uid="{00000000-0005-0000-0000-00008A000000}"/>
    <cellStyle name="20% - Accent3 17" xfId="139" xr:uid="{00000000-0005-0000-0000-00008B000000}"/>
    <cellStyle name="20% - Accent3 18" xfId="140" xr:uid="{00000000-0005-0000-0000-00008C000000}"/>
    <cellStyle name="20% - Accent3 19" xfId="141" xr:uid="{00000000-0005-0000-0000-00008D000000}"/>
    <cellStyle name="20% - Accent3 2" xfId="142" xr:uid="{00000000-0005-0000-0000-00008E000000}"/>
    <cellStyle name="20% - Accent3 20" xfId="143" xr:uid="{00000000-0005-0000-0000-00008F000000}"/>
    <cellStyle name="20% - Accent3 21" xfId="144" xr:uid="{00000000-0005-0000-0000-000090000000}"/>
    <cellStyle name="20% - Accent3 22" xfId="145" xr:uid="{00000000-0005-0000-0000-000091000000}"/>
    <cellStyle name="20% - Accent3 23" xfId="146" xr:uid="{00000000-0005-0000-0000-000092000000}"/>
    <cellStyle name="20% - Accent3 24" xfId="147" xr:uid="{00000000-0005-0000-0000-000093000000}"/>
    <cellStyle name="20% - Accent3 25" xfId="148" xr:uid="{00000000-0005-0000-0000-000094000000}"/>
    <cellStyle name="20% - Accent3 26" xfId="149" xr:uid="{00000000-0005-0000-0000-000095000000}"/>
    <cellStyle name="20% - Accent3 27" xfId="150" xr:uid="{00000000-0005-0000-0000-000096000000}"/>
    <cellStyle name="20% - Accent3 28" xfId="151" xr:uid="{00000000-0005-0000-0000-000097000000}"/>
    <cellStyle name="20% - Accent3 29" xfId="152" xr:uid="{00000000-0005-0000-0000-000098000000}"/>
    <cellStyle name="20% - Accent3 3" xfId="153" xr:uid="{00000000-0005-0000-0000-000099000000}"/>
    <cellStyle name="20% - Accent3 30" xfId="154" xr:uid="{00000000-0005-0000-0000-00009A000000}"/>
    <cellStyle name="20% - Accent3 31" xfId="155" xr:uid="{00000000-0005-0000-0000-00009B000000}"/>
    <cellStyle name="20% - Accent3 32" xfId="156" xr:uid="{00000000-0005-0000-0000-00009C000000}"/>
    <cellStyle name="20% - Accent3 33" xfId="157" xr:uid="{00000000-0005-0000-0000-00009D000000}"/>
    <cellStyle name="20% - Accent3 34" xfId="158" xr:uid="{00000000-0005-0000-0000-00009E000000}"/>
    <cellStyle name="20% - Accent3 35" xfId="159" xr:uid="{00000000-0005-0000-0000-00009F000000}"/>
    <cellStyle name="20% - Accent3 36" xfId="160" xr:uid="{00000000-0005-0000-0000-0000A0000000}"/>
    <cellStyle name="20% - Accent3 37" xfId="161" xr:uid="{00000000-0005-0000-0000-0000A1000000}"/>
    <cellStyle name="20% - Accent3 38" xfId="162" xr:uid="{00000000-0005-0000-0000-0000A2000000}"/>
    <cellStyle name="20% - Accent3 39" xfId="163" xr:uid="{00000000-0005-0000-0000-0000A3000000}"/>
    <cellStyle name="20% - Accent3 4" xfId="164" xr:uid="{00000000-0005-0000-0000-0000A4000000}"/>
    <cellStyle name="20% - Accent3 40" xfId="165" xr:uid="{00000000-0005-0000-0000-0000A5000000}"/>
    <cellStyle name="20% - Accent3 41" xfId="166" xr:uid="{00000000-0005-0000-0000-0000A6000000}"/>
    <cellStyle name="20% - Accent3 42" xfId="167" xr:uid="{00000000-0005-0000-0000-0000A7000000}"/>
    <cellStyle name="20% - Accent3 43" xfId="168" xr:uid="{00000000-0005-0000-0000-0000A8000000}"/>
    <cellStyle name="20% - Accent3 44" xfId="169" xr:uid="{00000000-0005-0000-0000-0000A9000000}"/>
    <cellStyle name="20% - Accent3 45" xfId="170" xr:uid="{00000000-0005-0000-0000-0000AA000000}"/>
    <cellStyle name="20% - Accent3 46" xfId="171" xr:uid="{00000000-0005-0000-0000-0000AB000000}"/>
    <cellStyle name="20% - Accent3 47" xfId="172" xr:uid="{00000000-0005-0000-0000-0000AC000000}"/>
    <cellStyle name="20% - Accent3 48" xfId="173" xr:uid="{00000000-0005-0000-0000-0000AD000000}"/>
    <cellStyle name="20% - Accent3 49" xfId="174" xr:uid="{00000000-0005-0000-0000-0000AE000000}"/>
    <cellStyle name="20% - Accent3 5" xfId="175" xr:uid="{00000000-0005-0000-0000-0000AF000000}"/>
    <cellStyle name="20% - Accent3 50" xfId="176" xr:uid="{00000000-0005-0000-0000-0000B0000000}"/>
    <cellStyle name="20% - Accent3 51" xfId="177" xr:uid="{00000000-0005-0000-0000-0000B1000000}"/>
    <cellStyle name="20% - Accent3 52" xfId="178" xr:uid="{00000000-0005-0000-0000-0000B2000000}"/>
    <cellStyle name="20% - Accent3 53" xfId="179" xr:uid="{00000000-0005-0000-0000-0000B3000000}"/>
    <cellStyle name="20% - Accent3 54" xfId="180" xr:uid="{00000000-0005-0000-0000-0000B4000000}"/>
    <cellStyle name="20% - Accent3 55" xfId="181" xr:uid="{00000000-0005-0000-0000-0000B5000000}"/>
    <cellStyle name="20% - Accent3 56" xfId="182" xr:uid="{00000000-0005-0000-0000-0000B6000000}"/>
    <cellStyle name="20% - Accent3 57" xfId="183" xr:uid="{00000000-0005-0000-0000-0000B7000000}"/>
    <cellStyle name="20% - Accent3 58" xfId="184" xr:uid="{00000000-0005-0000-0000-0000B8000000}"/>
    <cellStyle name="20% - Accent3 59" xfId="185" xr:uid="{00000000-0005-0000-0000-0000B9000000}"/>
    <cellStyle name="20% - Accent3 6" xfId="186" xr:uid="{00000000-0005-0000-0000-0000BA000000}"/>
    <cellStyle name="20% - Accent3 60" xfId="187" xr:uid="{00000000-0005-0000-0000-0000BB000000}"/>
    <cellStyle name="20% - Accent3 61" xfId="188" xr:uid="{00000000-0005-0000-0000-0000BC000000}"/>
    <cellStyle name="20% - Accent3 62" xfId="189" xr:uid="{00000000-0005-0000-0000-0000BD000000}"/>
    <cellStyle name="20% - Accent3 63" xfId="190" xr:uid="{00000000-0005-0000-0000-0000BE000000}"/>
    <cellStyle name="20% - Accent3 7" xfId="191" xr:uid="{00000000-0005-0000-0000-0000BF000000}"/>
    <cellStyle name="20% - Accent3 8" xfId="192" xr:uid="{00000000-0005-0000-0000-0000C0000000}"/>
    <cellStyle name="20% - Accent3 9" xfId="193" xr:uid="{00000000-0005-0000-0000-0000C1000000}"/>
    <cellStyle name="20% - Accent4 1" xfId="194" xr:uid="{00000000-0005-0000-0000-0000C2000000}"/>
    <cellStyle name="20% - Accent4 10" xfId="195" xr:uid="{00000000-0005-0000-0000-0000C3000000}"/>
    <cellStyle name="20% - Accent4 11" xfId="196" xr:uid="{00000000-0005-0000-0000-0000C4000000}"/>
    <cellStyle name="20% - Accent4 12" xfId="197" xr:uid="{00000000-0005-0000-0000-0000C5000000}"/>
    <cellStyle name="20% - Accent4 13" xfId="198" xr:uid="{00000000-0005-0000-0000-0000C6000000}"/>
    <cellStyle name="20% - Accent4 14" xfId="199" xr:uid="{00000000-0005-0000-0000-0000C7000000}"/>
    <cellStyle name="20% - Accent4 15" xfId="200" xr:uid="{00000000-0005-0000-0000-0000C8000000}"/>
    <cellStyle name="20% - Accent4 16" xfId="201" xr:uid="{00000000-0005-0000-0000-0000C9000000}"/>
    <cellStyle name="20% - Accent4 17" xfId="202" xr:uid="{00000000-0005-0000-0000-0000CA000000}"/>
    <cellStyle name="20% - Accent4 18" xfId="203" xr:uid="{00000000-0005-0000-0000-0000CB000000}"/>
    <cellStyle name="20% - Accent4 19" xfId="204" xr:uid="{00000000-0005-0000-0000-0000CC000000}"/>
    <cellStyle name="20% - Accent4 2" xfId="205" xr:uid="{00000000-0005-0000-0000-0000CD000000}"/>
    <cellStyle name="20% - Accent4 20" xfId="206" xr:uid="{00000000-0005-0000-0000-0000CE000000}"/>
    <cellStyle name="20% - Accent4 21" xfId="207" xr:uid="{00000000-0005-0000-0000-0000CF000000}"/>
    <cellStyle name="20% - Accent4 22" xfId="208" xr:uid="{00000000-0005-0000-0000-0000D0000000}"/>
    <cellStyle name="20% - Accent4 23" xfId="209" xr:uid="{00000000-0005-0000-0000-0000D1000000}"/>
    <cellStyle name="20% - Accent4 24" xfId="210" xr:uid="{00000000-0005-0000-0000-0000D2000000}"/>
    <cellStyle name="20% - Accent4 25" xfId="211" xr:uid="{00000000-0005-0000-0000-0000D3000000}"/>
    <cellStyle name="20% - Accent4 26" xfId="212" xr:uid="{00000000-0005-0000-0000-0000D4000000}"/>
    <cellStyle name="20% - Accent4 27" xfId="213" xr:uid="{00000000-0005-0000-0000-0000D5000000}"/>
    <cellStyle name="20% - Accent4 28" xfId="214" xr:uid="{00000000-0005-0000-0000-0000D6000000}"/>
    <cellStyle name="20% - Accent4 29" xfId="215" xr:uid="{00000000-0005-0000-0000-0000D7000000}"/>
    <cellStyle name="20% - Accent4 3" xfId="216" xr:uid="{00000000-0005-0000-0000-0000D8000000}"/>
    <cellStyle name="20% - Accent4 30" xfId="217" xr:uid="{00000000-0005-0000-0000-0000D9000000}"/>
    <cellStyle name="20% - Accent4 31" xfId="218" xr:uid="{00000000-0005-0000-0000-0000DA000000}"/>
    <cellStyle name="20% - Accent4 32" xfId="219" xr:uid="{00000000-0005-0000-0000-0000DB000000}"/>
    <cellStyle name="20% - Accent4 33" xfId="220" xr:uid="{00000000-0005-0000-0000-0000DC000000}"/>
    <cellStyle name="20% - Accent4 34" xfId="221" xr:uid="{00000000-0005-0000-0000-0000DD000000}"/>
    <cellStyle name="20% - Accent4 35" xfId="222" xr:uid="{00000000-0005-0000-0000-0000DE000000}"/>
    <cellStyle name="20% - Accent4 36" xfId="223" xr:uid="{00000000-0005-0000-0000-0000DF000000}"/>
    <cellStyle name="20% - Accent4 37" xfId="224" xr:uid="{00000000-0005-0000-0000-0000E0000000}"/>
    <cellStyle name="20% - Accent4 38" xfId="225" xr:uid="{00000000-0005-0000-0000-0000E1000000}"/>
    <cellStyle name="20% - Accent4 39" xfId="226" xr:uid="{00000000-0005-0000-0000-0000E2000000}"/>
    <cellStyle name="20% - Accent4 4" xfId="227" xr:uid="{00000000-0005-0000-0000-0000E3000000}"/>
    <cellStyle name="20% - Accent4 40" xfId="228" xr:uid="{00000000-0005-0000-0000-0000E4000000}"/>
    <cellStyle name="20% - Accent4 41" xfId="229" xr:uid="{00000000-0005-0000-0000-0000E5000000}"/>
    <cellStyle name="20% - Accent4 42" xfId="230" xr:uid="{00000000-0005-0000-0000-0000E6000000}"/>
    <cellStyle name="20% - Accent4 43" xfId="231" xr:uid="{00000000-0005-0000-0000-0000E7000000}"/>
    <cellStyle name="20% - Accent4 44" xfId="232" xr:uid="{00000000-0005-0000-0000-0000E8000000}"/>
    <cellStyle name="20% - Accent4 45" xfId="233" xr:uid="{00000000-0005-0000-0000-0000E9000000}"/>
    <cellStyle name="20% - Accent4 46" xfId="234" xr:uid="{00000000-0005-0000-0000-0000EA000000}"/>
    <cellStyle name="20% - Accent4 47" xfId="235" xr:uid="{00000000-0005-0000-0000-0000EB000000}"/>
    <cellStyle name="20% - Accent4 48" xfId="236" xr:uid="{00000000-0005-0000-0000-0000EC000000}"/>
    <cellStyle name="20% - Accent4 49" xfId="237" xr:uid="{00000000-0005-0000-0000-0000ED000000}"/>
    <cellStyle name="20% - Accent4 5" xfId="238" xr:uid="{00000000-0005-0000-0000-0000EE000000}"/>
    <cellStyle name="20% - Accent4 50" xfId="239" xr:uid="{00000000-0005-0000-0000-0000EF000000}"/>
    <cellStyle name="20% - Accent4 51" xfId="240" xr:uid="{00000000-0005-0000-0000-0000F0000000}"/>
    <cellStyle name="20% - Accent4 52" xfId="241" xr:uid="{00000000-0005-0000-0000-0000F1000000}"/>
    <cellStyle name="20% - Accent4 53" xfId="242" xr:uid="{00000000-0005-0000-0000-0000F2000000}"/>
    <cellStyle name="20% - Accent4 54" xfId="243" xr:uid="{00000000-0005-0000-0000-0000F3000000}"/>
    <cellStyle name="20% - Accent4 55" xfId="244" xr:uid="{00000000-0005-0000-0000-0000F4000000}"/>
    <cellStyle name="20% - Accent4 56" xfId="245" xr:uid="{00000000-0005-0000-0000-0000F5000000}"/>
    <cellStyle name="20% - Accent4 57" xfId="246" xr:uid="{00000000-0005-0000-0000-0000F6000000}"/>
    <cellStyle name="20% - Accent4 58" xfId="247" xr:uid="{00000000-0005-0000-0000-0000F7000000}"/>
    <cellStyle name="20% - Accent4 59" xfId="248" xr:uid="{00000000-0005-0000-0000-0000F8000000}"/>
    <cellStyle name="20% - Accent4 6" xfId="249" xr:uid="{00000000-0005-0000-0000-0000F9000000}"/>
    <cellStyle name="20% - Accent4 60" xfId="250" xr:uid="{00000000-0005-0000-0000-0000FA000000}"/>
    <cellStyle name="20% - Accent4 61" xfId="251" xr:uid="{00000000-0005-0000-0000-0000FB000000}"/>
    <cellStyle name="20% - Accent4 62" xfId="252" xr:uid="{00000000-0005-0000-0000-0000FC000000}"/>
    <cellStyle name="20% - Accent4 63" xfId="253" xr:uid="{00000000-0005-0000-0000-0000FD000000}"/>
    <cellStyle name="20% - Accent4 7" xfId="254" xr:uid="{00000000-0005-0000-0000-0000FE000000}"/>
    <cellStyle name="20% - Accent4 8" xfId="255" xr:uid="{00000000-0005-0000-0000-0000FF000000}"/>
    <cellStyle name="20% - Accent4 9" xfId="256" xr:uid="{00000000-0005-0000-0000-000000010000}"/>
    <cellStyle name="20% - Accent5 1" xfId="257" xr:uid="{00000000-0005-0000-0000-000001010000}"/>
    <cellStyle name="20% - Accent5 10" xfId="258" xr:uid="{00000000-0005-0000-0000-000002010000}"/>
    <cellStyle name="20% - Accent5 11" xfId="259" xr:uid="{00000000-0005-0000-0000-000003010000}"/>
    <cellStyle name="20% - Accent5 12" xfId="260" xr:uid="{00000000-0005-0000-0000-000004010000}"/>
    <cellStyle name="20% - Accent5 13" xfId="261" xr:uid="{00000000-0005-0000-0000-000005010000}"/>
    <cellStyle name="20% - Accent5 14" xfId="262" xr:uid="{00000000-0005-0000-0000-000006010000}"/>
    <cellStyle name="20% - Accent5 15" xfId="263" xr:uid="{00000000-0005-0000-0000-000007010000}"/>
    <cellStyle name="20% - Accent5 16" xfId="264" xr:uid="{00000000-0005-0000-0000-000008010000}"/>
    <cellStyle name="20% - Accent5 17" xfId="265" xr:uid="{00000000-0005-0000-0000-000009010000}"/>
    <cellStyle name="20% - Accent5 18" xfId="266" xr:uid="{00000000-0005-0000-0000-00000A010000}"/>
    <cellStyle name="20% - Accent5 19" xfId="267" xr:uid="{00000000-0005-0000-0000-00000B010000}"/>
    <cellStyle name="20% - Accent5 2" xfId="268" xr:uid="{00000000-0005-0000-0000-00000C010000}"/>
    <cellStyle name="20% - Accent5 20" xfId="269" xr:uid="{00000000-0005-0000-0000-00000D010000}"/>
    <cellStyle name="20% - Accent5 21" xfId="270" xr:uid="{00000000-0005-0000-0000-00000E010000}"/>
    <cellStyle name="20% - Accent5 22" xfId="271" xr:uid="{00000000-0005-0000-0000-00000F010000}"/>
    <cellStyle name="20% - Accent5 23" xfId="272" xr:uid="{00000000-0005-0000-0000-000010010000}"/>
    <cellStyle name="20% - Accent5 24" xfId="273" xr:uid="{00000000-0005-0000-0000-000011010000}"/>
    <cellStyle name="20% - Accent5 25" xfId="274" xr:uid="{00000000-0005-0000-0000-000012010000}"/>
    <cellStyle name="20% - Accent5 26" xfId="275" xr:uid="{00000000-0005-0000-0000-000013010000}"/>
    <cellStyle name="20% - Accent5 27" xfId="276" xr:uid="{00000000-0005-0000-0000-000014010000}"/>
    <cellStyle name="20% - Accent5 28" xfId="277" xr:uid="{00000000-0005-0000-0000-000015010000}"/>
    <cellStyle name="20% - Accent5 29" xfId="278" xr:uid="{00000000-0005-0000-0000-000016010000}"/>
    <cellStyle name="20% - Accent5 3" xfId="279" xr:uid="{00000000-0005-0000-0000-000017010000}"/>
    <cellStyle name="20% - Accent5 30" xfId="280" xr:uid="{00000000-0005-0000-0000-000018010000}"/>
    <cellStyle name="20% - Accent5 31" xfId="281" xr:uid="{00000000-0005-0000-0000-000019010000}"/>
    <cellStyle name="20% - Accent5 32" xfId="282" xr:uid="{00000000-0005-0000-0000-00001A010000}"/>
    <cellStyle name="20% - Accent5 33" xfId="283" xr:uid="{00000000-0005-0000-0000-00001B010000}"/>
    <cellStyle name="20% - Accent5 34" xfId="284" xr:uid="{00000000-0005-0000-0000-00001C010000}"/>
    <cellStyle name="20% - Accent5 35" xfId="285" xr:uid="{00000000-0005-0000-0000-00001D010000}"/>
    <cellStyle name="20% - Accent5 36" xfId="286" xr:uid="{00000000-0005-0000-0000-00001E010000}"/>
    <cellStyle name="20% - Accent5 37" xfId="287" xr:uid="{00000000-0005-0000-0000-00001F010000}"/>
    <cellStyle name="20% - Accent5 38" xfId="288" xr:uid="{00000000-0005-0000-0000-000020010000}"/>
    <cellStyle name="20% - Accent5 39" xfId="289" xr:uid="{00000000-0005-0000-0000-000021010000}"/>
    <cellStyle name="20% - Accent5 4" xfId="290" xr:uid="{00000000-0005-0000-0000-000022010000}"/>
    <cellStyle name="20% - Accent5 40" xfId="291" xr:uid="{00000000-0005-0000-0000-000023010000}"/>
    <cellStyle name="20% - Accent5 41" xfId="292" xr:uid="{00000000-0005-0000-0000-000024010000}"/>
    <cellStyle name="20% - Accent5 42" xfId="293" xr:uid="{00000000-0005-0000-0000-000025010000}"/>
    <cellStyle name="20% - Accent5 43" xfId="294" xr:uid="{00000000-0005-0000-0000-000026010000}"/>
    <cellStyle name="20% - Accent5 44" xfId="295" xr:uid="{00000000-0005-0000-0000-000027010000}"/>
    <cellStyle name="20% - Accent5 45" xfId="296" xr:uid="{00000000-0005-0000-0000-000028010000}"/>
    <cellStyle name="20% - Accent5 46" xfId="297" xr:uid="{00000000-0005-0000-0000-000029010000}"/>
    <cellStyle name="20% - Accent5 47" xfId="298" xr:uid="{00000000-0005-0000-0000-00002A010000}"/>
    <cellStyle name="20% - Accent5 48" xfId="299" xr:uid="{00000000-0005-0000-0000-00002B010000}"/>
    <cellStyle name="20% - Accent5 49" xfId="300" xr:uid="{00000000-0005-0000-0000-00002C010000}"/>
    <cellStyle name="20% - Accent5 5" xfId="301" xr:uid="{00000000-0005-0000-0000-00002D010000}"/>
    <cellStyle name="20% - Accent5 50" xfId="302" xr:uid="{00000000-0005-0000-0000-00002E010000}"/>
    <cellStyle name="20% - Accent5 51" xfId="303" xr:uid="{00000000-0005-0000-0000-00002F010000}"/>
    <cellStyle name="20% - Accent5 52" xfId="304" xr:uid="{00000000-0005-0000-0000-000030010000}"/>
    <cellStyle name="20% - Accent5 53" xfId="305" xr:uid="{00000000-0005-0000-0000-000031010000}"/>
    <cellStyle name="20% - Accent5 54" xfId="306" xr:uid="{00000000-0005-0000-0000-000032010000}"/>
    <cellStyle name="20% - Accent5 55" xfId="307" xr:uid="{00000000-0005-0000-0000-000033010000}"/>
    <cellStyle name="20% - Accent5 56" xfId="308" xr:uid="{00000000-0005-0000-0000-000034010000}"/>
    <cellStyle name="20% - Accent5 57" xfId="309" xr:uid="{00000000-0005-0000-0000-000035010000}"/>
    <cellStyle name="20% - Accent5 58" xfId="310" xr:uid="{00000000-0005-0000-0000-000036010000}"/>
    <cellStyle name="20% - Accent5 59" xfId="311" xr:uid="{00000000-0005-0000-0000-000037010000}"/>
    <cellStyle name="20% - Accent5 6" xfId="312" xr:uid="{00000000-0005-0000-0000-000038010000}"/>
    <cellStyle name="20% - Accent5 60" xfId="313" xr:uid="{00000000-0005-0000-0000-000039010000}"/>
    <cellStyle name="20% - Accent5 61" xfId="314" xr:uid="{00000000-0005-0000-0000-00003A010000}"/>
    <cellStyle name="20% - Accent5 62" xfId="315" xr:uid="{00000000-0005-0000-0000-00003B010000}"/>
    <cellStyle name="20% - Accent5 63" xfId="316" xr:uid="{00000000-0005-0000-0000-00003C010000}"/>
    <cellStyle name="20% - Accent5 7" xfId="317" xr:uid="{00000000-0005-0000-0000-00003D010000}"/>
    <cellStyle name="20% - Accent5 8" xfId="318" xr:uid="{00000000-0005-0000-0000-00003E010000}"/>
    <cellStyle name="20% - Accent5 9" xfId="319" xr:uid="{00000000-0005-0000-0000-00003F010000}"/>
    <cellStyle name="20% - Accent6 1" xfId="320" xr:uid="{00000000-0005-0000-0000-000040010000}"/>
    <cellStyle name="20% - Accent6 10" xfId="321" xr:uid="{00000000-0005-0000-0000-000041010000}"/>
    <cellStyle name="20% - Accent6 11" xfId="322" xr:uid="{00000000-0005-0000-0000-000042010000}"/>
    <cellStyle name="20% - Accent6 12" xfId="323" xr:uid="{00000000-0005-0000-0000-000043010000}"/>
    <cellStyle name="20% - Accent6 13" xfId="324" xr:uid="{00000000-0005-0000-0000-000044010000}"/>
    <cellStyle name="20% - Accent6 14" xfId="325" xr:uid="{00000000-0005-0000-0000-000045010000}"/>
    <cellStyle name="20% - Accent6 15" xfId="326" xr:uid="{00000000-0005-0000-0000-000046010000}"/>
    <cellStyle name="20% - Accent6 16" xfId="327" xr:uid="{00000000-0005-0000-0000-000047010000}"/>
    <cellStyle name="20% - Accent6 17" xfId="328" xr:uid="{00000000-0005-0000-0000-000048010000}"/>
    <cellStyle name="20% - Accent6 18" xfId="329" xr:uid="{00000000-0005-0000-0000-000049010000}"/>
    <cellStyle name="20% - Accent6 19" xfId="330" xr:uid="{00000000-0005-0000-0000-00004A010000}"/>
    <cellStyle name="20% - Accent6 2" xfId="331" xr:uid="{00000000-0005-0000-0000-00004B010000}"/>
    <cellStyle name="20% - Accent6 20" xfId="332" xr:uid="{00000000-0005-0000-0000-00004C010000}"/>
    <cellStyle name="20% - Accent6 21" xfId="333" xr:uid="{00000000-0005-0000-0000-00004D010000}"/>
    <cellStyle name="20% - Accent6 22" xfId="334" xr:uid="{00000000-0005-0000-0000-00004E010000}"/>
    <cellStyle name="20% - Accent6 23" xfId="335" xr:uid="{00000000-0005-0000-0000-00004F010000}"/>
    <cellStyle name="20% - Accent6 24" xfId="336" xr:uid="{00000000-0005-0000-0000-000050010000}"/>
    <cellStyle name="20% - Accent6 25" xfId="337" xr:uid="{00000000-0005-0000-0000-000051010000}"/>
    <cellStyle name="20% - Accent6 26" xfId="338" xr:uid="{00000000-0005-0000-0000-000052010000}"/>
    <cellStyle name="20% - Accent6 27" xfId="339" xr:uid="{00000000-0005-0000-0000-000053010000}"/>
    <cellStyle name="20% - Accent6 28" xfId="340" xr:uid="{00000000-0005-0000-0000-000054010000}"/>
    <cellStyle name="20% - Accent6 29" xfId="341" xr:uid="{00000000-0005-0000-0000-000055010000}"/>
    <cellStyle name="20% - Accent6 3" xfId="342" xr:uid="{00000000-0005-0000-0000-000056010000}"/>
    <cellStyle name="20% - Accent6 30" xfId="343" xr:uid="{00000000-0005-0000-0000-000057010000}"/>
    <cellStyle name="20% - Accent6 31" xfId="344" xr:uid="{00000000-0005-0000-0000-000058010000}"/>
    <cellStyle name="20% - Accent6 32" xfId="345" xr:uid="{00000000-0005-0000-0000-000059010000}"/>
    <cellStyle name="20% - Accent6 33" xfId="346" xr:uid="{00000000-0005-0000-0000-00005A010000}"/>
    <cellStyle name="20% - Accent6 34" xfId="347" xr:uid="{00000000-0005-0000-0000-00005B010000}"/>
    <cellStyle name="20% - Accent6 35" xfId="348" xr:uid="{00000000-0005-0000-0000-00005C010000}"/>
    <cellStyle name="20% - Accent6 36" xfId="349" xr:uid="{00000000-0005-0000-0000-00005D010000}"/>
    <cellStyle name="20% - Accent6 37" xfId="350" xr:uid="{00000000-0005-0000-0000-00005E010000}"/>
    <cellStyle name="20% - Accent6 38" xfId="351" xr:uid="{00000000-0005-0000-0000-00005F010000}"/>
    <cellStyle name="20% - Accent6 39" xfId="352" xr:uid="{00000000-0005-0000-0000-000060010000}"/>
    <cellStyle name="20% - Accent6 4" xfId="353" xr:uid="{00000000-0005-0000-0000-000061010000}"/>
    <cellStyle name="20% - Accent6 40" xfId="354" xr:uid="{00000000-0005-0000-0000-000062010000}"/>
    <cellStyle name="20% - Accent6 41" xfId="355" xr:uid="{00000000-0005-0000-0000-000063010000}"/>
    <cellStyle name="20% - Accent6 42" xfId="356" xr:uid="{00000000-0005-0000-0000-000064010000}"/>
    <cellStyle name="20% - Accent6 43" xfId="357" xr:uid="{00000000-0005-0000-0000-000065010000}"/>
    <cellStyle name="20% - Accent6 44" xfId="358" xr:uid="{00000000-0005-0000-0000-000066010000}"/>
    <cellStyle name="20% - Accent6 45" xfId="359" xr:uid="{00000000-0005-0000-0000-000067010000}"/>
    <cellStyle name="20% - Accent6 46" xfId="360" xr:uid="{00000000-0005-0000-0000-000068010000}"/>
    <cellStyle name="20% - Accent6 47" xfId="361" xr:uid="{00000000-0005-0000-0000-000069010000}"/>
    <cellStyle name="20% - Accent6 48" xfId="362" xr:uid="{00000000-0005-0000-0000-00006A010000}"/>
    <cellStyle name="20% - Accent6 49" xfId="363" xr:uid="{00000000-0005-0000-0000-00006B010000}"/>
    <cellStyle name="20% - Accent6 5" xfId="364" xr:uid="{00000000-0005-0000-0000-00006C010000}"/>
    <cellStyle name="20% - Accent6 50" xfId="365" xr:uid="{00000000-0005-0000-0000-00006D010000}"/>
    <cellStyle name="20% - Accent6 51" xfId="366" xr:uid="{00000000-0005-0000-0000-00006E010000}"/>
    <cellStyle name="20% - Accent6 52" xfId="367" xr:uid="{00000000-0005-0000-0000-00006F010000}"/>
    <cellStyle name="20% - Accent6 53" xfId="368" xr:uid="{00000000-0005-0000-0000-000070010000}"/>
    <cellStyle name="20% - Accent6 54" xfId="369" xr:uid="{00000000-0005-0000-0000-000071010000}"/>
    <cellStyle name="20% - Accent6 55" xfId="370" xr:uid="{00000000-0005-0000-0000-000072010000}"/>
    <cellStyle name="20% - Accent6 56" xfId="371" xr:uid="{00000000-0005-0000-0000-000073010000}"/>
    <cellStyle name="20% - Accent6 57" xfId="372" xr:uid="{00000000-0005-0000-0000-000074010000}"/>
    <cellStyle name="20% - Accent6 58" xfId="373" xr:uid="{00000000-0005-0000-0000-000075010000}"/>
    <cellStyle name="20% - Accent6 59" xfId="374" xr:uid="{00000000-0005-0000-0000-000076010000}"/>
    <cellStyle name="20% - Accent6 6" xfId="375" xr:uid="{00000000-0005-0000-0000-000077010000}"/>
    <cellStyle name="20% - Accent6 60" xfId="376" xr:uid="{00000000-0005-0000-0000-000078010000}"/>
    <cellStyle name="20% - Accent6 61" xfId="377" xr:uid="{00000000-0005-0000-0000-000079010000}"/>
    <cellStyle name="20% - Accent6 62" xfId="378" xr:uid="{00000000-0005-0000-0000-00007A010000}"/>
    <cellStyle name="20% - Accent6 63" xfId="379" xr:uid="{00000000-0005-0000-0000-00007B010000}"/>
    <cellStyle name="20% - Accent6 7" xfId="380" xr:uid="{00000000-0005-0000-0000-00007C010000}"/>
    <cellStyle name="20% - Accent6 8" xfId="381" xr:uid="{00000000-0005-0000-0000-00007D010000}"/>
    <cellStyle name="20% - Accent6 9" xfId="382" xr:uid="{00000000-0005-0000-0000-00007E010000}"/>
    <cellStyle name="40% - Accent1 1" xfId="383" xr:uid="{00000000-0005-0000-0000-00007F010000}"/>
    <cellStyle name="40% - Accent1 10" xfId="384" xr:uid="{00000000-0005-0000-0000-000080010000}"/>
    <cellStyle name="40% - Accent1 11" xfId="385" xr:uid="{00000000-0005-0000-0000-000081010000}"/>
    <cellStyle name="40% - Accent1 12" xfId="386" xr:uid="{00000000-0005-0000-0000-000082010000}"/>
    <cellStyle name="40% - Accent1 13" xfId="387" xr:uid="{00000000-0005-0000-0000-000083010000}"/>
    <cellStyle name="40% - Accent1 14" xfId="388" xr:uid="{00000000-0005-0000-0000-000084010000}"/>
    <cellStyle name="40% - Accent1 15" xfId="389" xr:uid="{00000000-0005-0000-0000-000085010000}"/>
    <cellStyle name="40% - Accent1 16" xfId="390" xr:uid="{00000000-0005-0000-0000-000086010000}"/>
    <cellStyle name="40% - Accent1 17" xfId="391" xr:uid="{00000000-0005-0000-0000-000087010000}"/>
    <cellStyle name="40% - Accent1 18" xfId="392" xr:uid="{00000000-0005-0000-0000-000088010000}"/>
    <cellStyle name="40% - Accent1 19" xfId="393" xr:uid="{00000000-0005-0000-0000-000089010000}"/>
    <cellStyle name="40% - Accent1 2" xfId="394" xr:uid="{00000000-0005-0000-0000-00008A010000}"/>
    <cellStyle name="40% - Accent1 20" xfId="395" xr:uid="{00000000-0005-0000-0000-00008B010000}"/>
    <cellStyle name="40% - Accent1 21" xfId="396" xr:uid="{00000000-0005-0000-0000-00008C010000}"/>
    <cellStyle name="40% - Accent1 22" xfId="397" xr:uid="{00000000-0005-0000-0000-00008D010000}"/>
    <cellStyle name="40% - Accent1 23" xfId="398" xr:uid="{00000000-0005-0000-0000-00008E010000}"/>
    <cellStyle name="40% - Accent1 24" xfId="399" xr:uid="{00000000-0005-0000-0000-00008F010000}"/>
    <cellStyle name="40% - Accent1 25" xfId="400" xr:uid="{00000000-0005-0000-0000-000090010000}"/>
    <cellStyle name="40% - Accent1 26" xfId="401" xr:uid="{00000000-0005-0000-0000-000091010000}"/>
    <cellStyle name="40% - Accent1 27" xfId="402" xr:uid="{00000000-0005-0000-0000-000092010000}"/>
    <cellStyle name="40% - Accent1 28" xfId="403" xr:uid="{00000000-0005-0000-0000-000093010000}"/>
    <cellStyle name="40% - Accent1 29" xfId="404" xr:uid="{00000000-0005-0000-0000-000094010000}"/>
    <cellStyle name="40% - Accent1 3" xfId="405" xr:uid="{00000000-0005-0000-0000-000095010000}"/>
    <cellStyle name="40% - Accent1 30" xfId="406" xr:uid="{00000000-0005-0000-0000-000096010000}"/>
    <cellStyle name="40% - Accent1 31" xfId="407" xr:uid="{00000000-0005-0000-0000-000097010000}"/>
    <cellStyle name="40% - Accent1 32" xfId="408" xr:uid="{00000000-0005-0000-0000-000098010000}"/>
    <cellStyle name="40% - Accent1 33" xfId="409" xr:uid="{00000000-0005-0000-0000-000099010000}"/>
    <cellStyle name="40% - Accent1 34" xfId="410" xr:uid="{00000000-0005-0000-0000-00009A010000}"/>
    <cellStyle name="40% - Accent1 35" xfId="411" xr:uid="{00000000-0005-0000-0000-00009B010000}"/>
    <cellStyle name="40% - Accent1 36" xfId="412" xr:uid="{00000000-0005-0000-0000-00009C010000}"/>
    <cellStyle name="40% - Accent1 37" xfId="413" xr:uid="{00000000-0005-0000-0000-00009D010000}"/>
    <cellStyle name="40% - Accent1 38" xfId="414" xr:uid="{00000000-0005-0000-0000-00009E010000}"/>
    <cellStyle name="40% - Accent1 39" xfId="415" xr:uid="{00000000-0005-0000-0000-00009F010000}"/>
    <cellStyle name="40% - Accent1 4" xfId="416" xr:uid="{00000000-0005-0000-0000-0000A0010000}"/>
    <cellStyle name="40% - Accent1 40" xfId="417" xr:uid="{00000000-0005-0000-0000-0000A1010000}"/>
    <cellStyle name="40% - Accent1 41" xfId="418" xr:uid="{00000000-0005-0000-0000-0000A2010000}"/>
    <cellStyle name="40% - Accent1 42" xfId="419" xr:uid="{00000000-0005-0000-0000-0000A3010000}"/>
    <cellStyle name="40% - Accent1 43" xfId="420" xr:uid="{00000000-0005-0000-0000-0000A4010000}"/>
    <cellStyle name="40% - Accent1 44" xfId="421" xr:uid="{00000000-0005-0000-0000-0000A5010000}"/>
    <cellStyle name="40% - Accent1 45" xfId="422" xr:uid="{00000000-0005-0000-0000-0000A6010000}"/>
    <cellStyle name="40% - Accent1 46" xfId="423" xr:uid="{00000000-0005-0000-0000-0000A7010000}"/>
    <cellStyle name="40% - Accent1 47" xfId="424" xr:uid="{00000000-0005-0000-0000-0000A8010000}"/>
    <cellStyle name="40% - Accent1 48" xfId="425" xr:uid="{00000000-0005-0000-0000-0000A9010000}"/>
    <cellStyle name="40% - Accent1 49" xfId="426" xr:uid="{00000000-0005-0000-0000-0000AA010000}"/>
    <cellStyle name="40% - Accent1 5" xfId="427" xr:uid="{00000000-0005-0000-0000-0000AB010000}"/>
    <cellStyle name="40% - Accent1 50" xfId="428" xr:uid="{00000000-0005-0000-0000-0000AC010000}"/>
    <cellStyle name="40% - Accent1 51" xfId="429" xr:uid="{00000000-0005-0000-0000-0000AD010000}"/>
    <cellStyle name="40% - Accent1 52" xfId="430" xr:uid="{00000000-0005-0000-0000-0000AE010000}"/>
    <cellStyle name="40% - Accent1 53" xfId="431" xr:uid="{00000000-0005-0000-0000-0000AF010000}"/>
    <cellStyle name="40% - Accent1 54" xfId="432" xr:uid="{00000000-0005-0000-0000-0000B0010000}"/>
    <cellStyle name="40% - Accent1 55" xfId="433" xr:uid="{00000000-0005-0000-0000-0000B1010000}"/>
    <cellStyle name="40% - Accent1 56" xfId="434" xr:uid="{00000000-0005-0000-0000-0000B2010000}"/>
    <cellStyle name="40% - Accent1 57" xfId="435" xr:uid="{00000000-0005-0000-0000-0000B3010000}"/>
    <cellStyle name="40% - Accent1 58" xfId="436" xr:uid="{00000000-0005-0000-0000-0000B4010000}"/>
    <cellStyle name="40% - Accent1 59" xfId="437" xr:uid="{00000000-0005-0000-0000-0000B5010000}"/>
    <cellStyle name="40% - Accent1 6" xfId="438" xr:uid="{00000000-0005-0000-0000-0000B6010000}"/>
    <cellStyle name="40% - Accent1 60" xfId="439" xr:uid="{00000000-0005-0000-0000-0000B7010000}"/>
    <cellStyle name="40% - Accent1 61" xfId="440" xr:uid="{00000000-0005-0000-0000-0000B8010000}"/>
    <cellStyle name="40% - Accent1 62" xfId="441" xr:uid="{00000000-0005-0000-0000-0000B9010000}"/>
    <cellStyle name="40% - Accent1 63" xfId="442" xr:uid="{00000000-0005-0000-0000-0000BA010000}"/>
    <cellStyle name="40% - Accent1 7" xfId="443" xr:uid="{00000000-0005-0000-0000-0000BB010000}"/>
    <cellStyle name="40% - Accent1 8" xfId="444" xr:uid="{00000000-0005-0000-0000-0000BC010000}"/>
    <cellStyle name="40% - Accent1 9" xfId="445" xr:uid="{00000000-0005-0000-0000-0000BD010000}"/>
    <cellStyle name="40% - Accent2 1" xfId="446" xr:uid="{00000000-0005-0000-0000-0000BE010000}"/>
    <cellStyle name="40% - Accent2 10" xfId="447" xr:uid="{00000000-0005-0000-0000-0000BF010000}"/>
    <cellStyle name="40% - Accent2 11" xfId="448" xr:uid="{00000000-0005-0000-0000-0000C0010000}"/>
    <cellStyle name="40% - Accent2 12" xfId="449" xr:uid="{00000000-0005-0000-0000-0000C1010000}"/>
    <cellStyle name="40% - Accent2 13" xfId="450" xr:uid="{00000000-0005-0000-0000-0000C2010000}"/>
    <cellStyle name="40% - Accent2 14" xfId="451" xr:uid="{00000000-0005-0000-0000-0000C3010000}"/>
    <cellStyle name="40% - Accent2 15" xfId="452" xr:uid="{00000000-0005-0000-0000-0000C4010000}"/>
    <cellStyle name="40% - Accent2 16" xfId="453" xr:uid="{00000000-0005-0000-0000-0000C5010000}"/>
    <cellStyle name="40% - Accent2 17" xfId="454" xr:uid="{00000000-0005-0000-0000-0000C6010000}"/>
    <cellStyle name="40% - Accent2 18" xfId="455" xr:uid="{00000000-0005-0000-0000-0000C7010000}"/>
    <cellStyle name="40% - Accent2 19" xfId="456" xr:uid="{00000000-0005-0000-0000-0000C8010000}"/>
    <cellStyle name="40% - Accent2 2" xfId="457" xr:uid="{00000000-0005-0000-0000-0000C9010000}"/>
    <cellStyle name="40% - Accent2 20" xfId="458" xr:uid="{00000000-0005-0000-0000-0000CA010000}"/>
    <cellStyle name="40% - Accent2 21" xfId="459" xr:uid="{00000000-0005-0000-0000-0000CB010000}"/>
    <cellStyle name="40% - Accent2 22" xfId="460" xr:uid="{00000000-0005-0000-0000-0000CC010000}"/>
    <cellStyle name="40% - Accent2 23" xfId="461" xr:uid="{00000000-0005-0000-0000-0000CD010000}"/>
    <cellStyle name="40% - Accent2 24" xfId="462" xr:uid="{00000000-0005-0000-0000-0000CE010000}"/>
    <cellStyle name="40% - Accent2 25" xfId="463" xr:uid="{00000000-0005-0000-0000-0000CF010000}"/>
    <cellStyle name="40% - Accent2 26" xfId="464" xr:uid="{00000000-0005-0000-0000-0000D0010000}"/>
    <cellStyle name="40% - Accent2 27" xfId="465" xr:uid="{00000000-0005-0000-0000-0000D1010000}"/>
    <cellStyle name="40% - Accent2 28" xfId="466" xr:uid="{00000000-0005-0000-0000-0000D2010000}"/>
    <cellStyle name="40% - Accent2 29" xfId="467" xr:uid="{00000000-0005-0000-0000-0000D3010000}"/>
    <cellStyle name="40% - Accent2 3" xfId="468" xr:uid="{00000000-0005-0000-0000-0000D4010000}"/>
    <cellStyle name="40% - Accent2 30" xfId="469" xr:uid="{00000000-0005-0000-0000-0000D5010000}"/>
    <cellStyle name="40% - Accent2 31" xfId="470" xr:uid="{00000000-0005-0000-0000-0000D6010000}"/>
    <cellStyle name="40% - Accent2 32" xfId="471" xr:uid="{00000000-0005-0000-0000-0000D7010000}"/>
    <cellStyle name="40% - Accent2 33" xfId="472" xr:uid="{00000000-0005-0000-0000-0000D8010000}"/>
    <cellStyle name="40% - Accent2 34" xfId="473" xr:uid="{00000000-0005-0000-0000-0000D9010000}"/>
    <cellStyle name="40% - Accent2 35" xfId="474" xr:uid="{00000000-0005-0000-0000-0000DA010000}"/>
    <cellStyle name="40% - Accent2 36" xfId="475" xr:uid="{00000000-0005-0000-0000-0000DB010000}"/>
    <cellStyle name="40% - Accent2 37" xfId="476" xr:uid="{00000000-0005-0000-0000-0000DC010000}"/>
    <cellStyle name="40% - Accent2 38" xfId="477" xr:uid="{00000000-0005-0000-0000-0000DD010000}"/>
    <cellStyle name="40% - Accent2 39" xfId="478" xr:uid="{00000000-0005-0000-0000-0000DE010000}"/>
    <cellStyle name="40% - Accent2 4" xfId="479" xr:uid="{00000000-0005-0000-0000-0000DF010000}"/>
    <cellStyle name="40% - Accent2 40" xfId="480" xr:uid="{00000000-0005-0000-0000-0000E0010000}"/>
    <cellStyle name="40% - Accent2 41" xfId="481" xr:uid="{00000000-0005-0000-0000-0000E1010000}"/>
    <cellStyle name="40% - Accent2 42" xfId="482" xr:uid="{00000000-0005-0000-0000-0000E2010000}"/>
    <cellStyle name="40% - Accent2 43" xfId="483" xr:uid="{00000000-0005-0000-0000-0000E3010000}"/>
    <cellStyle name="40% - Accent2 44" xfId="484" xr:uid="{00000000-0005-0000-0000-0000E4010000}"/>
    <cellStyle name="40% - Accent2 45" xfId="485" xr:uid="{00000000-0005-0000-0000-0000E5010000}"/>
    <cellStyle name="40% - Accent2 46" xfId="486" xr:uid="{00000000-0005-0000-0000-0000E6010000}"/>
    <cellStyle name="40% - Accent2 47" xfId="487" xr:uid="{00000000-0005-0000-0000-0000E7010000}"/>
    <cellStyle name="40% - Accent2 48" xfId="488" xr:uid="{00000000-0005-0000-0000-0000E8010000}"/>
    <cellStyle name="40% - Accent2 49" xfId="489" xr:uid="{00000000-0005-0000-0000-0000E9010000}"/>
    <cellStyle name="40% - Accent2 5" xfId="490" xr:uid="{00000000-0005-0000-0000-0000EA010000}"/>
    <cellStyle name="40% - Accent2 50" xfId="491" xr:uid="{00000000-0005-0000-0000-0000EB010000}"/>
    <cellStyle name="40% - Accent2 51" xfId="492" xr:uid="{00000000-0005-0000-0000-0000EC010000}"/>
    <cellStyle name="40% - Accent2 52" xfId="493" xr:uid="{00000000-0005-0000-0000-0000ED010000}"/>
    <cellStyle name="40% - Accent2 53" xfId="494" xr:uid="{00000000-0005-0000-0000-0000EE010000}"/>
    <cellStyle name="40% - Accent2 54" xfId="495" xr:uid="{00000000-0005-0000-0000-0000EF010000}"/>
    <cellStyle name="40% - Accent2 55" xfId="496" xr:uid="{00000000-0005-0000-0000-0000F0010000}"/>
    <cellStyle name="40% - Accent2 56" xfId="497" xr:uid="{00000000-0005-0000-0000-0000F1010000}"/>
    <cellStyle name="40% - Accent2 57" xfId="498" xr:uid="{00000000-0005-0000-0000-0000F2010000}"/>
    <cellStyle name="40% - Accent2 58" xfId="499" xr:uid="{00000000-0005-0000-0000-0000F3010000}"/>
    <cellStyle name="40% - Accent2 59" xfId="500" xr:uid="{00000000-0005-0000-0000-0000F4010000}"/>
    <cellStyle name="40% - Accent2 6" xfId="501" xr:uid="{00000000-0005-0000-0000-0000F5010000}"/>
    <cellStyle name="40% - Accent2 60" xfId="502" xr:uid="{00000000-0005-0000-0000-0000F6010000}"/>
    <cellStyle name="40% - Accent2 61" xfId="503" xr:uid="{00000000-0005-0000-0000-0000F7010000}"/>
    <cellStyle name="40% - Accent2 62" xfId="504" xr:uid="{00000000-0005-0000-0000-0000F8010000}"/>
    <cellStyle name="40% - Accent2 63" xfId="505" xr:uid="{00000000-0005-0000-0000-0000F9010000}"/>
    <cellStyle name="40% - Accent2 7" xfId="506" xr:uid="{00000000-0005-0000-0000-0000FA010000}"/>
    <cellStyle name="40% - Accent2 8" xfId="507" xr:uid="{00000000-0005-0000-0000-0000FB010000}"/>
    <cellStyle name="40% - Accent2 9" xfId="508" xr:uid="{00000000-0005-0000-0000-0000FC010000}"/>
    <cellStyle name="40% - Accent3 1" xfId="509" xr:uid="{00000000-0005-0000-0000-0000FD010000}"/>
    <cellStyle name="40% - Accent3 10" xfId="510" xr:uid="{00000000-0005-0000-0000-0000FE010000}"/>
    <cellStyle name="40% - Accent3 11" xfId="511" xr:uid="{00000000-0005-0000-0000-0000FF010000}"/>
    <cellStyle name="40% - Accent3 12" xfId="512" xr:uid="{00000000-0005-0000-0000-000000020000}"/>
    <cellStyle name="40% - Accent3 13" xfId="513" xr:uid="{00000000-0005-0000-0000-000001020000}"/>
    <cellStyle name="40% - Accent3 14" xfId="514" xr:uid="{00000000-0005-0000-0000-000002020000}"/>
    <cellStyle name="40% - Accent3 15" xfId="515" xr:uid="{00000000-0005-0000-0000-000003020000}"/>
    <cellStyle name="40% - Accent3 16" xfId="516" xr:uid="{00000000-0005-0000-0000-000004020000}"/>
    <cellStyle name="40% - Accent3 17" xfId="517" xr:uid="{00000000-0005-0000-0000-000005020000}"/>
    <cellStyle name="40% - Accent3 18" xfId="518" xr:uid="{00000000-0005-0000-0000-000006020000}"/>
    <cellStyle name="40% - Accent3 19" xfId="519" xr:uid="{00000000-0005-0000-0000-000007020000}"/>
    <cellStyle name="40% - Accent3 2" xfId="520" xr:uid="{00000000-0005-0000-0000-000008020000}"/>
    <cellStyle name="40% - Accent3 20" xfId="521" xr:uid="{00000000-0005-0000-0000-000009020000}"/>
    <cellStyle name="40% - Accent3 21" xfId="522" xr:uid="{00000000-0005-0000-0000-00000A020000}"/>
    <cellStyle name="40% - Accent3 22" xfId="523" xr:uid="{00000000-0005-0000-0000-00000B020000}"/>
    <cellStyle name="40% - Accent3 23" xfId="524" xr:uid="{00000000-0005-0000-0000-00000C020000}"/>
    <cellStyle name="40% - Accent3 24" xfId="525" xr:uid="{00000000-0005-0000-0000-00000D020000}"/>
    <cellStyle name="40% - Accent3 25" xfId="526" xr:uid="{00000000-0005-0000-0000-00000E020000}"/>
    <cellStyle name="40% - Accent3 26" xfId="527" xr:uid="{00000000-0005-0000-0000-00000F020000}"/>
    <cellStyle name="40% - Accent3 27" xfId="528" xr:uid="{00000000-0005-0000-0000-000010020000}"/>
    <cellStyle name="40% - Accent3 28" xfId="529" xr:uid="{00000000-0005-0000-0000-000011020000}"/>
    <cellStyle name="40% - Accent3 29" xfId="530" xr:uid="{00000000-0005-0000-0000-000012020000}"/>
    <cellStyle name="40% - Accent3 3" xfId="531" xr:uid="{00000000-0005-0000-0000-000013020000}"/>
    <cellStyle name="40% - Accent3 30" xfId="532" xr:uid="{00000000-0005-0000-0000-000014020000}"/>
    <cellStyle name="40% - Accent3 31" xfId="533" xr:uid="{00000000-0005-0000-0000-000015020000}"/>
    <cellStyle name="40% - Accent3 32" xfId="534" xr:uid="{00000000-0005-0000-0000-000016020000}"/>
    <cellStyle name="40% - Accent3 33" xfId="535" xr:uid="{00000000-0005-0000-0000-000017020000}"/>
    <cellStyle name="40% - Accent3 34" xfId="536" xr:uid="{00000000-0005-0000-0000-000018020000}"/>
    <cellStyle name="40% - Accent3 35" xfId="537" xr:uid="{00000000-0005-0000-0000-000019020000}"/>
    <cellStyle name="40% - Accent3 36" xfId="538" xr:uid="{00000000-0005-0000-0000-00001A020000}"/>
    <cellStyle name="40% - Accent3 37" xfId="539" xr:uid="{00000000-0005-0000-0000-00001B020000}"/>
    <cellStyle name="40% - Accent3 38" xfId="540" xr:uid="{00000000-0005-0000-0000-00001C020000}"/>
    <cellStyle name="40% - Accent3 39" xfId="541" xr:uid="{00000000-0005-0000-0000-00001D020000}"/>
    <cellStyle name="40% - Accent3 4" xfId="542" xr:uid="{00000000-0005-0000-0000-00001E020000}"/>
    <cellStyle name="40% - Accent3 40" xfId="543" xr:uid="{00000000-0005-0000-0000-00001F020000}"/>
    <cellStyle name="40% - Accent3 41" xfId="544" xr:uid="{00000000-0005-0000-0000-000020020000}"/>
    <cellStyle name="40% - Accent3 42" xfId="545" xr:uid="{00000000-0005-0000-0000-000021020000}"/>
    <cellStyle name="40% - Accent3 43" xfId="546" xr:uid="{00000000-0005-0000-0000-000022020000}"/>
    <cellStyle name="40% - Accent3 44" xfId="547" xr:uid="{00000000-0005-0000-0000-000023020000}"/>
    <cellStyle name="40% - Accent3 45" xfId="548" xr:uid="{00000000-0005-0000-0000-000024020000}"/>
    <cellStyle name="40% - Accent3 46" xfId="549" xr:uid="{00000000-0005-0000-0000-000025020000}"/>
    <cellStyle name="40% - Accent3 47" xfId="550" xr:uid="{00000000-0005-0000-0000-000026020000}"/>
    <cellStyle name="40% - Accent3 48" xfId="551" xr:uid="{00000000-0005-0000-0000-000027020000}"/>
    <cellStyle name="40% - Accent3 49" xfId="552" xr:uid="{00000000-0005-0000-0000-000028020000}"/>
    <cellStyle name="40% - Accent3 5" xfId="553" xr:uid="{00000000-0005-0000-0000-000029020000}"/>
    <cellStyle name="40% - Accent3 50" xfId="554" xr:uid="{00000000-0005-0000-0000-00002A020000}"/>
    <cellStyle name="40% - Accent3 51" xfId="555" xr:uid="{00000000-0005-0000-0000-00002B020000}"/>
    <cellStyle name="40% - Accent3 52" xfId="556" xr:uid="{00000000-0005-0000-0000-00002C020000}"/>
    <cellStyle name="40% - Accent3 53" xfId="557" xr:uid="{00000000-0005-0000-0000-00002D020000}"/>
    <cellStyle name="40% - Accent3 54" xfId="558" xr:uid="{00000000-0005-0000-0000-00002E020000}"/>
    <cellStyle name="40% - Accent3 55" xfId="559" xr:uid="{00000000-0005-0000-0000-00002F020000}"/>
    <cellStyle name="40% - Accent3 56" xfId="560" xr:uid="{00000000-0005-0000-0000-000030020000}"/>
    <cellStyle name="40% - Accent3 57" xfId="561" xr:uid="{00000000-0005-0000-0000-000031020000}"/>
    <cellStyle name="40% - Accent3 58" xfId="562" xr:uid="{00000000-0005-0000-0000-000032020000}"/>
    <cellStyle name="40% - Accent3 59" xfId="563" xr:uid="{00000000-0005-0000-0000-000033020000}"/>
    <cellStyle name="40% - Accent3 6" xfId="564" xr:uid="{00000000-0005-0000-0000-000034020000}"/>
    <cellStyle name="40% - Accent3 60" xfId="565" xr:uid="{00000000-0005-0000-0000-000035020000}"/>
    <cellStyle name="40% - Accent3 61" xfId="566" xr:uid="{00000000-0005-0000-0000-000036020000}"/>
    <cellStyle name="40% - Accent3 62" xfId="567" xr:uid="{00000000-0005-0000-0000-000037020000}"/>
    <cellStyle name="40% - Accent3 63" xfId="568" xr:uid="{00000000-0005-0000-0000-000038020000}"/>
    <cellStyle name="40% - Accent3 7" xfId="569" xr:uid="{00000000-0005-0000-0000-000039020000}"/>
    <cellStyle name="40% - Accent3 8" xfId="570" xr:uid="{00000000-0005-0000-0000-00003A020000}"/>
    <cellStyle name="40% - Accent3 9" xfId="571" xr:uid="{00000000-0005-0000-0000-00003B020000}"/>
    <cellStyle name="40% - Accent4 1" xfId="572" xr:uid="{00000000-0005-0000-0000-00003C020000}"/>
    <cellStyle name="40% - Accent4 10" xfId="573" xr:uid="{00000000-0005-0000-0000-00003D020000}"/>
    <cellStyle name="40% - Accent4 11" xfId="574" xr:uid="{00000000-0005-0000-0000-00003E020000}"/>
    <cellStyle name="40% - Accent4 12" xfId="575" xr:uid="{00000000-0005-0000-0000-00003F020000}"/>
    <cellStyle name="40% - Accent4 13" xfId="576" xr:uid="{00000000-0005-0000-0000-000040020000}"/>
    <cellStyle name="40% - Accent4 14" xfId="577" xr:uid="{00000000-0005-0000-0000-000041020000}"/>
    <cellStyle name="40% - Accent4 15" xfId="578" xr:uid="{00000000-0005-0000-0000-000042020000}"/>
    <cellStyle name="40% - Accent4 16" xfId="579" xr:uid="{00000000-0005-0000-0000-000043020000}"/>
    <cellStyle name="40% - Accent4 17" xfId="580" xr:uid="{00000000-0005-0000-0000-000044020000}"/>
    <cellStyle name="40% - Accent4 18" xfId="581" xr:uid="{00000000-0005-0000-0000-000045020000}"/>
    <cellStyle name="40% - Accent4 19" xfId="582" xr:uid="{00000000-0005-0000-0000-000046020000}"/>
    <cellStyle name="40% - Accent4 2" xfId="583" xr:uid="{00000000-0005-0000-0000-000047020000}"/>
    <cellStyle name="40% - Accent4 20" xfId="584" xr:uid="{00000000-0005-0000-0000-000048020000}"/>
    <cellStyle name="40% - Accent4 21" xfId="585" xr:uid="{00000000-0005-0000-0000-000049020000}"/>
    <cellStyle name="40% - Accent4 22" xfId="586" xr:uid="{00000000-0005-0000-0000-00004A020000}"/>
    <cellStyle name="40% - Accent4 23" xfId="587" xr:uid="{00000000-0005-0000-0000-00004B020000}"/>
    <cellStyle name="40% - Accent4 24" xfId="588" xr:uid="{00000000-0005-0000-0000-00004C020000}"/>
    <cellStyle name="40% - Accent4 25" xfId="589" xr:uid="{00000000-0005-0000-0000-00004D020000}"/>
    <cellStyle name="40% - Accent4 26" xfId="590" xr:uid="{00000000-0005-0000-0000-00004E020000}"/>
    <cellStyle name="40% - Accent4 27" xfId="591" xr:uid="{00000000-0005-0000-0000-00004F020000}"/>
    <cellStyle name="40% - Accent4 28" xfId="592" xr:uid="{00000000-0005-0000-0000-000050020000}"/>
    <cellStyle name="40% - Accent4 29" xfId="593" xr:uid="{00000000-0005-0000-0000-000051020000}"/>
    <cellStyle name="40% - Accent4 3" xfId="594" xr:uid="{00000000-0005-0000-0000-000052020000}"/>
    <cellStyle name="40% - Accent4 30" xfId="595" xr:uid="{00000000-0005-0000-0000-000053020000}"/>
    <cellStyle name="40% - Accent4 31" xfId="596" xr:uid="{00000000-0005-0000-0000-000054020000}"/>
    <cellStyle name="40% - Accent4 32" xfId="597" xr:uid="{00000000-0005-0000-0000-000055020000}"/>
    <cellStyle name="40% - Accent4 33" xfId="598" xr:uid="{00000000-0005-0000-0000-000056020000}"/>
    <cellStyle name="40% - Accent4 34" xfId="599" xr:uid="{00000000-0005-0000-0000-000057020000}"/>
    <cellStyle name="40% - Accent4 35" xfId="600" xr:uid="{00000000-0005-0000-0000-000058020000}"/>
    <cellStyle name="40% - Accent4 36" xfId="601" xr:uid="{00000000-0005-0000-0000-000059020000}"/>
    <cellStyle name="40% - Accent4 37" xfId="602" xr:uid="{00000000-0005-0000-0000-00005A020000}"/>
    <cellStyle name="40% - Accent4 38" xfId="603" xr:uid="{00000000-0005-0000-0000-00005B020000}"/>
    <cellStyle name="40% - Accent4 39" xfId="604" xr:uid="{00000000-0005-0000-0000-00005C020000}"/>
    <cellStyle name="40% - Accent4 4" xfId="605" xr:uid="{00000000-0005-0000-0000-00005D020000}"/>
    <cellStyle name="40% - Accent4 40" xfId="606" xr:uid="{00000000-0005-0000-0000-00005E020000}"/>
    <cellStyle name="40% - Accent4 41" xfId="607" xr:uid="{00000000-0005-0000-0000-00005F020000}"/>
    <cellStyle name="40% - Accent4 42" xfId="608" xr:uid="{00000000-0005-0000-0000-000060020000}"/>
    <cellStyle name="40% - Accent4 43" xfId="609" xr:uid="{00000000-0005-0000-0000-000061020000}"/>
    <cellStyle name="40% - Accent4 44" xfId="610" xr:uid="{00000000-0005-0000-0000-000062020000}"/>
    <cellStyle name="40% - Accent4 45" xfId="611" xr:uid="{00000000-0005-0000-0000-000063020000}"/>
    <cellStyle name="40% - Accent4 46" xfId="612" xr:uid="{00000000-0005-0000-0000-000064020000}"/>
    <cellStyle name="40% - Accent4 47" xfId="613" xr:uid="{00000000-0005-0000-0000-000065020000}"/>
    <cellStyle name="40% - Accent4 48" xfId="614" xr:uid="{00000000-0005-0000-0000-000066020000}"/>
    <cellStyle name="40% - Accent4 49" xfId="615" xr:uid="{00000000-0005-0000-0000-000067020000}"/>
    <cellStyle name="40% - Accent4 5" xfId="616" xr:uid="{00000000-0005-0000-0000-000068020000}"/>
    <cellStyle name="40% - Accent4 50" xfId="617" xr:uid="{00000000-0005-0000-0000-000069020000}"/>
    <cellStyle name="40% - Accent4 51" xfId="618" xr:uid="{00000000-0005-0000-0000-00006A020000}"/>
    <cellStyle name="40% - Accent4 52" xfId="619" xr:uid="{00000000-0005-0000-0000-00006B020000}"/>
    <cellStyle name="40% - Accent4 53" xfId="620" xr:uid="{00000000-0005-0000-0000-00006C020000}"/>
    <cellStyle name="40% - Accent4 54" xfId="621" xr:uid="{00000000-0005-0000-0000-00006D020000}"/>
    <cellStyle name="40% - Accent4 55" xfId="622" xr:uid="{00000000-0005-0000-0000-00006E020000}"/>
    <cellStyle name="40% - Accent4 56" xfId="623" xr:uid="{00000000-0005-0000-0000-00006F020000}"/>
    <cellStyle name="40% - Accent4 57" xfId="624" xr:uid="{00000000-0005-0000-0000-000070020000}"/>
    <cellStyle name="40% - Accent4 58" xfId="625" xr:uid="{00000000-0005-0000-0000-000071020000}"/>
    <cellStyle name="40% - Accent4 59" xfId="626" xr:uid="{00000000-0005-0000-0000-000072020000}"/>
    <cellStyle name="40% - Accent4 6" xfId="627" xr:uid="{00000000-0005-0000-0000-000073020000}"/>
    <cellStyle name="40% - Accent4 60" xfId="628" xr:uid="{00000000-0005-0000-0000-000074020000}"/>
    <cellStyle name="40% - Accent4 61" xfId="629" xr:uid="{00000000-0005-0000-0000-000075020000}"/>
    <cellStyle name="40% - Accent4 62" xfId="630" xr:uid="{00000000-0005-0000-0000-000076020000}"/>
    <cellStyle name="40% - Accent4 63" xfId="631" xr:uid="{00000000-0005-0000-0000-000077020000}"/>
    <cellStyle name="40% - Accent4 7" xfId="632" xr:uid="{00000000-0005-0000-0000-000078020000}"/>
    <cellStyle name="40% - Accent4 8" xfId="633" xr:uid="{00000000-0005-0000-0000-000079020000}"/>
    <cellStyle name="40% - Accent4 9" xfId="634" xr:uid="{00000000-0005-0000-0000-00007A020000}"/>
    <cellStyle name="40% - Accent5 1" xfId="635" xr:uid="{00000000-0005-0000-0000-00007B020000}"/>
    <cellStyle name="40% - Accent5 10" xfId="636" xr:uid="{00000000-0005-0000-0000-00007C020000}"/>
    <cellStyle name="40% - Accent5 11" xfId="637" xr:uid="{00000000-0005-0000-0000-00007D020000}"/>
    <cellStyle name="40% - Accent5 12" xfId="638" xr:uid="{00000000-0005-0000-0000-00007E020000}"/>
    <cellStyle name="40% - Accent5 13" xfId="639" xr:uid="{00000000-0005-0000-0000-00007F020000}"/>
    <cellStyle name="40% - Accent5 14" xfId="640" xr:uid="{00000000-0005-0000-0000-000080020000}"/>
    <cellStyle name="40% - Accent5 15" xfId="641" xr:uid="{00000000-0005-0000-0000-000081020000}"/>
    <cellStyle name="40% - Accent5 16" xfId="642" xr:uid="{00000000-0005-0000-0000-000082020000}"/>
    <cellStyle name="40% - Accent5 17" xfId="643" xr:uid="{00000000-0005-0000-0000-000083020000}"/>
    <cellStyle name="40% - Accent5 18" xfId="644" xr:uid="{00000000-0005-0000-0000-000084020000}"/>
    <cellStyle name="40% - Accent5 19" xfId="645" xr:uid="{00000000-0005-0000-0000-000085020000}"/>
    <cellStyle name="40% - Accent5 2" xfId="646" xr:uid="{00000000-0005-0000-0000-000086020000}"/>
    <cellStyle name="40% - Accent5 20" xfId="647" xr:uid="{00000000-0005-0000-0000-000087020000}"/>
    <cellStyle name="40% - Accent5 21" xfId="648" xr:uid="{00000000-0005-0000-0000-000088020000}"/>
    <cellStyle name="40% - Accent5 22" xfId="649" xr:uid="{00000000-0005-0000-0000-000089020000}"/>
    <cellStyle name="40% - Accent5 23" xfId="650" xr:uid="{00000000-0005-0000-0000-00008A020000}"/>
    <cellStyle name="40% - Accent5 24" xfId="651" xr:uid="{00000000-0005-0000-0000-00008B020000}"/>
    <cellStyle name="40% - Accent5 25" xfId="652" xr:uid="{00000000-0005-0000-0000-00008C020000}"/>
    <cellStyle name="40% - Accent5 26" xfId="653" xr:uid="{00000000-0005-0000-0000-00008D020000}"/>
    <cellStyle name="40% - Accent5 27" xfId="654" xr:uid="{00000000-0005-0000-0000-00008E020000}"/>
    <cellStyle name="40% - Accent5 28" xfId="655" xr:uid="{00000000-0005-0000-0000-00008F020000}"/>
    <cellStyle name="40% - Accent5 29" xfId="656" xr:uid="{00000000-0005-0000-0000-000090020000}"/>
    <cellStyle name="40% - Accent5 3" xfId="657" xr:uid="{00000000-0005-0000-0000-000091020000}"/>
    <cellStyle name="40% - Accent5 30" xfId="658" xr:uid="{00000000-0005-0000-0000-000092020000}"/>
    <cellStyle name="40% - Accent5 31" xfId="659" xr:uid="{00000000-0005-0000-0000-000093020000}"/>
    <cellStyle name="40% - Accent5 32" xfId="660" xr:uid="{00000000-0005-0000-0000-000094020000}"/>
    <cellStyle name="40% - Accent5 33" xfId="661" xr:uid="{00000000-0005-0000-0000-000095020000}"/>
    <cellStyle name="40% - Accent5 34" xfId="662" xr:uid="{00000000-0005-0000-0000-000096020000}"/>
    <cellStyle name="40% - Accent5 35" xfId="663" xr:uid="{00000000-0005-0000-0000-000097020000}"/>
    <cellStyle name="40% - Accent5 36" xfId="664" xr:uid="{00000000-0005-0000-0000-000098020000}"/>
    <cellStyle name="40% - Accent5 37" xfId="665" xr:uid="{00000000-0005-0000-0000-000099020000}"/>
    <cellStyle name="40% - Accent5 38" xfId="666" xr:uid="{00000000-0005-0000-0000-00009A020000}"/>
    <cellStyle name="40% - Accent5 39" xfId="667" xr:uid="{00000000-0005-0000-0000-00009B020000}"/>
    <cellStyle name="40% - Accent5 4" xfId="668" xr:uid="{00000000-0005-0000-0000-00009C020000}"/>
    <cellStyle name="40% - Accent5 40" xfId="669" xr:uid="{00000000-0005-0000-0000-00009D020000}"/>
    <cellStyle name="40% - Accent5 41" xfId="670" xr:uid="{00000000-0005-0000-0000-00009E020000}"/>
    <cellStyle name="40% - Accent5 42" xfId="671" xr:uid="{00000000-0005-0000-0000-00009F020000}"/>
    <cellStyle name="40% - Accent5 43" xfId="672" xr:uid="{00000000-0005-0000-0000-0000A0020000}"/>
    <cellStyle name="40% - Accent5 44" xfId="673" xr:uid="{00000000-0005-0000-0000-0000A1020000}"/>
    <cellStyle name="40% - Accent5 45" xfId="674" xr:uid="{00000000-0005-0000-0000-0000A2020000}"/>
    <cellStyle name="40% - Accent5 46" xfId="675" xr:uid="{00000000-0005-0000-0000-0000A3020000}"/>
    <cellStyle name="40% - Accent5 47" xfId="676" xr:uid="{00000000-0005-0000-0000-0000A4020000}"/>
    <cellStyle name="40% - Accent5 48" xfId="677" xr:uid="{00000000-0005-0000-0000-0000A5020000}"/>
    <cellStyle name="40% - Accent5 49" xfId="678" xr:uid="{00000000-0005-0000-0000-0000A6020000}"/>
    <cellStyle name="40% - Accent5 5" xfId="679" xr:uid="{00000000-0005-0000-0000-0000A7020000}"/>
    <cellStyle name="40% - Accent5 50" xfId="680" xr:uid="{00000000-0005-0000-0000-0000A8020000}"/>
    <cellStyle name="40% - Accent5 51" xfId="681" xr:uid="{00000000-0005-0000-0000-0000A9020000}"/>
    <cellStyle name="40% - Accent5 52" xfId="682" xr:uid="{00000000-0005-0000-0000-0000AA020000}"/>
    <cellStyle name="40% - Accent5 53" xfId="683" xr:uid="{00000000-0005-0000-0000-0000AB020000}"/>
    <cellStyle name="40% - Accent5 54" xfId="684" xr:uid="{00000000-0005-0000-0000-0000AC020000}"/>
    <cellStyle name="40% - Accent5 55" xfId="685" xr:uid="{00000000-0005-0000-0000-0000AD020000}"/>
    <cellStyle name="40% - Accent5 56" xfId="686" xr:uid="{00000000-0005-0000-0000-0000AE020000}"/>
    <cellStyle name="40% - Accent5 57" xfId="687" xr:uid="{00000000-0005-0000-0000-0000AF020000}"/>
    <cellStyle name="40% - Accent5 58" xfId="688" xr:uid="{00000000-0005-0000-0000-0000B0020000}"/>
    <cellStyle name="40% - Accent5 59" xfId="689" xr:uid="{00000000-0005-0000-0000-0000B1020000}"/>
    <cellStyle name="40% - Accent5 6" xfId="690" xr:uid="{00000000-0005-0000-0000-0000B2020000}"/>
    <cellStyle name="40% - Accent5 60" xfId="691" xr:uid="{00000000-0005-0000-0000-0000B3020000}"/>
    <cellStyle name="40% - Accent5 61" xfId="692" xr:uid="{00000000-0005-0000-0000-0000B4020000}"/>
    <cellStyle name="40% - Accent5 62" xfId="693" xr:uid="{00000000-0005-0000-0000-0000B5020000}"/>
    <cellStyle name="40% - Accent5 63" xfId="694" xr:uid="{00000000-0005-0000-0000-0000B6020000}"/>
    <cellStyle name="40% - Accent5 7" xfId="695" xr:uid="{00000000-0005-0000-0000-0000B7020000}"/>
    <cellStyle name="40% - Accent5 8" xfId="696" xr:uid="{00000000-0005-0000-0000-0000B8020000}"/>
    <cellStyle name="40% - Accent5 9" xfId="697" xr:uid="{00000000-0005-0000-0000-0000B9020000}"/>
    <cellStyle name="40% - Accent6 1" xfId="698" xr:uid="{00000000-0005-0000-0000-0000BA020000}"/>
    <cellStyle name="40% - Accent6 10" xfId="699" xr:uid="{00000000-0005-0000-0000-0000BB020000}"/>
    <cellStyle name="40% - Accent6 11" xfId="700" xr:uid="{00000000-0005-0000-0000-0000BC020000}"/>
    <cellStyle name="40% - Accent6 12" xfId="701" xr:uid="{00000000-0005-0000-0000-0000BD020000}"/>
    <cellStyle name="40% - Accent6 13" xfId="702" xr:uid="{00000000-0005-0000-0000-0000BE020000}"/>
    <cellStyle name="40% - Accent6 14" xfId="703" xr:uid="{00000000-0005-0000-0000-0000BF020000}"/>
    <cellStyle name="40% - Accent6 15" xfId="704" xr:uid="{00000000-0005-0000-0000-0000C0020000}"/>
    <cellStyle name="40% - Accent6 16" xfId="705" xr:uid="{00000000-0005-0000-0000-0000C1020000}"/>
    <cellStyle name="40% - Accent6 17" xfId="706" xr:uid="{00000000-0005-0000-0000-0000C2020000}"/>
    <cellStyle name="40% - Accent6 18" xfId="707" xr:uid="{00000000-0005-0000-0000-0000C3020000}"/>
    <cellStyle name="40% - Accent6 19" xfId="708" xr:uid="{00000000-0005-0000-0000-0000C4020000}"/>
    <cellStyle name="40% - Accent6 2" xfId="709" xr:uid="{00000000-0005-0000-0000-0000C5020000}"/>
    <cellStyle name="40% - Accent6 20" xfId="710" xr:uid="{00000000-0005-0000-0000-0000C6020000}"/>
    <cellStyle name="40% - Accent6 21" xfId="711" xr:uid="{00000000-0005-0000-0000-0000C7020000}"/>
    <cellStyle name="40% - Accent6 22" xfId="712" xr:uid="{00000000-0005-0000-0000-0000C8020000}"/>
    <cellStyle name="40% - Accent6 23" xfId="713" xr:uid="{00000000-0005-0000-0000-0000C9020000}"/>
    <cellStyle name="40% - Accent6 24" xfId="714" xr:uid="{00000000-0005-0000-0000-0000CA020000}"/>
    <cellStyle name="40% - Accent6 25" xfId="715" xr:uid="{00000000-0005-0000-0000-0000CB020000}"/>
    <cellStyle name="40% - Accent6 26" xfId="716" xr:uid="{00000000-0005-0000-0000-0000CC020000}"/>
    <cellStyle name="40% - Accent6 27" xfId="717" xr:uid="{00000000-0005-0000-0000-0000CD020000}"/>
    <cellStyle name="40% - Accent6 28" xfId="718" xr:uid="{00000000-0005-0000-0000-0000CE020000}"/>
    <cellStyle name="40% - Accent6 29" xfId="719" xr:uid="{00000000-0005-0000-0000-0000CF020000}"/>
    <cellStyle name="40% - Accent6 3" xfId="720" xr:uid="{00000000-0005-0000-0000-0000D0020000}"/>
    <cellStyle name="40% - Accent6 30" xfId="721" xr:uid="{00000000-0005-0000-0000-0000D1020000}"/>
    <cellStyle name="40% - Accent6 31" xfId="722" xr:uid="{00000000-0005-0000-0000-0000D2020000}"/>
    <cellStyle name="40% - Accent6 32" xfId="723" xr:uid="{00000000-0005-0000-0000-0000D3020000}"/>
    <cellStyle name="40% - Accent6 33" xfId="724" xr:uid="{00000000-0005-0000-0000-0000D4020000}"/>
    <cellStyle name="40% - Accent6 34" xfId="725" xr:uid="{00000000-0005-0000-0000-0000D5020000}"/>
    <cellStyle name="40% - Accent6 35" xfId="726" xr:uid="{00000000-0005-0000-0000-0000D6020000}"/>
    <cellStyle name="40% - Accent6 36" xfId="727" xr:uid="{00000000-0005-0000-0000-0000D7020000}"/>
    <cellStyle name="40% - Accent6 37" xfId="728" xr:uid="{00000000-0005-0000-0000-0000D8020000}"/>
    <cellStyle name="40% - Accent6 38" xfId="729" xr:uid="{00000000-0005-0000-0000-0000D9020000}"/>
    <cellStyle name="40% - Accent6 39" xfId="730" xr:uid="{00000000-0005-0000-0000-0000DA020000}"/>
    <cellStyle name="40% - Accent6 4" xfId="731" xr:uid="{00000000-0005-0000-0000-0000DB020000}"/>
    <cellStyle name="40% - Accent6 40" xfId="732" xr:uid="{00000000-0005-0000-0000-0000DC020000}"/>
    <cellStyle name="40% - Accent6 41" xfId="733" xr:uid="{00000000-0005-0000-0000-0000DD020000}"/>
    <cellStyle name="40% - Accent6 42" xfId="734" xr:uid="{00000000-0005-0000-0000-0000DE020000}"/>
    <cellStyle name="40% - Accent6 43" xfId="735" xr:uid="{00000000-0005-0000-0000-0000DF020000}"/>
    <cellStyle name="40% - Accent6 44" xfId="736" xr:uid="{00000000-0005-0000-0000-0000E0020000}"/>
    <cellStyle name="40% - Accent6 45" xfId="737" xr:uid="{00000000-0005-0000-0000-0000E1020000}"/>
    <cellStyle name="40% - Accent6 46" xfId="738" xr:uid="{00000000-0005-0000-0000-0000E2020000}"/>
    <cellStyle name="40% - Accent6 47" xfId="739" xr:uid="{00000000-0005-0000-0000-0000E3020000}"/>
    <cellStyle name="40% - Accent6 48" xfId="740" xr:uid="{00000000-0005-0000-0000-0000E4020000}"/>
    <cellStyle name="40% - Accent6 49" xfId="741" xr:uid="{00000000-0005-0000-0000-0000E5020000}"/>
    <cellStyle name="40% - Accent6 5" xfId="742" xr:uid="{00000000-0005-0000-0000-0000E6020000}"/>
    <cellStyle name="40% - Accent6 50" xfId="743" xr:uid="{00000000-0005-0000-0000-0000E7020000}"/>
    <cellStyle name="40% - Accent6 51" xfId="744" xr:uid="{00000000-0005-0000-0000-0000E8020000}"/>
    <cellStyle name="40% - Accent6 52" xfId="745" xr:uid="{00000000-0005-0000-0000-0000E9020000}"/>
    <cellStyle name="40% - Accent6 53" xfId="746" xr:uid="{00000000-0005-0000-0000-0000EA020000}"/>
    <cellStyle name="40% - Accent6 54" xfId="747" xr:uid="{00000000-0005-0000-0000-0000EB020000}"/>
    <cellStyle name="40% - Accent6 55" xfId="748" xr:uid="{00000000-0005-0000-0000-0000EC020000}"/>
    <cellStyle name="40% - Accent6 56" xfId="749" xr:uid="{00000000-0005-0000-0000-0000ED020000}"/>
    <cellStyle name="40% - Accent6 57" xfId="750" xr:uid="{00000000-0005-0000-0000-0000EE020000}"/>
    <cellStyle name="40% - Accent6 58" xfId="751" xr:uid="{00000000-0005-0000-0000-0000EF020000}"/>
    <cellStyle name="40% - Accent6 59" xfId="752" xr:uid="{00000000-0005-0000-0000-0000F0020000}"/>
    <cellStyle name="40% - Accent6 6" xfId="753" xr:uid="{00000000-0005-0000-0000-0000F1020000}"/>
    <cellStyle name="40% - Accent6 60" xfId="754" xr:uid="{00000000-0005-0000-0000-0000F2020000}"/>
    <cellStyle name="40% - Accent6 61" xfId="755" xr:uid="{00000000-0005-0000-0000-0000F3020000}"/>
    <cellStyle name="40% - Accent6 62" xfId="756" xr:uid="{00000000-0005-0000-0000-0000F4020000}"/>
    <cellStyle name="40% - Accent6 63" xfId="757" xr:uid="{00000000-0005-0000-0000-0000F5020000}"/>
    <cellStyle name="40% - Accent6 7" xfId="758" xr:uid="{00000000-0005-0000-0000-0000F6020000}"/>
    <cellStyle name="40% - Accent6 8" xfId="759" xr:uid="{00000000-0005-0000-0000-0000F7020000}"/>
    <cellStyle name="40% - Accent6 9" xfId="760" xr:uid="{00000000-0005-0000-0000-0000F8020000}"/>
    <cellStyle name="60% - Accent1 1" xfId="761" xr:uid="{00000000-0005-0000-0000-0000F9020000}"/>
    <cellStyle name="60% - Accent1 10" xfId="762" xr:uid="{00000000-0005-0000-0000-0000FA020000}"/>
    <cellStyle name="60% - Accent1 11" xfId="763" xr:uid="{00000000-0005-0000-0000-0000FB020000}"/>
    <cellStyle name="60% - Accent1 12" xfId="764" xr:uid="{00000000-0005-0000-0000-0000FC020000}"/>
    <cellStyle name="60% - Accent1 13" xfId="765" xr:uid="{00000000-0005-0000-0000-0000FD020000}"/>
    <cellStyle name="60% - Accent1 14" xfId="766" xr:uid="{00000000-0005-0000-0000-0000FE020000}"/>
    <cellStyle name="60% - Accent1 15" xfId="767" xr:uid="{00000000-0005-0000-0000-0000FF020000}"/>
    <cellStyle name="60% - Accent1 16" xfId="768" xr:uid="{00000000-0005-0000-0000-000000030000}"/>
    <cellStyle name="60% - Accent1 17" xfId="769" xr:uid="{00000000-0005-0000-0000-000001030000}"/>
    <cellStyle name="60% - Accent1 18" xfId="770" xr:uid="{00000000-0005-0000-0000-000002030000}"/>
    <cellStyle name="60% - Accent1 19" xfId="771" xr:uid="{00000000-0005-0000-0000-000003030000}"/>
    <cellStyle name="60% - Accent1 2" xfId="772" xr:uid="{00000000-0005-0000-0000-000004030000}"/>
    <cellStyle name="60% - Accent1 20" xfId="773" xr:uid="{00000000-0005-0000-0000-000005030000}"/>
    <cellStyle name="60% - Accent1 21" xfId="774" xr:uid="{00000000-0005-0000-0000-000006030000}"/>
    <cellStyle name="60% - Accent1 22" xfId="775" xr:uid="{00000000-0005-0000-0000-000007030000}"/>
    <cellStyle name="60% - Accent1 23" xfId="776" xr:uid="{00000000-0005-0000-0000-000008030000}"/>
    <cellStyle name="60% - Accent1 24" xfId="777" xr:uid="{00000000-0005-0000-0000-000009030000}"/>
    <cellStyle name="60% - Accent1 25" xfId="778" xr:uid="{00000000-0005-0000-0000-00000A030000}"/>
    <cellStyle name="60% - Accent1 26" xfId="779" xr:uid="{00000000-0005-0000-0000-00000B030000}"/>
    <cellStyle name="60% - Accent1 27" xfId="780" xr:uid="{00000000-0005-0000-0000-00000C030000}"/>
    <cellStyle name="60% - Accent1 28" xfId="781" xr:uid="{00000000-0005-0000-0000-00000D030000}"/>
    <cellStyle name="60% - Accent1 29" xfId="782" xr:uid="{00000000-0005-0000-0000-00000E030000}"/>
    <cellStyle name="60% - Accent1 3" xfId="783" xr:uid="{00000000-0005-0000-0000-00000F030000}"/>
    <cellStyle name="60% - Accent1 30" xfId="784" xr:uid="{00000000-0005-0000-0000-000010030000}"/>
    <cellStyle name="60% - Accent1 31" xfId="785" xr:uid="{00000000-0005-0000-0000-000011030000}"/>
    <cellStyle name="60% - Accent1 32" xfId="786" xr:uid="{00000000-0005-0000-0000-000012030000}"/>
    <cellStyle name="60% - Accent1 33" xfId="787" xr:uid="{00000000-0005-0000-0000-000013030000}"/>
    <cellStyle name="60% - Accent1 34" xfId="788" xr:uid="{00000000-0005-0000-0000-000014030000}"/>
    <cellStyle name="60% - Accent1 35" xfId="789" xr:uid="{00000000-0005-0000-0000-000015030000}"/>
    <cellStyle name="60% - Accent1 36" xfId="790" xr:uid="{00000000-0005-0000-0000-000016030000}"/>
    <cellStyle name="60% - Accent1 37" xfId="791" xr:uid="{00000000-0005-0000-0000-000017030000}"/>
    <cellStyle name="60% - Accent1 38" xfId="792" xr:uid="{00000000-0005-0000-0000-000018030000}"/>
    <cellStyle name="60% - Accent1 39" xfId="793" xr:uid="{00000000-0005-0000-0000-000019030000}"/>
    <cellStyle name="60% - Accent1 4" xfId="794" xr:uid="{00000000-0005-0000-0000-00001A030000}"/>
    <cellStyle name="60% - Accent1 40" xfId="795" xr:uid="{00000000-0005-0000-0000-00001B030000}"/>
    <cellStyle name="60% - Accent1 41" xfId="796" xr:uid="{00000000-0005-0000-0000-00001C030000}"/>
    <cellStyle name="60% - Accent1 42" xfId="797" xr:uid="{00000000-0005-0000-0000-00001D030000}"/>
    <cellStyle name="60% - Accent1 43" xfId="798" xr:uid="{00000000-0005-0000-0000-00001E030000}"/>
    <cellStyle name="60% - Accent1 44" xfId="799" xr:uid="{00000000-0005-0000-0000-00001F030000}"/>
    <cellStyle name="60% - Accent1 45" xfId="800" xr:uid="{00000000-0005-0000-0000-000020030000}"/>
    <cellStyle name="60% - Accent1 46" xfId="801" xr:uid="{00000000-0005-0000-0000-000021030000}"/>
    <cellStyle name="60% - Accent1 47" xfId="802" xr:uid="{00000000-0005-0000-0000-000022030000}"/>
    <cellStyle name="60% - Accent1 48" xfId="803" xr:uid="{00000000-0005-0000-0000-000023030000}"/>
    <cellStyle name="60% - Accent1 49" xfId="804" xr:uid="{00000000-0005-0000-0000-000024030000}"/>
    <cellStyle name="60% - Accent1 5" xfId="805" xr:uid="{00000000-0005-0000-0000-000025030000}"/>
    <cellStyle name="60% - Accent1 50" xfId="806" xr:uid="{00000000-0005-0000-0000-000026030000}"/>
    <cellStyle name="60% - Accent1 51" xfId="807" xr:uid="{00000000-0005-0000-0000-000027030000}"/>
    <cellStyle name="60% - Accent1 52" xfId="808" xr:uid="{00000000-0005-0000-0000-000028030000}"/>
    <cellStyle name="60% - Accent1 53" xfId="809" xr:uid="{00000000-0005-0000-0000-000029030000}"/>
    <cellStyle name="60% - Accent1 54" xfId="810" xr:uid="{00000000-0005-0000-0000-00002A030000}"/>
    <cellStyle name="60% - Accent1 55" xfId="811" xr:uid="{00000000-0005-0000-0000-00002B030000}"/>
    <cellStyle name="60% - Accent1 56" xfId="812" xr:uid="{00000000-0005-0000-0000-00002C030000}"/>
    <cellStyle name="60% - Accent1 57" xfId="813" xr:uid="{00000000-0005-0000-0000-00002D030000}"/>
    <cellStyle name="60% - Accent1 58" xfId="814" xr:uid="{00000000-0005-0000-0000-00002E030000}"/>
    <cellStyle name="60% - Accent1 59" xfId="815" xr:uid="{00000000-0005-0000-0000-00002F030000}"/>
    <cellStyle name="60% - Accent1 6" xfId="816" xr:uid="{00000000-0005-0000-0000-000030030000}"/>
    <cellStyle name="60% - Accent1 60" xfId="817" xr:uid="{00000000-0005-0000-0000-000031030000}"/>
    <cellStyle name="60% - Accent1 61" xfId="818" xr:uid="{00000000-0005-0000-0000-000032030000}"/>
    <cellStyle name="60% - Accent1 62" xfId="819" xr:uid="{00000000-0005-0000-0000-000033030000}"/>
    <cellStyle name="60% - Accent1 63" xfId="820" xr:uid="{00000000-0005-0000-0000-000034030000}"/>
    <cellStyle name="60% - Accent1 7" xfId="821" xr:uid="{00000000-0005-0000-0000-000035030000}"/>
    <cellStyle name="60% - Accent1 8" xfId="822" xr:uid="{00000000-0005-0000-0000-000036030000}"/>
    <cellStyle name="60% - Accent1 9" xfId="823" xr:uid="{00000000-0005-0000-0000-000037030000}"/>
    <cellStyle name="60% - Accent2 1" xfId="824" xr:uid="{00000000-0005-0000-0000-000038030000}"/>
    <cellStyle name="60% - Accent2 10" xfId="825" xr:uid="{00000000-0005-0000-0000-000039030000}"/>
    <cellStyle name="60% - Accent2 11" xfId="826" xr:uid="{00000000-0005-0000-0000-00003A030000}"/>
    <cellStyle name="60% - Accent2 12" xfId="827" xr:uid="{00000000-0005-0000-0000-00003B030000}"/>
    <cellStyle name="60% - Accent2 13" xfId="828" xr:uid="{00000000-0005-0000-0000-00003C030000}"/>
    <cellStyle name="60% - Accent2 14" xfId="829" xr:uid="{00000000-0005-0000-0000-00003D030000}"/>
    <cellStyle name="60% - Accent2 15" xfId="830" xr:uid="{00000000-0005-0000-0000-00003E030000}"/>
    <cellStyle name="60% - Accent2 16" xfId="831" xr:uid="{00000000-0005-0000-0000-00003F030000}"/>
    <cellStyle name="60% - Accent2 17" xfId="832" xr:uid="{00000000-0005-0000-0000-000040030000}"/>
    <cellStyle name="60% - Accent2 18" xfId="833" xr:uid="{00000000-0005-0000-0000-000041030000}"/>
    <cellStyle name="60% - Accent2 19" xfId="834" xr:uid="{00000000-0005-0000-0000-000042030000}"/>
    <cellStyle name="60% - Accent2 2" xfId="835" xr:uid="{00000000-0005-0000-0000-000043030000}"/>
    <cellStyle name="60% - Accent2 20" xfId="836" xr:uid="{00000000-0005-0000-0000-000044030000}"/>
    <cellStyle name="60% - Accent2 21" xfId="837" xr:uid="{00000000-0005-0000-0000-000045030000}"/>
    <cellStyle name="60% - Accent2 22" xfId="838" xr:uid="{00000000-0005-0000-0000-000046030000}"/>
    <cellStyle name="60% - Accent2 23" xfId="839" xr:uid="{00000000-0005-0000-0000-000047030000}"/>
    <cellStyle name="60% - Accent2 24" xfId="840" xr:uid="{00000000-0005-0000-0000-000048030000}"/>
    <cellStyle name="60% - Accent2 25" xfId="841" xr:uid="{00000000-0005-0000-0000-000049030000}"/>
    <cellStyle name="60% - Accent2 26" xfId="842" xr:uid="{00000000-0005-0000-0000-00004A030000}"/>
    <cellStyle name="60% - Accent2 27" xfId="843" xr:uid="{00000000-0005-0000-0000-00004B030000}"/>
    <cellStyle name="60% - Accent2 28" xfId="844" xr:uid="{00000000-0005-0000-0000-00004C030000}"/>
    <cellStyle name="60% - Accent2 29" xfId="845" xr:uid="{00000000-0005-0000-0000-00004D030000}"/>
    <cellStyle name="60% - Accent2 3" xfId="846" xr:uid="{00000000-0005-0000-0000-00004E030000}"/>
    <cellStyle name="60% - Accent2 30" xfId="847" xr:uid="{00000000-0005-0000-0000-00004F030000}"/>
    <cellStyle name="60% - Accent2 31" xfId="848" xr:uid="{00000000-0005-0000-0000-000050030000}"/>
    <cellStyle name="60% - Accent2 32" xfId="849" xr:uid="{00000000-0005-0000-0000-000051030000}"/>
    <cellStyle name="60% - Accent2 33" xfId="850" xr:uid="{00000000-0005-0000-0000-000052030000}"/>
    <cellStyle name="60% - Accent2 34" xfId="851" xr:uid="{00000000-0005-0000-0000-000053030000}"/>
    <cellStyle name="60% - Accent2 35" xfId="852" xr:uid="{00000000-0005-0000-0000-000054030000}"/>
    <cellStyle name="60% - Accent2 36" xfId="853" xr:uid="{00000000-0005-0000-0000-000055030000}"/>
    <cellStyle name="60% - Accent2 37" xfId="854" xr:uid="{00000000-0005-0000-0000-000056030000}"/>
    <cellStyle name="60% - Accent2 38" xfId="855" xr:uid="{00000000-0005-0000-0000-000057030000}"/>
    <cellStyle name="60% - Accent2 39" xfId="856" xr:uid="{00000000-0005-0000-0000-000058030000}"/>
    <cellStyle name="60% - Accent2 4" xfId="857" xr:uid="{00000000-0005-0000-0000-000059030000}"/>
    <cellStyle name="60% - Accent2 40" xfId="858" xr:uid="{00000000-0005-0000-0000-00005A030000}"/>
    <cellStyle name="60% - Accent2 41" xfId="859" xr:uid="{00000000-0005-0000-0000-00005B030000}"/>
    <cellStyle name="60% - Accent2 42" xfId="860" xr:uid="{00000000-0005-0000-0000-00005C030000}"/>
    <cellStyle name="60% - Accent2 43" xfId="861" xr:uid="{00000000-0005-0000-0000-00005D030000}"/>
    <cellStyle name="60% - Accent2 44" xfId="862" xr:uid="{00000000-0005-0000-0000-00005E030000}"/>
    <cellStyle name="60% - Accent2 45" xfId="863" xr:uid="{00000000-0005-0000-0000-00005F030000}"/>
    <cellStyle name="60% - Accent2 46" xfId="864" xr:uid="{00000000-0005-0000-0000-000060030000}"/>
    <cellStyle name="60% - Accent2 47" xfId="865" xr:uid="{00000000-0005-0000-0000-000061030000}"/>
    <cellStyle name="60% - Accent2 48" xfId="866" xr:uid="{00000000-0005-0000-0000-000062030000}"/>
    <cellStyle name="60% - Accent2 49" xfId="867" xr:uid="{00000000-0005-0000-0000-000063030000}"/>
    <cellStyle name="60% - Accent2 5" xfId="868" xr:uid="{00000000-0005-0000-0000-000064030000}"/>
    <cellStyle name="60% - Accent2 50" xfId="869" xr:uid="{00000000-0005-0000-0000-000065030000}"/>
    <cellStyle name="60% - Accent2 51" xfId="870" xr:uid="{00000000-0005-0000-0000-000066030000}"/>
    <cellStyle name="60% - Accent2 52" xfId="871" xr:uid="{00000000-0005-0000-0000-000067030000}"/>
    <cellStyle name="60% - Accent2 53" xfId="872" xr:uid="{00000000-0005-0000-0000-000068030000}"/>
    <cellStyle name="60% - Accent2 54" xfId="873" xr:uid="{00000000-0005-0000-0000-000069030000}"/>
    <cellStyle name="60% - Accent2 55" xfId="874" xr:uid="{00000000-0005-0000-0000-00006A030000}"/>
    <cellStyle name="60% - Accent2 56" xfId="875" xr:uid="{00000000-0005-0000-0000-00006B030000}"/>
    <cellStyle name="60% - Accent2 57" xfId="876" xr:uid="{00000000-0005-0000-0000-00006C030000}"/>
    <cellStyle name="60% - Accent2 58" xfId="877" xr:uid="{00000000-0005-0000-0000-00006D030000}"/>
    <cellStyle name="60% - Accent2 59" xfId="878" xr:uid="{00000000-0005-0000-0000-00006E030000}"/>
    <cellStyle name="60% - Accent2 6" xfId="879" xr:uid="{00000000-0005-0000-0000-00006F030000}"/>
    <cellStyle name="60% - Accent2 60" xfId="880" xr:uid="{00000000-0005-0000-0000-000070030000}"/>
    <cellStyle name="60% - Accent2 61" xfId="881" xr:uid="{00000000-0005-0000-0000-000071030000}"/>
    <cellStyle name="60% - Accent2 62" xfId="882" xr:uid="{00000000-0005-0000-0000-000072030000}"/>
    <cellStyle name="60% - Accent2 63" xfId="883" xr:uid="{00000000-0005-0000-0000-000073030000}"/>
    <cellStyle name="60% - Accent2 7" xfId="884" xr:uid="{00000000-0005-0000-0000-000074030000}"/>
    <cellStyle name="60% - Accent2 8" xfId="885" xr:uid="{00000000-0005-0000-0000-000075030000}"/>
    <cellStyle name="60% - Accent2 9" xfId="886" xr:uid="{00000000-0005-0000-0000-000076030000}"/>
    <cellStyle name="60% - Accent3 1" xfId="887" xr:uid="{00000000-0005-0000-0000-000077030000}"/>
    <cellStyle name="60% - Accent3 10" xfId="888" xr:uid="{00000000-0005-0000-0000-000078030000}"/>
    <cellStyle name="60% - Accent3 11" xfId="889" xr:uid="{00000000-0005-0000-0000-000079030000}"/>
    <cellStyle name="60% - Accent3 12" xfId="890" xr:uid="{00000000-0005-0000-0000-00007A030000}"/>
    <cellStyle name="60% - Accent3 13" xfId="891" xr:uid="{00000000-0005-0000-0000-00007B030000}"/>
    <cellStyle name="60% - Accent3 14" xfId="892" xr:uid="{00000000-0005-0000-0000-00007C030000}"/>
    <cellStyle name="60% - Accent3 15" xfId="893" xr:uid="{00000000-0005-0000-0000-00007D030000}"/>
    <cellStyle name="60% - Accent3 16" xfId="894" xr:uid="{00000000-0005-0000-0000-00007E030000}"/>
    <cellStyle name="60% - Accent3 17" xfId="895" xr:uid="{00000000-0005-0000-0000-00007F030000}"/>
    <cellStyle name="60% - Accent3 18" xfId="896" xr:uid="{00000000-0005-0000-0000-000080030000}"/>
    <cellStyle name="60% - Accent3 19" xfId="897" xr:uid="{00000000-0005-0000-0000-000081030000}"/>
    <cellStyle name="60% - Accent3 2" xfId="898" xr:uid="{00000000-0005-0000-0000-000082030000}"/>
    <cellStyle name="60% - Accent3 20" xfId="899" xr:uid="{00000000-0005-0000-0000-000083030000}"/>
    <cellStyle name="60% - Accent3 21" xfId="900" xr:uid="{00000000-0005-0000-0000-000084030000}"/>
    <cellStyle name="60% - Accent3 22" xfId="901" xr:uid="{00000000-0005-0000-0000-000085030000}"/>
    <cellStyle name="60% - Accent3 23" xfId="902" xr:uid="{00000000-0005-0000-0000-000086030000}"/>
    <cellStyle name="60% - Accent3 24" xfId="903" xr:uid="{00000000-0005-0000-0000-000087030000}"/>
    <cellStyle name="60% - Accent3 25" xfId="904" xr:uid="{00000000-0005-0000-0000-000088030000}"/>
    <cellStyle name="60% - Accent3 26" xfId="905" xr:uid="{00000000-0005-0000-0000-000089030000}"/>
    <cellStyle name="60% - Accent3 27" xfId="906" xr:uid="{00000000-0005-0000-0000-00008A030000}"/>
    <cellStyle name="60% - Accent3 28" xfId="907" xr:uid="{00000000-0005-0000-0000-00008B030000}"/>
    <cellStyle name="60% - Accent3 29" xfId="908" xr:uid="{00000000-0005-0000-0000-00008C030000}"/>
    <cellStyle name="60% - Accent3 3" xfId="909" xr:uid="{00000000-0005-0000-0000-00008D030000}"/>
    <cellStyle name="60% - Accent3 30" xfId="910" xr:uid="{00000000-0005-0000-0000-00008E030000}"/>
    <cellStyle name="60% - Accent3 31" xfId="911" xr:uid="{00000000-0005-0000-0000-00008F030000}"/>
    <cellStyle name="60% - Accent3 32" xfId="912" xr:uid="{00000000-0005-0000-0000-000090030000}"/>
    <cellStyle name="60% - Accent3 33" xfId="913" xr:uid="{00000000-0005-0000-0000-000091030000}"/>
    <cellStyle name="60% - Accent3 34" xfId="914" xr:uid="{00000000-0005-0000-0000-000092030000}"/>
    <cellStyle name="60% - Accent3 35" xfId="915" xr:uid="{00000000-0005-0000-0000-000093030000}"/>
    <cellStyle name="60% - Accent3 36" xfId="916" xr:uid="{00000000-0005-0000-0000-000094030000}"/>
    <cellStyle name="60% - Accent3 37" xfId="917" xr:uid="{00000000-0005-0000-0000-000095030000}"/>
    <cellStyle name="60% - Accent3 38" xfId="918" xr:uid="{00000000-0005-0000-0000-000096030000}"/>
    <cellStyle name="60% - Accent3 39" xfId="919" xr:uid="{00000000-0005-0000-0000-000097030000}"/>
    <cellStyle name="60% - Accent3 4" xfId="920" xr:uid="{00000000-0005-0000-0000-000098030000}"/>
    <cellStyle name="60% - Accent3 40" xfId="921" xr:uid="{00000000-0005-0000-0000-000099030000}"/>
    <cellStyle name="60% - Accent3 41" xfId="922" xr:uid="{00000000-0005-0000-0000-00009A030000}"/>
    <cellStyle name="60% - Accent3 42" xfId="923" xr:uid="{00000000-0005-0000-0000-00009B030000}"/>
    <cellStyle name="60% - Accent3 43" xfId="924" xr:uid="{00000000-0005-0000-0000-00009C030000}"/>
    <cellStyle name="60% - Accent3 44" xfId="925" xr:uid="{00000000-0005-0000-0000-00009D030000}"/>
    <cellStyle name="60% - Accent3 45" xfId="926" xr:uid="{00000000-0005-0000-0000-00009E030000}"/>
    <cellStyle name="60% - Accent3 46" xfId="927" xr:uid="{00000000-0005-0000-0000-00009F030000}"/>
    <cellStyle name="60% - Accent3 47" xfId="928" xr:uid="{00000000-0005-0000-0000-0000A0030000}"/>
    <cellStyle name="60% - Accent3 48" xfId="929" xr:uid="{00000000-0005-0000-0000-0000A1030000}"/>
    <cellStyle name="60% - Accent3 49" xfId="930" xr:uid="{00000000-0005-0000-0000-0000A2030000}"/>
    <cellStyle name="60% - Accent3 5" xfId="931" xr:uid="{00000000-0005-0000-0000-0000A3030000}"/>
    <cellStyle name="60% - Accent3 50" xfId="932" xr:uid="{00000000-0005-0000-0000-0000A4030000}"/>
    <cellStyle name="60% - Accent3 51" xfId="933" xr:uid="{00000000-0005-0000-0000-0000A5030000}"/>
    <cellStyle name="60% - Accent3 52" xfId="934" xr:uid="{00000000-0005-0000-0000-0000A6030000}"/>
    <cellStyle name="60% - Accent3 53" xfId="935" xr:uid="{00000000-0005-0000-0000-0000A7030000}"/>
    <cellStyle name="60% - Accent3 54" xfId="936" xr:uid="{00000000-0005-0000-0000-0000A8030000}"/>
    <cellStyle name="60% - Accent3 55" xfId="937" xr:uid="{00000000-0005-0000-0000-0000A9030000}"/>
    <cellStyle name="60% - Accent3 56" xfId="938" xr:uid="{00000000-0005-0000-0000-0000AA030000}"/>
    <cellStyle name="60% - Accent3 57" xfId="939" xr:uid="{00000000-0005-0000-0000-0000AB030000}"/>
    <cellStyle name="60% - Accent3 58" xfId="940" xr:uid="{00000000-0005-0000-0000-0000AC030000}"/>
    <cellStyle name="60% - Accent3 59" xfId="941" xr:uid="{00000000-0005-0000-0000-0000AD030000}"/>
    <cellStyle name="60% - Accent3 6" xfId="942" xr:uid="{00000000-0005-0000-0000-0000AE030000}"/>
    <cellStyle name="60% - Accent3 60" xfId="943" xr:uid="{00000000-0005-0000-0000-0000AF030000}"/>
    <cellStyle name="60% - Accent3 61" xfId="944" xr:uid="{00000000-0005-0000-0000-0000B0030000}"/>
    <cellStyle name="60% - Accent3 62" xfId="945" xr:uid="{00000000-0005-0000-0000-0000B1030000}"/>
    <cellStyle name="60% - Accent3 63" xfId="946" xr:uid="{00000000-0005-0000-0000-0000B2030000}"/>
    <cellStyle name="60% - Accent3 7" xfId="947" xr:uid="{00000000-0005-0000-0000-0000B3030000}"/>
    <cellStyle name="60% - Accent3 8" xfId="948" xr:uid="{00000000-0005-0000-0000-0000B4030000}"/>
    <cellStyle name="60% - Accent3 9" xfId="949" xr:uid="{00000000-0005-0000-0000-0000B5030000}"/>
    <cellStyle name="60% - Accent4 1" xfId="950" xr:uid="{00000000-0005-0000-0000-0000B6030000}"/>
    <cellStyle name="60% - Accent4 10" xfId="951" xr:uid="{00000000-0005-0000-0000-0000B7030000}"/>
    <cellStyle name="60% - Accent4 11" xfId="952" xr:uid="{00000000-0005-0000-0000-0000B8030000}"/>
    <cellStyle name="60% - Accent4 12" xfId="953" xr:uid="{00000000-0005-0000-0000-0000B9030000}"/>
    <cellStyle name="60% - Accent4 13" xfId="954" xr:uid="{00000000-0005-0000-0000-0000BA030000}"/>
    <cellStyle name="60% - Accent4 14" xfId="955" xr:uid="{00000000-0005-0000-0000-0000BB030000}"/>
    <cellStyle name="60% - Accent4 15" xfId="956" xr:uid="{00000000-0005-0000-0000-0000BC030000}"/>
    <cellStyle name="60% - Accent4 16" xfId="957" xr:uid="{00000000-0005-0000-0000-0000BD030000}"/>
    <cellStyle name="60% - Accent4 17" xfId="958" xr:uid="{00000000-0005-0000-0000-0000BE030000}"/>
    <cellStyle name="60% - Accent4 18" xfId="959" xr:uid="{00000000-0005-0000-0000-0000BF030000}"/>
    <cellStyle name="60% - Accent4 19" xfId="960" xr:uid="{00000000-0005-0000-0000-0000C0030000}"/>
    <cellStyle name="60% - Accent4 2" xfId="961" xr:uid="{00000000-0005-0000-0000-0000C1030000}"/>
    <cellStyle name="60% - Accent4 20" xfId="962" xr:uid="{00000000-0005-0000-0000-0000C2030000}"/>
    <cellStyle name="60% - Accent4 21" xfId="963" xr:uid="{00000000-0005-0000-0000-0000C3030000}"/>
    <cellStyle name="60% - Accent4 22" xfId="964" xr:uid="{00000000-0005-0000-0000-0000C4030000}"/>
    <cellStyle name="60% - Accent4 23" xfId="965" xr:uid="{00000000-0005-0000-0000-0000C5030000}"/>
    <cellStyle name="60% - Accent4 24" xfId="966" xr:uid="{00000000-0005-0000-0000-0000C6030000}"/>
    <cellStyle name="60% - Accent4 25" xfId="967" xr:uid="{00000000-0005-0000-0000-0000C7030000}"/>
    <cellStyle name="60% - Accent4 26" xfId="968" xr:uid="{00000000-0005-0000-0000-0000C8030000}"/>
    <cellStyle name="60% - Accent4 27" xfId="969" xr:uid="{00000000-0005-0000-0000-0000C9030000}"/>
    <cellStyle name="60% - Accent4 28" xfId="970" xr:uid="{00000000-0005-0000-0000-0000CA030000}"/>
    <cellStyle name="60% - Accent4 29" xfId="971" xr:uid="{00000000-0005-0000-0000-0000CB030000}"/>
    <cellStyle name="60% - Accent4 3" xfId="972" xr:uid="{00000000-0005-0000-0000-0000CC030000}"/>
    <cellStyle name="60% - Accent4 30" xfId="973" xr:uid="{00000000-0005-0000-0000-0000CD030000}"/>
    <cellStyle name="60% - Accent4 31" xfId="974" xr:uid="{00000000-0005-0000-0000-0000CE030000}"/>
    <cellStyle name="60% - Accent4 32" xfId="975" xr:uid="{00000000-0005-0000-0000-0000CF030000}"/>
    <cellStyle name="60% - Accent4 33" xfId="976" xr:uid="{00000000-0005-0000-0000-0000D0030000}"/>
    <cellStyle name="60% - Accent4 34" xfId="977" xr:uid="{00000000-0005-0000-0000-0000D1030000}"/>
    <cellStyle name="60% - Accent4 35" xfId="978" xr:uid="{00000000-0005-0000-0000-0000D2030000}"/>
    <cellStyle name="60% - Accent4 36" xfId="979" xr:uid="{00000000-0005-0000-0000-0000D3030000}"/>
    <cellStyle name="60% - Accent4 37" xfId="980" xr:uid="{00000000-0005-0000-0000-0000D4030000}"/>
    <cellStyle name="60% - Accent4 38" xfId="981" xr:uid="{00000000-0005-0000-0000-0000D5030000}"/>
    <cellStyle name="60% - Accent4 39" xfId="982" xr:uid="{00000000-0005-0000-0000-0000D6030000}"/>
    <cellStyle name="60% - Accent4 4" xfId="983" xr:uid="{00000000-0005-0000-0000-0000D7030000}"/>
    <cellStyle name="60% - Accent4 40" xfId="984" xr:uid="{00000000-0005-0000-0000-0000D8030000}"/>
    <cellStyle name="60% - Accent4 41" xfId="985" xr:uid="{00000000-0005-0000-0000-0000D9030000}"/>
    <cellStyle name="60% - Accent4 42" xfId="986" xr:uid="{00000000-0005-0000-0000-0000DA030000}"/>
    <cellStyle name="60% - Accent4 43" xfId="987" xr:uid="{00000000-0005-0000-0000-0000DB030000}"/>
    <cellStyle name="60% - Accent4 44" xfId="988" xr:uid="{00000000-0005-0000-0000-0000DC030000}"/>
    <cellStyle name="60% - Accent4 45" xfId="989" xr:uid="{00000000-0005-0000-0000-0000DD030000}"/>
    <cellStyle name="60% - Accent4 46" xfId="990" xr:uid="{00000000-0005-0000-0000-0000DE030000}"/>
    <cellStyle name="60% - Accent4 47" xfId="991" xr:uid="{00000000-0005-0000-0000-0000DF030000}"/>
    <cellStyle name="60% - Accent4 48" xfId="992" xr:uid="{00000000-0005-0000-0000-0000E0030000}"/>
    <cellStyle name="60% - Accent4 49" xfId="993" xr:uid="{00000000-0005-0000-0000-0000E1030000}"/>
    <cellStyle name="60% - Accent4 5" xfId="994" xr:uid="{00000000-0005-0000-0000-0000E2030000}"/>
    <cellStyle name="60% - Accent4 50" xfId="995" xr:uid="{00000000-0005-0000-0000-0000E3030000}"/>
    <cellStyle name="60% - Accent4 51" xfId="996" xr:uid="{00000000-0005-0000-0000-0000E4030000}"/>
    <cellStyle name="60% - Accent4 52" xfId="997" xr:uid="{00000000-0005-0000-0000-0000E5030000}"/>
    <cellStyle name="60% - Accent4 53" xfId="998" xr:uid="{00000000-0005-0000-0000-0000E6030000}"/>
    <cellStyle name="60% - Accent4 54" xfId="999" xr:uid="{00000000-0005-0000-0000-0000E7030000}"/>
    <cellStyle name="60% - Accent4 55" xfId="1000" xr:uid="{00000000-0005-0000-0000-0000E8030000}"/>
    <cellStyle name="60% - Accent4 56" xfId="1001" xr:uid="{00000000-0005-0000-0000-0000E9030000}"/>
    <cellStyle name="60% - Accent4 57" xfId="1002" xr:uid="{00000000-0005-0000-0000-0000EA030000}"/>
    <cellStyle name="60% - Accent4 58" xfId="1003" xr:uid="{00000000-0005-0000-0000-0000EB030000}"/>
    <cellStyle name="60% - Accent4 59" xfId="1004" xr:uid="{00000000-0005-0000-0000-0000EC030000}"/>
    <cellStyle name="60% - Accent4 6" xfId="1005" xr:uid="{00000000-0005-0000-0000-0000ED030000}"/>
    <cellStyle name="60% - Accent4 60" xfId="1006" xr:uid="{00000000-0005-0000-0000-0000EE030000}"/>
    <cellStyle name="60% - Accent4 61" xfId="1007" xr:uid="{00000000-0005-0000-0000-0000EF030000}"/>
    <cellStyle name="60% - Accent4 62" xfId="1008" xr:uid="{00000000-0005-0000-0000-0000F0030000}"/>
    <cellStyle name="60% - Accent4 63" xfId="1009" xr:uid="{00000000-0005-0000-0000-0000F1030000}"/>
    <cellStyle name="60% - Accent4 7" xfId="1010" xr:uid="{00000000-0005-0000-0000-0000F2030000}"/>
    <cellStyle name="60% - Accent4 8" xfId="1011" xr:uid="{00000000-0005-0000-0000-0000F3030000}"/>
    <cellStyle name="60% - Accent4 9" xfId="1012" xr:uid="{00000000-0005-0000-0000-0000F4030000}"/>
    <cellStyle name="60% - Accent5 1" xfId="1013" xr:uid="{00000000-0005-0000-0000-0000F5030000}"/>
    <cellStyle name="60% - Accent5 10" xfId="1014" xr:uid="{00000000-0005-0000-0000-0000F6030000}"/>
    <cellStyle name="60% - Accent5 11" xfId="1015" xr:uid="{00000000-0005-0000-0000-0000F7030000}"/>
    <cellStyle name="60% - Accent5 12" xfId="1016" xr:uid="{00000000-0005-0000-0000-0000F8030000}"/>
    <cellStyle name="60% - Accent5 13" xfId="1017" xr:uid="{00000000-0005-0000-0000-0000F9030000}"/>
    <cellStyle name="60% - Accent5 14" xfId="1018" xr:uid="{00000000-0005-0000-0000-0000FA030000}"/>
    <cellStyle name="60% - Accent5 15" xfId="1019" xr:uid="{00000000-0005-0000-0000-0000FB030000}"/>
    <cellStyle name="60% - Accent5 16" xfId="1020" xr:uid="{00000000-0005-0000-0000-0000FC030000}"/>
    <cellStyle name="60% - Accent5 17" xfId="1021" xr:uid="{00000000-0005-0000-0000-0000FD030000}"/>
    <cellStyle name="60% - Accent5 18" xfId="1022" xr:uid="{00000000-0005-0000-0000-0000FE030000}"/>
    <cellStyle name="60% - Accent5 19" xfId="1023" xr:uid="{00000000-0005-0000-0000-0000FF030000}"/>
    <cellStyle name="60% - Accent5 2" xfId="1024" xr:uid="{00000000-0005-0000-0000-000000040000}"/>
    <cellStyle name="60% - Accent5 20" xfId="1025" xr:uid="{00000000-0005-0000-0000-000001040000}"/>
    <cellStyle name="60% - Accent5 21" xfId="1026" xr:uid="{00000000-0005-0000-0000-000002040000}"/>
    <cellStyle name="60% - Accent5 22" xfId="1027" xr:uid="{00000000-0005-0000-0000-000003040000}"/>
    <cellStyle name="60% - Accent5 23" xfId="1028" xr:uid="{00000000-0005-0000-0000-000004040000}"/>
    <cellStyle name="60% - Accent5 24" xfId="1029" xr:uid="{00000000-0005-0000-0000-000005040000}"/>
    <cellStyle name="60% - Accent5 25" xfId="1030" xr:uid="{00000000-0005-0000-0000-000006040000}"/>
    <cellStyle name="60% - Accent5 26" xfId="1031" xr:uid="{00000000-0005-0000-0000-000007040000}"/>
    <cellStyle name="60% - Accent5 27" xfId="1032" xr:uid="{00000000-0005-0000-0000-000008040000}"/>
    <cellStyle name="60% - Accent5 28" xfId="1033" xr:uid="{00000000-0005-0000-0000-000009040000}"/>
    <cellStyle name="60% - Accent5 29" xfId="1034" xr:uid="{00000000-0005-0000-0000-00000A040000}"/>
    <cellStyle name="60% - Accent5 3" xfId="1035" xr:uid="{00000000-0005-0000-0000-00000B040000}"/>
    <cellStyle name="60% - Accent5 30" xfId="1036" xr:uid="{00000000-0005-0000-0000-00000C040000}"/>
    <cellStyle name="60% - Accent5 31" xfId="1037" xr:uid="{00000000-0005-0000-0000-00000D040000}"/>
    <cellStyle name="60% - Accent5 32" xfId="1038" xr:uid="{00000000-0005-0000-0000-00000E040000}"/>
    <cellStyle name="60% - Accent5 33" xfId="1039" xr:uid="{00000000-0005-0000-0000-00000F040000}"/>
    <cellStyle name="60% - Accent5 34" xfId="1040" xr:uid="{00000000-0005-0000-0000-000010040000}"/>
    <cellStyle name="60% - Accent5 35" xfId="1041" xr:uid="{00000000-0005-0000-0000-000011040000}"/>
    <cellStyle name="60% - Accent5 36" xfId="1042" xr:uid="{00000000-0005-0000-0000-000012040000}"/>
    <cellStyle name="60% - Accent5 37" xfId="1043" xr:uid="{00000000-0005-0000-0000-000013040000}"/>
    <cellStyle name="60% - Accent5 38" xfId="1044" xr:uid="{00000000-0005-0000-0000-000014040000}"/>
    <cellStyle name="60% - Accent5 39" xfId="1045" xr:uid="{00000000-0005-0000-0000-000015040000}"/>
    <cellStyle name="60% - Accent5 4" xfId="1046" xr:uid="{00000000-0005-0000-0000-000016040000}"/>
    <cellStyle name="60% - Accent5 40" xfId="1047" xr:uid="{00000000-0005-0000-0000-000017040000}"/>
    <cellStyle name="60% - Accent5 41" xfId="1048" xr:uid="{00000000-0005-0000-0000-000018040000}"/>
    <cellStyle name="60% - Accent5 42" xfId="1049" xr:uid="{00000000-0005-0000-0000-000019040000}"/>
    <cellStyle name="60% - Accent5 43" xfId="1050" xr:uid="{00000000-0005-0000-0000-00001A040000}"/>
    <cellStyle name="60% - Accent5 44" xfId="1051" xr:uid="{00000000-0005-0000-0000-00001B040000}"/>
    <cellStyle name="60% - Accent5 45" xfId="1052" xr:uid="{00000000-0005-0000-0000-00001C040000}"/>
    <cellStyle name="60% - Accent5 46" xfId="1053" xr:uid="{00000000-0005-0000-0000-00001D040000}"/>
    <cellStyle name="60% - Accent5 47" xfId="1054" xr:uid="{00000000-0005-0000-0000-00001E040000}"/>
    <cellStyle name="60% - Accent5 48" xfId="1055" xr:uid="{00000000-0005-0000-0000-00001F040000}"/>
    <cellStyle name="60% - Accent5 49" xfId="1056" xr:uid="{00000000-0005-0000-0000-000020040000}"/>
    <cellStyle name="60% - Accent5 5" xfId="1057" xr:uid="{00000000-0005-0000-0000-000021040000}"/>
    <cellStyle name="60% - Accent5 50" xfId="1058" xr:uid="{00000000-0005-0000-0000-000022040000}"/>
    <cellStyle name="60% - Accent5 51" xfId="1059" xr:uid="{00000000-0005-0000-0000-000023040000}"/>
    <cellStyle name="60% - Accent5 52" xfId="1060" xr:uid="{00000000-0005-0000-0000-000024040000}"/>
    <cellStyle name="60% - Accent5 53" xfId="1061" xr:uid="{00000000-0005-0000-0000-000025040000}"/>
    <cellStyle name="60% - Accent5 54" xfId="1062" xr:uid="{00000000-0005-0000-0000-000026040000}"/>
    <cellStyle name="60% - Accent5 55" xfId="1063" xr:uid="{00000000-0005-0000-0000-000027040000}"/>
    <cellStyle name="60% - Accent5 56" xfId="1064" xr:uid="{00000000-0005-0000-0000-000028040000}"/>
    <cellStyle name="60% - Accent5 57" xfId="1065" xr:uid="{00000000-0005-0000-0000-000029040000}"/>
    <cellStyle name="60% - Accent5 58" xfId="1066" xr:uid="{00000000-0005-0000-0000-00002A040000}"/>
    <cellStyle name="60% - Accent5 59" xfId="1067" xr:uid="{00000000-0005-0000-0000-00002B040000}"/>
    <cellStyle name="60% - Accent5 6" xfId="1068" xr:uid="{00000000-0005-0000-0000-00002C040000}"/>
    <cellStyle name="60% - Accent5 60" xfId="1069" xr:uid="{00000000-0005-0000-0000-00002D040000}"/>
    <cellStyle name="60% - Accent5 61" xfId="1070" xr:uid="{00000000-0005-0000-0000-00002E040000}"/>
    <cellStyle name="60% - Accent5 62" xfId="1071" xr:uid="{00000000-0005-0000-0000-00002F040000}"/>
    <cellStyle name="60% - Accent5 63" xfId="1072" xr:uid="{00000000-0005-0000-0000-000030040000}"/>
    <cellStyle name="60% - Accent5 7" xfId="1073" xr:uid="{00000000-0005-0000-0000-000031040000}"/>
    <cellStyle name="60% - Accent5 8" xfId="1074" xr:uid="{00000000-0005-0000-0000-000032040000}"/>
    <cellStyle name="60% - Accent5 9" xfId="1075" xr:uid="{00000000-0005-0000-0000-000033040000}"/>
    <cellStyle name="60% - Accent6 1" xfId="1076" xr:uid="{00000000-0005-0000-0000-000034040000}"/>
    <cellStyle name="60% - Accent6 10" xfId="1077" xr:uid="{00000000-0005-0000-0000-000035040000}"/>
    <cellStyle name="60% - Accent6 11" xfId="1078" xr:uid="{00000000-0005-0000-0000-000036040000}"/>
    <cellStyle name="60% - Accent6 12" xfId="1079" xr:uid="{00000000-0005-0000-0000-000037040000}"/>
    <cellStyle name="60% - Accent6 13" xfId="1080" xr:uid="{00000000-0005-0000-0000-000038040000}"/>
    <cellStyle name="60% - Accent6 14" xfId="1081" xr:uid="{00000000-0005-0000-0000-000039040000}"/>
    <cellStyle name="60% - Accent6 15" xfId="1082" xr:uid="{00000000-0005-0000-0000-00003A040000}"/>
    <cellStyle name="60% - Accent6 16" xfId="1083" xr:uid="{00000000-0005-0000-0000-00003B040000}"/>
    <cellStyle name="60% - Accent6 17" xfId="1084" xr:uid="{00000000-0005-0000-0000-00003C040000}"/>
    <cellStyle name="60% - Accent6 18" xfId="1085" xr:uid="{00000000-0005-0000-0000-00003D040000}"/>
    <cellStyle name="60% - Accent6 19" xfId="1086" xr:uid="{00000000-0005-0000-0000-00003E040000}"/>
    <cellStyle name="60% - Accent6 2" xfId="1087" xr:uid="{00000000-0005-0000-0000-00003F040000}"/>
    <cellStyle name="60% - Accent6 20" xfId="1088" xr:uid="{00000000-0005-0000-0000-000040040000}"/>
    <cellStyle name="60% - Accent6 21" xfId="1089" xr:uid="{00000000-0005-0000-0000-000041040000}"/>
    <cellStyle name="60% - Accent6 22" xfId="1090" xr:uid="{00000000-0005-0000-0000-000042040000}"/>
    <cellStyle name="60% - Accent6 23" xfId="1091" xr:uid="{00000000-0005-0000-0000-000043040000}"/>
    <cellStyle name="60% - Accent6 24" xfId="1092" xr:uid="{00000000-0005-0000-0000-000044040000}"/>
    <cellStyle name="60% - Accent6 25" xfId="1093" xr:uid="{00000000-0005-0000-0000-000045040000}"/>
    <cellStyle name="60% - Accent6 26" xfId="1094" xr:uid="{00000000-0005-0000-0000-000046040000}"/>
    <cellStyle name="60% - Accent6 27" xfId="1095" xr:uid="{00000000-0005-0000-0000-000047040000}"/>
    <cellStyle name="60% - Accent6 28" xfId="1096" xr:uid="{00000000-0005-0000-0000-000048040000}"/>
    <cellStyle name="60% - Accent6 29" xfId="1097" xr:uid="{00000000-0005-0000-0000-000049040000}"/>
    <cellStyle name="60% - Accent6 3" xfId="1098" xr:uid="{00000000-0005-0000-0000-00004A040000}"/>
    <cellStyle name="60% - Accent6 30" xfId="1099" xr:uid="{00000000-0005-0000-0000-00004B040000}"/>
    <cellStyle name="60% - Accent6 31" xfId="1100" xr:uid="{00000000-0005-0000-0000-00004C040000}"/>
    <cellStyle name="60% - Accent6 32" xfId="1101" xr:uid="{00000000-0005-0000-0000-00004D040000}"/>
    <cellStyle name="60% - Accent6 33" xfId="1102" xr:uid="{00000000-0005-0000-0000-00004E040000}"/>
    <cellStyle name="60% - Accent6 34" xfId="1103" xr:uid="{00000000-0005-0000-0000-00004F040000}"/>
    <cellStyle name="60% - Accent6 35" xfId="1104" xr:uid="{00000000-0005-0000-0000-000050040000}"/>
    <cellStyle name="60% - Accent6 36" xfId="1105" xr:uid="{00000000-0005-0000-0000-000051040000}"/>
    <cellStyle name="60% - Accent6 37" xfId="1106" xr:uid="{00000000-0005-0000-0000-000052040000}"/>
    <cellStyle name="60% - Accent6 38" xfId="1107" xr:uid="{00000000-0005-0000-0000-000053040000}"/>
    <cellStyle name="60% - Accent6 39" xfId="1108" xr:uid="{00000000-0005-0000-0000-000054040000}"/>
    <cellStyle name="60% - Accent6 4" xfId="1109" xr:uid="{00000000-0005-0000-0000-000055040000}"/>
    <cellStyle name="60% - Accent6 40" xfId="1110" xr:uid="{00000000-0005-0000-0000-000056040000}"/>
    <cellStyle name="60% - Accent6 41" xfId="1111" xr:uid="{00000000-0005-0000-0000-000057040000}"/>
    <cellStyle name="60% - Accent6 42" xfId="1112" xr:uid="{00000000-0005-0000-0000-000058040000}"/>
    <cellStyle name="60% - Accent6 43" xfId="1113" xr:uid="{00000000-0005-0000-0000-000059040000}"/>
    <cellStyle name="60% - Accent6 44" xfId="1114" xr:uid="{00000000-0005-0000-0000-00005A040000}"/>
    <cellStyle name="60% - Accent6 45" xfId="1115" xr:uid="{00000000-0005-0000-0000-00005B040000}"/>
    <cellStyle name="60% - Accent6 46" xfId="1116" xr:uid="{00000000-0005-0000-0000-00005C040000}"/>
    <cellStyle name="60% - Accent6 47" xfId="1117" xr:uid="{00000000-0005-0000-0000-00005D040000}"/>
    <cellStyle name="60% - Accent6 48" xfId="1118" xr:uid="{00000000-0005-0000-0000-00005E040000}"/>
    <cellStyle name="60% - Accent6 49" xfId="1119" xr:uid="{00000000-0005-0000-0000-00005F040000}"/>
    <cellStyle name="60% - Accent6 5" xfId="1120" xr:uid="{00000000-0005-0000-0000-000060040000}"/>
    <cellStyle name="60% - Accent6 50" xfId="1121" xr:uid="{00000000-0005-0000-0000-000061040000}"/>
    <cellStyle name="60% - Accent6 51" xfId="1122" xr:uid="{00000000-0005-0000-0000-000062040000}"/>
    <cellStyle name="60% - Accent6 52" xfId="1123" xr:uid="{00000000-0005-0000-0000-000063040000}"/>
    <cellStyle name="60% - Accent6 53" xfId="1124" xr:uid="{00000000-0005-0000-0000-000064040000}"/>
    <cellStyle name="60% - Accent6 54" xfId="1125" xr:uid="{00000000-0005-0000-0000-000065040000}"/>
    <cellStyle name="60% - Accent6 55" xfId="1126" xr:uid="{00000000-0005-0000-0000-000066040000}"/>
    <cellStyle name="60% - Accent6 56" xfId="1127" xr:uid="{00000000-0005-0000-0000-000067040000}"/>
    <cellStyle name="60% - Accent6 57" xfId="1128" xr:uid="{00000000-0005-0000-0000-000068040000}"/>
    <cellStyle name="60% - Accent6 58" xfId="1129" xr:uid="{00000000-0005-0000-0000-000069040000}"/>
    <cellStyle name="60% - Accent6 59" xfId="1130" xr:uid="{00000000-0005-0000-0000-00006A040000}"/>
    <cellStyle name="60% - Accent6 6" xfId="1131" xr:uid="{00000000-0005-0000-0000-00006B040000}"/>
    <cellStyle name="60% - Accent6 60" xfId="1132" xr:uid="{00000000-0005-0000-0000-00006C040000}"/>
    <cellStyle name="60% - Accent6 61" xfId="1133" xr:uid="{00000000-0005-0000-0000-00006D040000}"/>
    <cellStyle name="60% - Accent6 62" xfId="1134" xr:uid="{00000000-0005-0000-0000-00006E040000}"/>
    <cellStyle name="60% - Accent6 63" xfId="1135" xr:uid="{00000000-0005-0000-0000-00006F040000}"/>
    <cellStyle name="60% - Accent6 7" xfId="1136" xr:uid="{00000000-0005-0000-0000-000070040000}"/>
    <cellStyle name="60% - Accent6 8" xfId="1137" xr:uid="{00000000-0005-0000-0000-000071040000}"/>
    <cellStyle name="60% - Accent6 9" xfId="1138" xr:uid="{00000000-0005-0000-0000-000072040000}"/>
    <cellStyle name="Accent1 1" xfId="1139" xr:uid="{00000000-0005-0000-0000-000073040000}"/>
    <cellStyle name="Accent1 10" xfId="1140" xr:uid="{00000000-0005-0000-0000-000074040000}"/>
    <cellStyle name="Accent1 11" xfId="1141" xr:uid="{00000000-0005-0000-0000-000075040000}"/>
    <cellStyle name="Accent1 12" xfId="1142" xr:uid="{00000000-0005-0000-0000-000076040000}"/>
    <cellStyle name="Accent1 13" xfId="1143" xr:uid="{00000000-0005-0000-0000-000077040000}"/>
    <cellStyle name="Accent1 14" xfId="1144" xr:uid="{00000000-0005-0000-0000-000078040000}"/>
    <cellStyle name="Accent1 15" xfId="1145" xr:uid="{00000000-0005-0000-0000-000079040000}"/>
    <cellStyle name="Accent1 16" xfId="1146" xr:uid="{00000000-0005-0000-0000-00007A040000}"/>
    <cellStyle name="Accent1 17" xfId="1147" xr:uid="{00000000-0005-0000-0000-00007B040000}"/>
    <cellStyle name="Accent1 18" xfId="1148" xr:uid="{00000000-0005-0000-0000-00007C040000}"/>
    <cellStyle name="Accent1 19" xfId="1149" xr:uid="{00000000-0005-0000-0000-00007D040000}"/>
    <cellStyle name="Accent1 2" xfId="1150" xr:uid="{00000000-0005-0000-0000-00007E040000}"/>
    <cellStyle name="Accent1 20" xfId="1151" xr:uid="{00000000-0005-0000-0000-00007F040000}"/>
    <cellStyle name="Accent1 21" xfId="1152" xr:uid="{00000000-0005-0000-0000-000080040000}"/>
    <cellStyle name="Accent1 22" xfId="1153" xr:uid="{00000000-0005-0000-0000-000081040000}"/>
    <cellStyle name="Accent1 23" xfId="1154" xr:uid="{00000000-0005-0000-0000-000082040000}"/>
    <cellStyle name="Accent1 24" xfId="1155" xr:uid="{00000000-0005-0000-0000-000083040000}"/>
    <cellStyle name="Accent1 25" xfId="1156" xr:uid="{00000000-0005-0000-0000-000084040000}"/>
    <cellStyle name="Accent1 26" xfId="1157" xr:uid="{00000000-0005-0000-0000-000085040000}"/>
    <cellStyle name="Accent1 27" xfId="1158" xr:uid="{00000000-0005-0000-0000-000086040000}"/>
    <cellStyle name="Accent1 28" xfId="1159" xr:uid="{00000000-0005-0000-0000-000087040000}"/>
    <cellStyle name="Accent1 29" xfId="1160" xr:uid="{00000000-0005-0000-0000-000088040000}"/>
    <cellStyle name="Accent1 3" xfId="1161" xr:uid="{00000000-0005-0000-0000-000089040000}"/>
    <cellStyle name="Accent1 30" xfId="1162" xr:uid="{00000000-0005-0000-0000-00008A040000}"/>
    <cellStyle name="Accent1 31" xfId="1163" xr:uid="{00000000-0005-0000-0000-00008B040000}"/>
    <cellStyle name="Accent1 32" xfId="1164" xr:uid="{00000000-0005-0000-0000-00008C040000}"/>
    <cellStyle name="Accent1 33" xfId="1165" xr:uid="{00000000-0005-0000-0000-00008D040000}"/>
    <cellStyle name="Accent1 34" xfId="1166" xr:uid="{00000000-0005-0000-0000-00008E040000}"/>
    <cellStyle name="Accent1 35" xfId="1167" xr:uid="{00000000-0005-0000-0000-00008F040000}"/>
    <cellStyle name="Accent1 36" xfId="1168" xr:uid="{00000000-0005-0000-0000-000090040000}"/>
    <cellStyle name="Accent1 37" xfId="1" xr:uid="{00000000-0005-0000-0000-000001000000}"/>
    <cellStyle name="Accent1 38" xfId="1169" xr:uid="{00000000-0005-0000-0000-000091040000}"/>
    <cellStyle name="Accent1 39" xfId="1170" xr:uid="{00000000-0005-0000-0000-000092040000}"/>
    <cellStyle name="Accent1 4" xfId="1171" xr:uid="{00000000-0005-0000-0000-000093040000}"/>
    <cellStyle name="Accent1 40" xfId="1172" xr:uid="{00000000-0005-0000-0000-000094040000}"/>
    <cellStyle name="Accent1 41" xfId="1173" xr:uid="{00000000-0005-0000-0000-000095040000}"/>
    <cellStyle name="Accent1 42" xfId="1174" xr:uid="{00000000-0005-0000-0000-000096040000}"/>
    <cellStyle name="Accent1 43" xfId="1175" xr:uid="{00000000-0005-0000-0000-000097040000}"/>
    <cellStyle name="Accent1 44" xfId="1176" xr:uid="{00000000-0005-0000-0000-000098040000}"/>
    <cellStyle name="Accent1 45" xfId="1177" xr:uid="{00000000-0005-0000-0000-000099040000}"/>
    <cellStyle name="Accent1 46" xfId="1178" xr:uid="{00000000-0005-0000-0000-00009A040000}"/>
    <cellStyle name="Accent1 47" xfId="1179" xr:uid="{00000000-0005-0000-0000-00009B040000}"/>
    <cellStyle name="Accent1 48" xfId="1180" xr:uid="{00000000-0005-0000-0000-00009C040000}"/>
    <cellStyle name="Accent1 49" xfId="1181" xr:uid="{00000000-0005-0000-0000-00009D040000}"/>
    <cellStyle name="Accent1 5" xfId="1182" xr:uid="{00000000-0005-0000-0000-00009E040000}"/>
    <cellStyle name="Accent1 50" xfId="1183" xr:uid="{00000000-0005-0000-0000-00009F040000}"/>
    <cellStyle name="Accent1 51" xfId="1184" xr:uid="{00000000-0005-0000-0000-0000A0040000}"/>
    <cellStyle name="Accent1 52" xfId="1185" xr:uid="{00000000-0005-0000-0000-0000A1040000}"/>
    <cellStyle name="Accent1 53" xfId="1186" xr:uid="{00000000-0005-0000-0000-0000A2040000}"/>
    <cellStyle name="Accent1 54" xfId="1187" xr:uid="{00000000-0005-0000-0000-0000A3040000}"/>
    <cellStyle name="Accent1 55" xfId="1188" xr:uid="{00000000-0005-0000-0000-0000A4040000}"/>
    <cellStyle name="Accent1 56" xfId="1189" xr:uid="{00000000-0005-0000-0000-0000A5040000}"/>
    <cellStyle name="Accent1 57" xfId="1190" xr:uid="{00000000-0005-0000-0000-0000A6040000}"/>
    <cellStyle name="Accent1 58" xfId="1191" xr:uid="{00000000-0005-0000-0000-0000A7040000}"/>
    <cellStyle name="Accent1 59" xfId="1192" xr:uid="{00000000-0005-0000-0000-0000A8040000}"/>
    <cellStyle name="Accent1 6" xfId="1193" xr:uid="{00000000-0005-0000-0000-0000A9040000}"/>
    <cellStyle name="Accent1 60" xfId="1194" xr:uid="{00000000-0005-0000-0000-0000AA040000}"/>
    <cellStyle name="Accent1 61" xfId="1195" xr:uid="{00000000-0005-0000-0000-0000AB040000}"/>
    <cellStyle name="Accent1 62" xfId="1196" xr:uid="{00000000-0005-0000-0000-0000AC040000}"/>
    <cellStyle name="Accent1 63" xfId="1197" xr:uid="{00000000-0005-0000-0000-0000AD040000}"/>
    <cellStyle name="Accent1 7" xfId="1198" xr:uid="{00000000-0005-0000-0000-0000AE040000}"/>
    <cellStyle name="Accent1 8" xfId="1199" xr:uid="{00000000-0005-0000-0000-0000AF040000}"/>
    <cellStyle name="Accent1 9" xfId="1200" xr:uid="{00000000-0005-0000-0000-0000B0040000}"/>
    <cellStyle name="Accent2 1" xfId="1201" xr:uid="{00000000-0005-0000-0000-0000B1040000}"/>
    <cellStyle name="Accent2 10" xfId="1202" xr:uid="{00000000-0005-0000-0000-0000B2040000}"/>
    <cellStyle name="Accent2 11" xfId="1203" xr:uid="{00000000-0005-0000-0000-0000B3040000}"/>
    <cellStyle name="Accent2 12" xfId="1204" xr:uid="{00000000-0005-0000-0000-0000B4040000}"/>
    <cellStyle name="Accent2 13" xfId="1205" xr:uid="{00000000-0005-0000-0000-0000B5040000}"/>
    <cellStyle name="Accent2 14" xfId="1206" xr:uid="{00000000-0005-0000-0000-0000B6040000}"/>
    <cellStyle name="Accent2 15" xfId="1207" xr:uid="{00000000-0005-0000-0000-0000B7040000}"/>
    <cellStyle name="Accent2 16" xfId="1208" xr:uid="{00000000-0005-0000-0000-0000B8040000}"/>
    <cellStyle name="Accent2 17" xfId="1209" xr:uid="{00000000-0005-0000-0000-0000B9040000}"/>
    <cellStyle name="Accent2 18" xfId="1210" xr:uid="{00000000-0005-0000-0000-0000BA040000}"/>
    <cellStyle name="Accent2 19" xfId="1211" xr:uid="{00000000-0005-0000-0000-0000BB040000}"/>
    <cellStyle name="Accent2 2" xfId="1212" xr:uid="{00000000-0005-0000-0000-0000BC040000}"/>
    <cellStyle name="Accent2 20" xfId="1213" xr:uid="{00000000-0005-0000-0000-0000BD040000}"/>
    <cellStyle name="Accent2 21" xfId="1214" xr:uid="{00000000-0005-0000-0000-0000BE040000}"/>
    <cellStyle name="Accent2 22" xfId="1215" xr:uid="{00000000-0005-0000-0000-0000BF040000}"/>
    <cellStyle name="Accent2 23" xfId="1216" xr:uid="{00000000-0005-0000-0000-0000C0040000}"/>
    <cellStyle name="Accent2 24" xfId="1217" xr:uid="{00000000-0005-0000-0000-0000C1040000}"/>
    <cellStyle name="Accent2 25" xfId="1218" xr:uid="{00000000-0005-0000-0000-0000C2040000}"/>
    <cellStyle name="Accent2 26" xfId="1219" xr:uid="{00000000-0005-0000-0000-0000C3040000}"/>
    <cellStyle name="Accent2 27" xfId="1220" xr:uid="{00000000-0005-0000-0000-0000C4040000}"/>
    <cellStyle name="Accent2 28" xfId="1221" xr:uid="{00000000-0005-0000-0000-0000C5040000}"/>
    <cellStyle name="Accent2 29" xfId="1222" xr:uid="{00000000-0005-0000-0000-0000C6040000}"/>
    <cellStyle name="Accent2 3" xfId="1223" xr:uid="{00000000-0005-0000-0000-0000C7040000}"/>
    <cellStyle name="Accent2 30" xfId="1224" xr:uid="{00000000-0005-0000-0000-0000C8040000}"/>
    <cellStyle name="Accent2 31" xfId="1225" xr:uid="{00000000-0005-0000-0000-0000C9040000}"/>
    <cellStyle name="Accent2 32" xfId="1226" xr:uid="{00000000-0005-0000-0000-0000CA040000}"/>
    <cellStyle name="Accent2 33" xfId="1227" xr:uid="{00000000-0005-0000-0000-0000CB040000}"/>
    <cellStyle name="Accent2 34" xfId="1228" xr:uid="{00000000-0005-0000-0000-0000CC040000}"/>
    <cellStyle name="Accent2 35" xfId="1229" xr:uid="{00000000-0005-0000-0000-0000CD040000}"/>
    <cellStyle name="Accent2 36" xfId="1230" xr:uid="{00000000-0005-0000-0000-0000CE040000}"/>
    <cellStyle name="Accent2 37" xfId="1231" xr:uid="{00000000-0005-0000-0000-0000CF040000}"/>
    <cellStyle name="Accent2 38" xfId="1232" xr:uid="{00000000-0005-0000-0000-0000D0040000}"/>
    <cellStyle name="Accent2 39" xfId="1233" xr:uid="{00000000-0005-0000-0000-0000D1040000}"/>
    <cellStyle name="Accent2 4" xfId="1234" xr:uid="{00000000-0005-0000-0000-0000D2040000}"/>
    <cellStyle name="Accent2 40" xfId="1235" xr:uid="{00000000-0005-0000-0000-0000D3040000}"/>
    <cellStyle name="Accent2 41" xfId="1236" xr:uid="{00000000-0005-0000-0000-0000D4040000}"/>
    <cellStyle name="Accent2 42" xfId="1237" xr:uid="{00000000-0005-0000-0000-0000D5040000}"/>
    <cellStyle name="Accent2 43" xfId="1238" xr:uid="{00000000-0005-0000-0000-0000D6040000}"/>
    <cellStyle name="Accent2 44" xfId="1239" xr:uid="{00000000-0005-0000-0000-0000D7040000}"/>
    <cellStyle name="Accent2 45" xfId="1240" xr:uid="{00000000-0005-0000-0000-0000D8040000}"/>
    <cellStyle name="Accent2 46" xfId="1241" xr:uid="{00000000-0005-0000-0000-0000D9040000}"/>
    <cellStyle name="Accent2 47" xfId="1242" xr:uid="{00000000-0005-0000-0000-0000DA040000}"/>
    <cellStyle name="Accent2 48" xfId="1243" xr:uid="{00000000-0005-0000-0000-0000DB040000}"/>
    <cellStyle name="Accent2 49" xfId="1244" xr:uid="{00000000-0005-0000-0000-0000DC040000}"/>
    <cellStyle name="Accent2 5" xfId="1245" xr:uid="{00000000-0005-0000-0000-0000DD040000}"/>
    <cellStyle name="Accent2 50" xfId="1246" xr:uid="{00000000-0005-0000-0000-0000DE040000}"/>
    <cellStyle name="Accent2 51" xfId="1247" xr:uid="{00000000-0005-0000-0000-0000DF040000}"/>
    <cellStyle name="Accent2 52" xfId="1248" xr:uid="{00000000-0005-0000-0000-0000E0040000}"/>
    <cellStyle name="Accent2 53" xfId="1249" xr:uid="{00000000-0005-0000-0000-0000E1040000}"/>
    <cellStyle name="Accent2 54" xfId="1250" xr:uid="{00000000-0005-0000-0000-0000E2040000}"/>
    <cellStyle name="Accent2 55" xfId="1251" xr:uid="{00000000-0005-0000-0000-0000E3040000}"/>
    <cellStyle name="Accent2 56" xfId="1252" xr:uid="{00000000-0005-0000-0000-0000E4040000}"/>
    <cellStyle name="Accent2 57" xfId="1253" xr:uid="{00000000-0005-0000-0000-0000E5040000}"/>
    <cellStyle name="Accent2 58" xfId="1254" xr:uid="{00000000-0005-0000-0000-0000E6040000}"/>
    <cellStyle name="Accent2 59" xfId="1255" xr:uid="{00000000-0005-0000-0000-0000E7040000}"/>
    <cellStyle name="Accent2 6" xfId="1256" xr:uid="{00000000-0005-0000-0000-0000E8040000}"/>
    <cellStyle name="Accent2 60" xfId="1257" xr:uid="{00000000-0005-0000-0000-0000E9040000}"/>
    <cellStyle name="Accent2 61" xfId="1258" xr:uid="{00000000-0005-0000-0000-0000EA040000}"/>
    <cellStyle name="Accent2 62" xfId="1259" xr:uid="{00000000-0005-0000-0000-0000EB040000}"/>
    <cellStyle name="Accent2 63" xfId="1260" xr:uid="{00000000-0005-0000-0000-0000EC040000}"/>
    <cellStyle name="Accent2 7" xfId="1261" xr:uid="{00000000-0005-0000-0000-0000ED040000}"/>
    <cellStyle name="Accent2 8" xfId="1262" xr:uid="{00000000-0005-0000-0000-0000EE040000}"/>
    <cellStyle name="Accent2 9" xfId="1263" xr:uid="{00000000-0005-0000-0000-0000EF040000}"/>
    <cellStyle name="Accent3 1" xfId="1264" xr:uid="{00000000-0005-0000-0000-0000F0040000}"/>
    <cellStyle name="Accent3 10" xfId="1265" xr:uid="{00000000-0005-0000-0000-0000F1040000}"/>
    <cellStyle name="Accent3 11" xfId="1266" xr:uid="{00000000-0005-0000-0000-0000F2040000}"/>
    <cellStyle name="Accent3 12" xfId="1267" xr:uid="{00000000-0005-0000-0000-0000F3040000}"/>
    <cellStyle name="Accent3 13" xfId="1268" xr:uid="{00000000-0005-0000-0000-0000F4040000}"/>
    <cellStyle name="Accent3 14" xfId="1269" xr:uid="{00000000-0005-0000-0000-0000F5040000}"/>
    <cellStyle name="Accent3 15" xfId="1270" xr:uid="{00000000-0005-0000-0000-0000F6040000}"/>
    <cellStyle name="Accent3 16" xfId="1271" xr:uid="{00000000-0005-0000-0000-0000F7040000}"/>
    <cellStyle name="Accent3 17" xfId="1272" xr:uid="{00000000-0005-0000-0000-0000F8040000}"/>
    <cellStyle name="Accent3 18" xfId="1273" xr:uid="{00000000-0005-0000-0000-0000F9040000}"/>
    <cellStyle name="Accent3 19" xfId="1274" xr:uid="{00000000-0005-0000-0000-0000FA040000}"/>
    <cellStyle name="Accent3 2" xfId="1275" xr:uid="{00000000-0005-0000-0000-0000FB040000}"/>
    <cellStyle name="Accent3 20" xfId="1276" xr:uid="{00000000-0005-0000-0000-0000FC040000}"/>
    <cellStyle name="Accent3 21" xfId="1277" xr:uid="{00000000-0005-0000-0000-0000FD040000}"/>
    <cellStyle name="Accent3 22" xfId="1278" xr:uid="{00000000-0005-0000-0000-0000FE040000}"/>
    <cellStyle name="Accent3 23" xfId="1279" xr:uid="{00000000-0005-0000-0000-0000FF040000}"/>
    <cellStyle name="Accent3 24" xfId="1280" xr:uid="{00000000-0005-0000-0000-000000050000}"/>
    <cellStyle name="Accent3 25" xfId="1281" xr:uid="{00000000-0005-0000-0000-000001050000}"/>
    <cellStyle name="Accent3 26" xfId="1282" xr:uid="{00000000-0005-0000-0000-000002050000}"/>
    <cellStyle name="Accent3 27" xfId="1283" xr:uid="{00000000-0005-0000-0000-000003050000}"/>
    <cellStyle name="Accent3 28" xfId="1284" xr:uid="{00000000-0005-0000-0000-000004050000}"/>
    <cellStyle name="Accent3 29" xfId="1285" xr:uid="{00000000-0005-0000-0000-000005050000}"/>
    <cellStyle name="Accent3 3" xfId="1286" xr:uid="{00000000-0005-0000-0000-000006050000}"/>
    <cellStyle name="Accent3 30" xfId="1287" xr:uid="{00000000-0005-0000-0000-000007050000}"/>
    <cellStyle name="Accent3 31" xfId="1288" xr:uid="{00000000-0005-0000-0000-000008050000}"/>
    <cellStyle name="Accent3 32" xfId="1289" xr:uid="{00000000-0005-0000-0000-000009050000}"/>
    <cellStyle name="Accent3 33" xfId="1290" xr:uid="{00000000-0005-0000-0000-00000A050000}"/>
    <cellStyle name="Accent3 34" xfId="1291" xr:uid="{00000000-0005-0000-0000-00000B050000}"/>
    <cellStyle name="Accent3 35" xfId="1292" xr:uid="{00000000-0005-0000-0000-00000C050000}"/>
    <cellStyle name="Accent3 36" xfId="1293" xr:uid="{00000000-0005-0000-0000-00000D050000}"/>
    <cellStyle name="Accent3 37" xfId="1294" xr:uid="{00000000-0005-0000-0000-00000E050000}"/>
    <cellStyle name="Accent3 38" xfId="1295" xr:uid="{00000000-0005-0000-0000-00000F050000}"/>
    <cellStyle name="Accent3 39" xfId="1296" xr:uid="{00000000-0005-0000-0000-000010050000}"/>
    <cellStyle name="Accent3 4" xfId="1297" xr:uid="{00000000-0005-0000-0000-000011050000}"/>
    <cellStyle name="Accent3 40" xfId="1298" xr:uid="{00000000-0005-0000-0000-000012050000}"/>
    <cellStyle name="Accent3 41" xfId="1299" xr:uid="{00000000-0005-0000-0000-000013050000}"/>
    <cellStyle name="Accent3 42" xfId="1300" xr:uid="{00000000-0005-0000-0000-000014050000}"/>
    <cellStyle name="Accent3 43" xfId="1301" xr:uid="{00000000-0005-0000-0000-000015050000}"/>
    <cellStyle name="Accent3 44" xfId="1302" xr:uid="{00000000-0005-0000-0000-000016050000}"/>
    <cellStyle name="Accent3 45" xfId="1303" xr:uid="{00000000-0005-0000-0000-000017050000}"/>
    <cellStyle name="Accent3 46" xfId="1304" xr:uid="{00000000-0005-0000-0000-000018050000}"/>
    <cellStyle name="Accent3 47" xfId="1305" xr:uid="{00000000-0005-0000-0000-000019050000}"/>
    <cellStyle name="Accent3 48" xfId="1306" xr:uid="{00000000-0005-0000-0000-00001A050000}"/>
    <cellStyle name="Accent3 49" xfId="1307" xr:uid="{00000000-0005-0000-0000-00001B050000}"/>
    <cellStyle name="Accent3 5" xfId="1308" xr:uid="{00000000-0005-0000-0000-00001C050000}"/>
    <cellStyle name="Accent3 50" xfId="1309" xr:uid="{00000000-0005-0000-0000-00001D050000}"/>
    <cellStyle name="Accent3 51" xfId="1310" xr:uid="{00000000-0005-0000-0000-00001E050000}"/>
    <cellStyle name="Accent3 52" xfId="1311" xr:uid="{00000000-0005-0000-0000-00001F050000}"/>
    <cellStyle name="Accent3 53" xfId="1312" xr:uid="{00000000-0005-0000-0000-000020050000}"/>
    <cellStyle name="Accent3 54" xfId="1313" xr:uid="{00000000-0005-0000-0000-000021050000}"/>
    <cellStyle name="Accent3 55" xfId="1314" xr:uid="{00000000-0005-0000-0000-000022050000}"/>
    <cellStyle name="Accent3 56" xfId="1315" xr:uid="{00000000-0005-0000-0000-000023050000}"/>
    <cellStyle name="Accent3 57" xfId="1316" xr:uid="{00000000-0005-0000-0000-000024050000}"/>
    <cellStyle name="Accent3 58" xfId="1317" xr:uid="{00000000-0005-0000-0000-000025050000}"/>
    <cellStyle name="Accent3 59" xfId="1318" xr:uid="{00000000-0005-0000-0000-000026050000}"/>
    <cellStyle name="Accent3 6" xfId="1319" xr:uid="{00000000-0005-0000-0000-000027050000}"/>
    <cellStyle name="Accent3 60" xfId="1320" xr:uid="{00000000-0005-0000-0000-000028050000}"/>
    <cellStyle name="Accent3 61" xfId="1321" xr:uid="{00000000-0005-0000-0000-000029050000}"/>
    <cellStyle name="Accent3 62" xfId="1322" xr:uid="{00000000-0005-0000-0000-00002A050000}"/>
    <cellStyle name="Accent3 63" xfId="1323" xr:uid="{00000000-0005-0000-0000-00002B050000}"/>
    <cellStyle name="Accent3 7" xfId="1324" xr:uid="{00000000-0005-0000-0000-00002C050000}"/>
    <cellStyle name="Accent3 8" xfId="1325" xr:uid="{00000000-0005-0000-0000-00002D050000}"/>
    <cellStyle name="Accent3 9" xfId="1326" xr:uid="{00000000-0005-0000-0000-00002E050000}"/>
    <cellStyle name="Accent4 1" xfId="1327" xr:uid="{00000000-0005-0000-0000-00002F050000}"/>
    <cellStyle name="Accent4 10" xfId="1328" xr:uid="{00000000-0005-0000-0000-000030050000}"/>
    <cellStyle name="Accent4 11" xfId="1329" xr:uid="{00000000-0005-0000-0000-000031050000}"/>
    <cellStyle name="Accent4 12" xfId="1330" xr:uid="{00000000-0005-0000-0000-000032050000}"/>
    <cellStyle name="Accent4 13" xfId="1331" xr:uid="{00000000-0005-0000-0000-000033050000}"/>
    <cellStyle name="Accent4 14" xfId="1332" xr:uid="{00000000-0005-0000-0000-000034050000}"/>
    <cellStyle name="Accent4 15" xfId="1333" xr:uid="{00000000-0005-0000-0000-000035050000}"/>
    <cellStyle name="Accent4 16" xfId="1334" xr:uid="{00000000-0005-0000-0000-000036050000}"/>
    <cellStyle name="Accent4 17" xfId="1335" xr:uid="{00000000-0005-0000-0000-000037050000}"/>
    <cellStyle name="Accent4 18" xfId="1336" xr:uid="{00000000-0005-0000-0000-000038050000}"/>
    <cellStyle name="Accent4 19" xfId="1337" xr:uid="{00000000-0005-0000-0000-000039050000}"/>
    <cellStyle name="Accent4 2" xfId="1338" xr:uid="{00000000-0005-0000-0000-00003A050000}"/>
    <cellStyle name="Accent4 20" xfId="1339" xr:uid="{00000000-0005-0000-0000-00003B050000}"/>
    <cellStyle name="Accent4 21" xfId="1340" xr:uid="{00000000-0005-0000-0000-00003C050000}"/>
    <cellStyle name="Accent4 22" xfId="1341" xr:uid="{00000000-0005-0000-0000-00003D050000}"/>
    <cellStyle name="Accent4 23" xfId="1342" xr:uid="{00000000-0005-0000-0000-00003E050000}"/>
    <cellStyle name="Accent4 24" xfId="1343" xr:uid="{00000000-0005-0000-0000-00003F050000}"/>
    <cellStyle name="Accent4 25" xfId="1344" xr:uid="{00000000-0005-0000-0000-000040050000}"/>
    <cellStyle name="Accent4 26" xfId="1345" xr:uid="{00000000-0005-0000-0000-000041050000}"/>
    <cellStyle name="Accent4 27" xfId="1346" xr:uid="{00000000-0005-0000-0000-000042050000}"/>
    <cellStyle name="Accent4 28" xfId="1347" xr:uid="{00000000-0005-0000-0000-000043050000}"/>
    <cellStyle name="Accent4 29" xfId="1348" xr:uid="{00000000-0005-0000-0000-000044050000}"/>
    <cellStyle name="Accent4 3" xfId="1349" xr:uid="{00000000-0005-0000-0000-000045050000}"/>
    <cellStyle name="Accent4 30" xfId="1350" xr:uid="{00000000-0005-0000-0000-000046050000}"/>
    <cellStyle name="Accent4 31" xfId="1351" xr:uid="{00000000-0005-0000-0000-000047050000}"/>
    <cellStyle name="Accent4 32" xfId="1352" xr:uid="{00000000-0005-0000-0000-000048050000}"/>
    <cellStyle name="Accent4 33" xfId="1353" xr:uid="{00000000-0005-0000-0000-000049050000}"/>
    <cellStyle name="Accent4 34" xfId="1354" xr:uid="{00000000-0005-0000-0000-00004A050000}"/>
    <cellStyle name="Accent4 35" xfId="1355" xr:uid="{00000000-0005-0000-0000-00004B050000}"/>
    <cellStyle name="Accent4 36" xfId="1356" xr:uid="{00000000-0005-0000-0000-00004C050000}"/>
    <cellStyle name="Accent4 37" xfId="1357" xr:uid="{00000000-0005-0000-0000-00004D050000}"/>
    <cellStyle name="Accent4 38" xfId="1358" xr:uid="{00000000-0005-0000-0000-00004E050000}"/>
    <cellStyle name="Accent4 39" xfId="1359" xr:uid="{00000000-0005-0000-0000-00004F050000}"/>
    <cellStyle name="Accent4 4" xfId="1360" xr:uid="{00000000-0005-0000-0000-000050050000}"/>
    <cellStyle name="Accent4 40" xfId="1361" xr:uid="{00000000-0005-0000-0000-000051050000}"/>
    <cellStyle name="Accent4 41" xfId="1362" xr:uid="{00000000-0005-0000-0000-000052050000}"/>
    <cellStyle name="Accent4 42" xfId="1363" xr:uid="{00000000-0005-0000-0000-000053050000}"/>
    <cellStyle name="Accent4 43" xfId="1364" xr:uid="{00000000-0005-0000-0000-000054050000}"/>
    <cellStyle name="Accent4 44" xfId="1365" xr:uid="{00000000-0005-0000-0000-000055050000}"/>
    <cellStyle name="Accent4 45" xfId="1366" xr:uid="{00000000-0005-0000-0000-000056050000}"/>
    <cellStyle name="Accent4 46" xfId="1367" xr:uid="{00000000-0005-0000-0000-000057050000}"/>
    <cellStyle name="Accent4 47" xfId="1368" xr:uid="{00000000-0005-0000-0000-000058050000}"/>
    <cellStyle name="Accent4 48" xfId="1369" xr:uid="{00000000-0005-0000-0000-000059050000}"/>
    <cellStyle name="Accent4 49" xfId="1370" xr:uid="{00000000-0005-0000-0000-00005A050000}"/>
    <cellStyle name="Accent4 5" xfId="1371" xr:uid="{00000000-0005-0000-0000-00005B050000}"/>
    <cellStyle name="Accent4 50" xfId="1372" xr:uid="{00000000-0005-0000-0000-00005C050000}"/>
    <cellStyle name="Accent4 51" xfId="1373" xr:uid="{00000000-0005-0000-0000-00005D050000}"/>
    <cellStyle name="Accent4 52" xfId="1374" xr:uid="{00000000-0005-0000-0000-00005E050000}"/>
    <cellStyle name="Accent4 53" xfId="1375" xr:uid="{00000000-0005-0000-0000-00005F050000}"/>
    <cellStyle name="Accent4 54" xfId="1376" xr:uid="{00000000-0005-0000-0000-000060050000}"/>
    <cellStyle name="Accent4 55" xfId="1377" xr:uid="{00000000-0005-0000-0000-000061050000}"/>
    <cellStyle name="Accent4 56" xfId="1378" xr:uid="{00000000-0005-0000-0000-000062050000}"/>
    <cellStyle name="Accent4 57" xfId="1379" xr:uid="{00000000-0005-0000-0000-000063050000}"/>
    <cellStyle name="Accent4 58" xfId="1380" xr:uid="{00000000-0005-0000-0000-000064050000}"/>
    <cellStyle name="Accent4 59" xfId="1381" xr:uid="{00000000-0005-0000-0000-000065050000}"/>
    <cellStyle name="Accent4 6" xfId="1382" xr:uid="{00000000-0005-0000-0000-000066050000}"/>
    <cellStyle name="Accent4 60" xfId="1383" xr:uid="{00000000-0005-0000-0000-000067050000}"/>
    <cellStyle name="Accent4 61" xfId="1384" xr:uid="{00000000-0005-0000-0000-000068050000}"/>
    <cellStyle name="Accent4 62" xfId="1385" xr:uid="{00000000-0005-0000-0000-000069050000}"/>
    <cellStyle name="Accent4 63" xfId="1386" xr:uid="{00000000-0005-0000-0000-00006A050000}"/>
    <cellStyle name="Accent4 7" xfId="1387" xr:uid="{00000000-0005-0000-0000-00006B050000}"/>
    <cellStyle name="Accent4 8" xfId="1388" xr:uid="{00000000-0005-0000-0000-00006C050000}"/>
    <cellStyle name="Accent4 9" xfId="1389" xr:uid="{00000000-0005-0000-0000-00006D050000}"/>
    <cellStyle name="Accent5 1" xfId="1390" xr:uid="{00000000-0005-0000-0000-00006E050000}"/>
    <cellStyle name="Accent5 10" xfId="1391" xr:uid="{00000000-0005-0000-0000-00006F050000}"/>
    <cellStyle name="Accent5 11" xfId="1392" xr:uid="{00000000-0005-0000-0000-000070050000}"/>
    <cellStyle name="Accent5 12" xfId="1393" xr:uid="{00000000-0005-0000-0000-000071050000}"/>
    <cellStyle name="Accent5 13" xfId="1394" xr:uid="{00000000-0005-0000-0000-000072050000}"/>
    <cellStyle name="Accent5 14" xfId="1395" xr:uid="{00000000-0005-0000-0000-000073050000}"/>
    <cellStyle name="Accent5 15" xfId="1396" xr:uid="{00000000-0005-0000-0000-000074050000}"/>
    <cellStyle name="Accent5 16" xfId="1397" xr:uid="{00000000-0005-0000-0000-000075050000}"/>
    <cellStyle name="Accent5 17" xfId="1398" xr:uid="{00000000-0005-0000-0000-000076050000}"/>
    <cellStyle name="Accent5 18" xfId="1399" xr:uid="{00000000-0005-0000-0000-000077050000}"/>
    <cellStyle name="Accent5 19" xfId="1400" xr:uid="{00000000-0005-0000-0000-000078050000}"/>
    <cellStyle name="Accent5 2" xfId="1401" xr:uid="{00000000-0005-0000-0000-000079050000}"/>
    <cellStyle name="Accent5 20" xfId="1402" xr:uid="{00000000-0005-0000-0000-00007A050000}"/>
    <cellStyle name="Accent5 21" xfId="1403" xr:uid="{00000000-0005-0000-0000-00007B050000}"/>
    <cellStyle name="Accent5 22" xfId="1404" xr:uid="{00000000-0005-0000-0000-00007C050000}"/>
    <cellStyle name="Accent5 23" xfId="1405" xr:uid="{00000000-0005-0000-0000-00007D050000}"/>
    <cellStyle name="Accent5 24" xfId="1406" xr:uid="{00000000-0005-0000-0000-00007E050000}"/>
    <cellStyle name="Accent5 25" xfId="1407" xr:uid="{00000000-0005-0000-0000-00007F050000}"/>
    <cellStyle name="Accent5 26" xfId="1408" xr:uid="{00000000-0005-0000-0000-000080050000}"/>
    <cellStyle name="Accent5 27" xfId="1409" xr:uid="{00000000-0005-0000-0000-000081050000}"/>
    <cellStyle name="Accent5 28" xfId="1410" xr:uid="{00000000-0005-0000-0000-000082050000}"/>
    <cellStyle name="Accent5 29" xfId="1411" xr:uid="{00000000-0005-0000-0000-000083050000}"/>
    <cellStyle name="Accent5 3" xfId="1412" xr:uid="{00000000-0005-0000-0000-000084050000}"/>
    <cellStyle name="Accent5 30" xfId="1413" xr:uid="{00000000-0005-0000-0000-000085050000}"/>
    <cellStyle name="Accent5 31" xfId="1414" xr:uid="{00000000-0005-0000-0000-000086050000}"/>
    <cellStyle name="Accent5 32" xfId="1415" xr:uid="{00000000-0005-0000-0000-000087050000}"/>
    <cellStyle name="Accent5 33" xfId="1416" xr:uid="{00000000-0005-0000-0000-000088050000}"/>
    <cellStyle name="Accent5 34" xfId="1417" xr:uid="{00000000-0005-0000-0000-000089050000}"/>
    <cellStyle name="Accent5 35" xfId="1418" xr:uid="{00000000-0005-0000-0000-00008A050000}"/>
    <cellStyle name="Accent5 36" xfId="1419" xr:uid="{00000000-0005-0000-0000-00008B050000}"/>
    <cellStyle name="Accent5 37" xfId="1420" xr:uid="{00000000-0005-0000-0000-00008C050000}"/>
    <cellStyle name="Accent5 38" xfId="1421" xr:uid="{00000000-0005-0000-0000-00008D050000}"/>
    <cellStyle name="Accent5 39" xfId="1422" xr:uid="{00000000-0005-0000-0000-00008E050000}"/>
    <cellStyle name="Accent5 4" xfId="1423" xr:uid="{00000000-0005-0000-0000-00008F050000}"/>
    <cellStyle name="Accent5 40" xfId="1424" xr:uid="{00000000-0005-0000-0000-000090050000}"/>
    <cellStyle name="Accent5 41" xfId="1425" xr:uid="{00000000-0005-0000-0000-000091050000}"/>
    <cellStyle name="Accent5 42" xfId="1426" xr:uid="{00000000-0005-0000-0000-000092050000}"/>
    <cellStyle name="Accent5 43" xfId="1427" xr:uid="{00000000-0005-0000-0000-000093050000}"/>
    <cellStyle name="Accent5 44" xfId="1428" xr:uid="{00000000-0005-0000-0000-000094050000}"/>
    <cellStyle name="Accent5 45" xfId="1429" xr:uid="{00000000-0005-0000-0000-000095050000}"/>
    <cellStyle name="Accent5 46" xfId="1430" xr:uid="{00000000-0005-0000-0000-000096050000}"/>
    <cellStyle name="Accent5 47" xfId="1431" xr:uid="{00000000-0005-0000-0000-000097050000}"/>
    <cellStyle name="Accent5 48" xfId="1432" xr:uid="{00000000-0005-0000-0000-000098050000}"/>
    <cellStyle name="Accent5 49" xfId="1433" xr:uid="{00000000-0005-0000-0000-000099050000}"/>
    <cellStyle name="Accent5 5" xfId="1434" xr:uid="{00000000-0005-0000-0000-00009A050000}"/>
    <cellStyle name="Accent5 50" xfId="1435" xr:uid="{00000000-0005-0000-0000-00009B050000}"/>
    <cellStyle name="Accent5 51" xfId="1436" xr:uid="{00000000-0005-0000-0000-00009C050000}"/>
    <cellStyle name="Accent5 52" xfId="1437" xr:uid="{00000000-0005-0000-0000-00009D050000}"/>
    <cellStyle name="Accent5 53" xfId="1438" xr:uid="{00000000-0005-0000-0000-00009E050000}"/>
    <cellStyle name="Accent5 54" xfId="1439" xr:uid="{00000000-0005-0000-0000-00009F050000}"/>
    <cellStyle name="Accent5 55" xfId="1440" xr:uid="{00000000-0005-0000-0000-0000A0050000}"/>
    <cellStyle name="Accent5 56" xfId="1441" xr:uid="{00000000-0005-0000-0000-0000A1050000}"/>
    <cellStyle name="Accent5 57" xfId="1442" xr:uid="{00000000-0005-0000-0000-0000A2050000}"/>
    <cellStyle name="Accent5 58" xfId="1443" xr:uid="{00000000-0005-0000-0000-0000A3050000}"/>
    <cellStyle name="Accent5 59" xfId="1444" xr:uid="{00000000-0005-0000-0000-0000A4050000}"/>
    <cellStyle name="Accent5 6" xfId="1445" xr:uid="{00000000-0005-0000-0000-0000A5050000}"/>
    <cellStyle name="Accent5 60" xfId="1446" xr:uid="{00000000-0005-0000-0000-0000A6050000}"/>
    <cellStyle name="Accent5 61" xfId="1447" xr:uid="{00000000-0005-0000-0000-0000A7050000}"/>
    <cellStyle name="Accent5 62" xfId="1448" xr:uid="{00000000-0005-0000-0000-0000A8050000}"/>
    <cellStyle name="Accent5 63" xfId="1449" xr:uid="{00000000-0005-0000-0000-0000A9050000}"/>
    <cellStyle name="Accent5 7" xfId="1450" xr:uid="{00000000-0005-0000-0000-0000AA050000}"/>
    <cellStyle name="Accent5 8" xfId="1451" xr:uid="{00000000-0005-0000-0000-0000AB050000}"/>
    <cellStyle name="Accent5 9" xfId="1452" xr:uid="{00000000-0005-0000-0000-0000AC050000}"/>
    <cellStyle name="Accent6 1" xfId="1453" xr:uid="{00000000-0005-0000-0000-0000AD050000}"/>
    <cellStyle name="Accent6 10" xfId="1454" xr:uid="{00000000-0005-0000-0000-0000AE050000}"/>
    <cellStyle name="Accent6 11" xfId="1455" xr:uid="{00000000-0005-0000-0000-0000AF050000}"/>
    <cellStyle name="Accent6 12" xfId="1456" xr:uid="{00000000-0005-0000-0000-0000B0050000}"/>
    <cellStyle name="Accent6 13" xfId="1457" xr:uid="{00000000-0005-0000-0000-0000B1050000}"/>
    <cellStyle name="Accent6 14" xfId="1458" xr:uid="{00000000-0005-0000-0000-0000B2050000}"/>
    <cellStyle name="Accent6 15" xfId="1459" xr:uid="{00000000-0005-0000-0000-0000B3050000}"/>
    <cellStyle name="Accent6 16" xfId="1460" xr:uid="{00000000-0005-0000-0000-0000B4050000}"/>
    <cellStyle name="Accent6 17" xfId="1461" xr:uid="{00000000-0005-0000-0000-0000B5050000}"/>
    <cellStyle name="Accent6 18" xfId="1462" xr:uid="{00000000-0005-0000-0000-0000B6050000}"/>
    <cellStyle name="Accent6 19" xfId="1463" xr:uid="{00000000-0005-0000-0000-0000B7050000}"/>
    <cellStyle name="Accent6 2" xfId="1464" xr:uid="{00000000-0005-0000-0000-0000B8050000}"/>
    <cellStyle name="Accent6 20" xfId="1465" xr:uid="{00000000-0005-0000-0000-0000B9050000}"/>
    <cellStyle name="Accent6 21" xfId="1466" xr:uid="{00000000-0005-0000-0000-0000BA050000}"/>
    <cellStyle name="Accent6 22" xfId="1467" xr:uid="{00000000-0005-0000-0000-0000BB050000}"/>
    <cellStyle name="Accent6 23" xfId="1468" xr:uid="{00000000-0005-0000-0000-0000BC050000}"/>
    <cellStyle name="Accent6 24" xfId="1469" xr:uid="{00000000-0005-0000-0000-0000BD050000}"/>
    <cellStyle name="Accent6 25" xfId="1470" xr:uid="{00000000-0005-0000-0000-0000BE050000}"/>
    <cellStyle name="Accent6 26" xfId="1471" xr:uid="{00000000-0005-0000-0000-0000BF050000}"/>
    <cellStyle name="Accent6 27" xfId="1472" xr:uid="{00000000-0005-0000-0000-0000C0050000}"/>
    <cellStyle name="Accent6 28" xfId="1473" xr:uid="{00000000-0005-0000-0000-0000C1050000}"/>
    <cellStyle name="Accent6 29" xfId="1474" xr:uid="{00000000-0005-0000-0000-0000C2050000}"/>
    <cellStyle name="Accent6 3" xfId="1475" xr:uid="{00000000-0005-0000-0000-0000C3050000}"/>
    <cellStyle name="Accent6 30" xfId="1476" xr:uid="{00000000-0005-0000-0000-0000C4050000}"/>
    <cellStyle name="Accent6 31" xfId="1477" xr:uid="{00000000-0005-0000-0000-0000C5050000}"/>
    <cellStyle name="Accent6 32" xfId="1478" xr:uid="{00000000-0005-0000-0000-0000C6050000}"/>
    <cellStyle name="Accent6 33" xfId="1479" xr:uid="{00000000-0005-0000-0000-0000C7050000}"/>
    <cellStyle name="Accent6 34" xfId="1480" xr:uid="{00000000-0005-0000-0000-0000C8050000}"/>
    <cellStyle name="Accent6 35" xfId="1481" xr:uid="{00000000-0005-0000-0000-0000C9050000}"/>
    <cellStyle name="Accent6 36" xfId="1482" xr:uid="{00000000-0005-0000-0000-0000CA050000}"/>
    <cellStyle name="Accent6 37" xfId="1483" xr:uid="{00000000-0005-0000-0000-0000CB050000}"/>
    <cellStyle name="Accent6 38" xfId="1484" xr:uid="{00000000-0005-0000-0000-0000CC050000}"/>
    <cellStyle name="Accent6 39" xfId="1485" xr:uid="{00000000-0005-0000-0000-0000CD050000}"/>
    <cellStyle name="Accent6 4" xfId="1486" xr:uid="{00000000-0005-0000-0000-0000CE050000}"/>
    <cellStyle name="Accent6 40" xfId="1487" xr:uid="{00000000-0005-0000-0000-0000CF050000}"/>
    <cellStyle name="Accent6 41" xfId="1488" xr:uid="{00000000-0005-0000-0000-0000D0050000}"/>
    <cellStyle name="Accent6 42" xfId="1489" xr:uid="{00000000-0005-0000-0000-0000D1050000}"/>
    <cellStyle name="Accent6 43" xfId="1490" xr:uid="{00000000-0005-0000-0000-0000D2050000}"/>
    <cellStyle name="Accent6 44" xfId="1491" xr:uid="{00000000-0005-0000-0000-0000D3050000}"/>
    <cellStyle name="Accent6 45" xfId="1492" xr:uid="{00000000-0005-0000-0000-0000D4050000}"/>
    <cellStyle name="Accent6 46" xfId="1493" xr:uid="{00000000-0005-0000-0000-0000D5050000}"/>
    <cellStyle name="Accent6 47" xfId="1494" xr:uid="{00000000-0005-0000-0000-0000D6050000}"/>
    <cellStyle name="Accent6 48" xfId="1495" xr:uid="{00000000-0005-0000-0000-0000D7050000}"/>
    <cellStyle name="Accent6 49" xfId="1496" xr:uid="{00000000-0005-0000-0000-0000D8050000}"/>
    <cellStyle name="Accent6 5" xfId="1497" xr:uid="{00000000-0005-0000-0000-0000D9050000}"/>
    <cellStyle name="Accent6 50" xfId="1498" xr:uid="{00000000-0005-0000-0000-0000DA050000}"/>
    <cellStyle name="Accent6 51" xfId="1499" xr:uid="{00000000-0005-0000-0000-0000DB050000}"/>
    <cellStyle name="Accent6 52" xfId="1500" xr:uid="{00000000-0005-0000-0000-0000DC050000}"/>
    <cellStyle name="Accent6 53" xfId="1501" xr:uid="{00000000-0005-0000-0000-0000DD050000}"/>
    <cellStyle name="Accent6 54" xfId="1502" xr:uid="{00000000-0005-0000-0000-0000DE050000}"/>
    <cellStyle name="Accent6 55" xfId="1503" xr:uid="{00000000-0005-0000-0000-0000DF050000}"/>
    <cellStyle name="Accent6 56" xfId="1504" xr:uid="{00000000-0005-0000-0000-0000E0050000}"/>
    <cellStyle name="Accent6 57" xfId="1505" xr:uid="{00000000-0005-0000-0000-0000E1050000}"/>
    <cellStyle name="Accent6 58" xfId="1506" xr:uid="{00000000-0005-0000-0000-0000E2050000}"/>
    <cellStyle name="Accent6 59" xfId="1507" xr:uid="{00000000-0005-0000-0000-0000E3050000}"/>
    <cellStyle name="Accent6 6" xfId="1508" xr:uid="{00000000-0005-0000-0000-0000E4050000}"/>
    <cellStyle name="Accent6 60" xfId="1509" xr:uid="{00000000-0005-0000-0000-0000E5050000}"/>
    <cellStyle name="Accent6 61" xfId="1510" xr:uid="{00000000-0005-0000-0000-0000E6050000}"/>
    <cellStyle name="Accent6 62" xfId="1511" xr:uid="{00000000-0005-0000-0000-0000E7050000}"/>
    <cellStyle name="Accent6 63" xfId="1512" xr:uid="{00000000-0005-0000-0000-0000E8050000}"/>
    <cellStyle name="Accent6 7" xfId="1513" xr:uid="{00000000-0005-0000-0000-0000E9050000}"/>
    <cellStyle name="Accent6 8" xfId="1514" xr:uid="{00000000-0005-0000-0000-0000EA050000}"/>
    <cellStyle name="Accent6 9" xfId="1515" xr:uid="{00000000-0005-0000-0000-0000EB050000}"/>
    <cellStyle name="active" xfId="2587" xr:uid="{00000000-0005-0000-0000-00001B0A0000}"/>
    <cellStyle name="alert" xfId="4" xr:uid="{00000000-0005-0000-0000-000004000000}"/>
    <cellStyle name="Bad 1" xfId="1516" xr:uid="{00000000-0005-0000-0000-0000EC050000}"/>
    <cellStyle name="Bad 10" xfId="1517" xr:uid="{00000000-0005-0000-0000-0000ED050000}"/>
    <cellStyle name="Bad 11" xfId="1518" xr:uid="{00000000-0005-0000-0000-0000EE050000}"/>
    <cellStyle name="Bad 12" xfId="1519" xr:uid="{00000000-0005-0000-0000-0000EF050000}"/>
    <cellStyle name="Bad 13" xfId="1520" xr:uid="{00000000-0005-0000-0000-0000F0050000}"/>
    <cellStyle name="Bad 14" xfId="1521" xr:uid="{00000000-0005-0000-0000-0000F1050000}"/>
    <cellStyle name="Bad 15" xfId="1522" xr:uid="{00000000-0005-0000-0000-0000F2050000}"/>
    <cellStyle name="Bad 16" xfId="1523" xr:uid="{00000000-0005-0000-0000-0000F3050000}"/>
    <cellStyle name="Bad 17" xfId="1524" xr:uid="{00000000-0005-0000-0000-0000F4050000}"/>
    <cellStyle name="Bad 18" xfId="1525" xr:uid="{00000000-0005-0000-0000-0000F5050000}"/>
    <cellStyle name="Bad 19" xfId="1526" xr:uid="{00000000-0005-0000-0000-0000F6050000}"/>
    <cellStyle name="Bad 2" xfId="1527" xr:uid="{00000000-0005-0000-0000-0000F7050000}"/>
    <cellStyle name="Bad 20" xfId="1528" xr:uid="{00000000-0005-0000-0000-0000F8050000}"/>
    <cellStyle name="Bad 21" xfId="1529" xr:uid="{00000000-0005-0000-0000-0000F9050000}"/>
    <cellStyle name="Bad 22" xfId="1530" xr:uid="{00000000-0005-0000-0000-0000FA050000}"/>
    <cellStyle name="Bad 23" xfId="1531" xr:uid="{00000000-0005-0000-0000-0000FB050000}"/>
    <cellStyle name="Bad 24" xfId="1532" xr:uid="{00000000-0005-0000-0000-0000FC050000}"/>
    <cellStyle name="Bad 25" xfId="1533" xr:uid="{00000000-0005-0000-0000-0000FD050000}"/>
    <cellStyle name="Bad 26" xfId="1534" xr:uid="{00000000-0005-0000-0000-0000FE050000}"/>
    <cellStyle name="Bad 27" xfId="1535" xr:uid="{00000000-0005-0000-0000-0000FF050000}"/>
    <cellStyle name="Bad 28" xfId="1536" xr:uid="{00000000-0005-0000-0000-000000060000}"/>
    <cellStyle name="Bad 29" xfId="1537" xr:uid="{00000000-0005-0000-0000-000001060000}"/>
    <cellStyle name="Bad 3" xfId="1538" xr:uid="{00000000-0005-0000-0000-000002060000}"/>
    <cellStyle name="Bad 30" xfId="1539" xr:uid="{00000000-0005-0000-0000-000003060000}"/>
    <cellStyle name="Bad 31" xfId="1540" xr:uid="{00000000-0005-0000-0000-000004060000}"/>
    <cellStyle name="Bad 32" xfId="1541" xr:uid="{00000000-0005-0000-0000-000005060000}"/>
    <cellStyle name="Bad 33" xfId="1542" xr:uid="{00000000-0005-0000-0000-000006060000}"/>
    <cellStyle name="Bad 34" xfId="1543" xr:uid="{00000000-0005-0000-0000-000007060000}"/>
    <cellStyle name="Bad 35" xfId="1544" xr:uid="{00000000-0005-0000-0000-000008060000}"/>
    <cellStyle name="Bad 36" xfId="1545" xr:uid="{00000000-0005-0000-0000-000009060000}"/>
    <cellStyle name="Bad 37" xfId="1546" xr:uid="{00000000-0005-0000-0000-00000A060000}"/>
    <cellStyle name="Bad 38" xfId="1547" xr:uid="{00000000-0005-0000-0000-00000B060000}"/>
    <cellStyle name="Bad 39" xfId="1548" xr:uid="{00000000-0005-0000-0000-00000C060000}"/>
    <cellStyle name="Bad 4" xfId="1549" xr:uid="{00000000-0005-0000-0000-00000D060000}"/>
    <cellStyle name="Bad 40" xfId="1550" xr:uid="{00000000-0005-0000-0000-00000E060000}"/>
    <cellStyle name="Bad 41" xfId="1551" xr:uid="{00000000-0005-0000-0000-00000F060000}"/>
    <cellStyle name="Bad 42" xfId="1552" xr:uid="{00000000-0005-0000-0000-000010060000}"/>
    <cellStyle name="Bad 43" xfId="1553" xr:uid="{00000000-0005-0000-0000-000011060000}"/>
    <cellStyle name="Bad 44" xfId="1554" xr:uid="{00000000-0005-0000-0000-000012060000}"/>
    <cellStyle name="Bad 45" xfId="1555" xr:uid="{00000000-0005-0000-0000-000013060000}"/>
    <cellStyle name="Bad 46" xfId="1556" xr:uid="{00000000-0005-0000-0000-000014060000}"/>
    <cellStyle name="Bad 47" xfId="1557" xr:uid="{00000000-0005-0000-0000-000015060000}"/>
    <cellStyle name="Bad 48" xfId="1558" xr:uid="{00000000-0005-0000-0000-000016060000}"/>
    <cellStyle name="Bad 49" xfId="1559" xr:uid="{00000000-0005-0000-0000-000017060000}"/>
    <cellStyle name="Bad 5" xfId="1560" xr:uid="{00000000-0005-0000-0000-000018060000}"/>
    <cellStyle name="Bad 50" xfId="1561" xr:uid="{00000000-0005-0000-0000-000019060000}"/>
    <cellStyle name="Bad 51" xfId="1562" xr:uid="{00000000-0005-0000-0000-00001A060000}"/>
    <cellStyle name="Bad 52" xfId="1563" xr:uid="{00000000-0005-0000-0000-00001B060000}"/>
    <cellStyle name="Bad 53" xfId="1564" xr:uid="{00000000-0005-0000-0000-00001C060000}"/>
    <cellStyle name="Bad 54" xfId="1565" xr:uid="{00000000-0005-0000-0000-00001D060000}"/>
    <cellStyle name="Bad 55" xfId="1566" xr:uid="{00000000-0005-0000-0000-00001E060000}"/>
    <cellStyle name="Bad 56" xfId="1567" xr:uid="{00000000-0005-0000-0000-00001F060000}"/>
    <cellStyle name="Bad 57" xfId="1568" xr:uid="{00000000-0005-0000-0000-000020060000}"/>
    <cellStyle name="Bad 58" xfId="1569" xr:uid="{00000000-0005-0000-0000-000021060000}"/>
    <cellStyle name="Bad 59" xfId="1570" xr:uid="{00000000-0005-0000-0000-000022060000}"/>
    <cellStyle name="Bad 6" xfId="1571" xr:uid="{00000000-0005-0000-0000-000023060000}"/>
    <cellStyle name="Bad 60" xfId="1572" xr:uid="{00000000-0005-0000-0000-000024060000}"/>
    <cellStyle name="Bad 61" xfId="1573" xr:uid="{00000000-0005-0000-0000-000025060000}"/>
    <cellStyle name="Bad 62" xfId="1574" xr:uid="{00000000-0005-0000-0000-000026060000}"/>
    <cellStyle name="Bad 63" xfId="1575" xr:uid="{00000000-0005-0000-0000-000027060000}"/>
    <cellStyle name="Bad 7" xfId="1576" xr:uid="{00000000-0005-0000-0000-000028060000}"/>
    <cellStyle name="Bad 8" xfId="1577" xr:uid="{00000000-0005-0000-0000-000029060000}"/>
    <cellStyle name="Bad 9" xfId="1578" xr:uid="{00000000-0005-0000-0000-00002A060000}"/>
    <cellStyle name="BOM-DOWN" xfId="2588" xr:uid="{00000000-0005-0000-0000-00001C0A0000}"/>
    <cellStyle name="Break" xfId="2589" xr:uid="{00000000-0005-0000-0000-00001D0A0000}"/>
    <cellStyle name="Calculation 1" xfId="1579" xr:uid="{00000000-0005-0000-0000-00002B060000}"/>
    <cellStyle name="Calculation 10" xfId="1580" xr:uid="{00000000-0005-0000-0000-00002C060000}"/>
    <cellStyle name="Calculation 11" xfId="1581" xr:uid="{00000000-0005-0000-0000-00002D060000}"/>
    <cellStyle name="Calculation 12" xfId="1582" xr:uid="{00000000-0005-0000-0000-00002E060000}"/>
    <cellStyle name="Calculation 13" xfId="1583" xr:uid="{00000000-0005-0000-0000-00002F060000}"/>
    <cellStyle name="Calculation 14" xfId="1584" xr:uid="{00000000-0005-0000-0000-000030060000}"/>
    <cellStyle name="Calculation 15" xfId="1585" xr:uid="{00000000-0005-0000-0000-000031060000}"/>
    <cellStyle name="Calculation 16" xfId="1586" xr:uid="{00000000-0005-0000-0000-000032060000}"/>
    <cellStyle name="Calculation 17" xfId="1587" xr:uid="{00000000-0005-0000-0000-000033060000}"/>
    <cellStyle name="Calculation 18" xfId="1588" xr:uid="{00000000-0005-0000-0000-000034060000}"/>
    <cellStyle name="Calculation 19" xfId="1589" xr:uid="{00000000-0005-0000-0000-000035060000}"/>
    <cellStyle name="Calculation 2" xfId="1590" xr:uid="{00000000-0005-0000-0000-000036060000}"/>
    <cellStyle name="Calculation 20" xfId="1591" xr:uid="{00000000-0005-0000-0000-000037060000}"/>
    <cellStyle name="Calculation 21" xfId="1592" xr:uid="{00000000-0005-0000-0000-000038060000}"/>
    <cellStyle name="Calculation 22" xfId="1593" xr:uid="{00000000-0005-0000-0000-000039060000}"/>
    <cellStyle name="Calculation 23" xfId="1594" xr:uid="{00000000-0005-0000-0000-00003A060000}"/>
    <cellStyle name="Calculation 24" xfId="1595" xr:uid="{00000000-0005-0000-0000-00003B060000}"/>
    <cellStyle name="Calculation 25" xfId="1596" xr:uid="{00000000-0005-0000-0000-00003C060000}"/>
    <cellStyle name="Calculation 26" xfId="1597" xr:uid="{00000000-0005-0000-0000-00003D060000}"/>
    <cellStyle name="Calculation 27" xfId="1598" xr:uid="{00000000-0005-0000-0000-00003E060000}"/>
    <cellStyle name="Calculation 28" xfId="1599" xr:uid="{00000000-0005-0000-0000-00003F060000}"/>
    <cellStyle name="Calculation 29" xfId="1600" xr:uid="{00000000-0005-0000-0000-000040060000}"/>
    <cellStyle name="Calculation 3" xfId="1601" xr:uid="{00000000-0005-0000-0000-000041060000}"/>
    <cellStyle name="Calculation 30" xfId="1602" xr:uid="{00000000-0005-0000-0000-000042060000}"/>
    <cellStyle name="Calculation 31" xfId="1603" xr:uid="{00000000-0005-0000-0000-000043060000}"/>
    <cellStyle name="Calculation 32" xfId="1604" xr:uid="{00000000-0005-0000-0000-000044060000}"/>
    <cellStyle name="Calculation 33" xfId="1605" xr:uid="{00000000-0005-0000-0000-000045060000}"/>
    <cellStyle name="Calculation 34" xfId="1606" xr:uid="{00000000-0005-0000-0000-000046060000}"/>
    <cellStyle name="Calculation 35" xfId="1607" xr:uid="{00000000-0005-0000-0000-000047060000}"/>
    <cellStyle name="Calculation 36" xfId="1608" xr:uid="{00000000-0005-0000-0000-000048060000}"/>
    <cellStyle name="Calculation 37" xfId="1609" xr:uid="{00000000-0005-0000-0000-000049060000}"/>
    <cellStyle name="Calculation 38" xfId="1610" xr:uid="{00000000-0005-0000-0000-00004A060000}"/>
    <cellStyle name="Calculation 39" xfId="1611" xr:uid="{00000000-0005-0000-0000-00004B060000}"/>
    <cellStyle name="Calculation 4" xfId="1612" xr:uid="{00000000-0005-0000-0000-00004C060000}"/>
    <cellStyle name="Calculation 40" xfId="1613" xr:uid="{00000000-0005-0000-0000-00004D060000}"/>
    <cellStyle name="Calculation 41" xfId="1614" xr:uid="{00000000-0005-0000-0000-00004E060000}"/>
    <cellStyle name="Calculation 42" xfId="1615" xr:uid="{00000000-0005-0000-0000-00004F060000}"/>
    <cellStyle name="Calculation 43" xfId="1616" xr:uid="{00000000-0005-0000-0000-000050060000}"/>
    <cellStyle name="Calculation 44" xfId="1617" xr:uid="{00000000-0005-0000-0000-000051060000}"/>
    <cellStyle name="Calculation 45" xfId="1618" xr:uid="{00000000-0005-0000-0000-000052060000}"/>
    <cellStyle name="Calculation 46" xfId="1619" xr:uid="{00000000-0005-0000-0000-000053060000}"/>
    <cellStyle name="Calculation 47" xfId="1620" xr:uid="{00000000-0005-0000-0000-000054060000}"/>
    <cellStyle name="Calculation 48" xfId="1621" xr:uid="{00000000-0005-0000-0000-000055060000}"/>
    <cellStyle name="Calculation 49" xfId="1622" xr:uid="{00000000-0005-0000-0000-000056060000}"/>
    <cellStyle name="Calculation 5" xfId="1623" xr:uid="{00000000-0005-0000-0000-000057060000}"/>
    <cellStyle name="Calculation 50" xfId="1624" xr:uid="{00000000-0005-0000-0000-000058060000}"/>
    <cellStyle name="Calculation 51" xfId="1625" xr:uid="{00000000-0005-0000-0000-000059060000}"/>
    <cellStyle name="Calculation 52" xfId="1626" xr:uid="{00000000-0005-0000-0000-00005A060000}"/>
    <cellStyle name="Calculation 53" xfId="1627" xr:uid="{00000000-0005-0000-0000-00005B060000}"/>
    <cellStyle name="Calculation 54" xfId="1628" xr:uid="{00000000-0005-0000-0000-00005C060000}"/>
    <cellStyle name="Calculation 55" xfId="1629" xr:uid="{00000000-0005-0000-0000-00005D060000}"/>
    <cellStyle name="Calculation 56" xfId="1630" xr:uid="{00000000-0005-0000-0000-00005E060000}"/>
    <cellStyle name="Calculation 57" xfId="1631" xr:uid="{00000000-0005-0000-0000-00005F060000}"/>
    <cellStyle name="Calculation 58" xfId="1632" xr:uid="{00000000-0005-0000-0000-000060060000}"/>
    <cellStyle name="Calculation 59" xfId="1633" xr:uid="{00000000-0005-0000-0000-000061060000}"/>
    <cellStyle name="Calculation 6" xfId="1634" xr:uid="{00000000-0005-0000-0000-000062060000}"/>
    <cellStyle name="Calculation 60" xfId="1635" xr:uid="{00000000-0005-0000-0000-000063060000}"/>
    <cellStyle name="Calculation 61" xfId="1636" xr:uid="{00000000-0005-0000-0000-000064060000}"/>
    <cellStyle name="Calculation 62" xfId="1637" xr:uid="{00000000-0005-0000-0000-000065060000}"/>
    <cellStyle name="Calculation 63" xfId="1638" xr:uid="{00000000-0005-0000-0000-000066060000}"/>
    <cellStyle name="Calculation 7" xfId="1639" xr:uid="{00000000-0005-0000-0000-000067060000}"/>
    <cellStyle name="Calculation 8" xfId="1640" xr:uid="{00000000-0005-0000-0000-000068060000}"/>
    <cellStyle name="Calculation 9" xfId="1641" xr:uid="{00000000-0005-0000-0000-000069060000}"/>
    <cellStyle name="Check Cell 1" xfId="1642" xr:uid="{00000000-0005-0000-0000-00006A060000}"/>
    <cellStyle name="Check Cell 10" xfId="1643" xr:uid="{00000000-0005-0000-0000-00006B060000}"/>
    <cellStyle name="Check Cell 11" xfId="1644" xr:uid="{00000000-0005-0000-0000-00006C060000}"/>
    <cellStyle name="Check Cell 12" xfId="1645" xr:uid="{00000000-0005-0000-0000-00006D060000}"/>
    <cellStyle name="Check Cell 13" xfId="1646" xr:uid="{00000000-0005-0000-0000-00006E060000}"/>
    <cellStyle name="Check Cell 14" xfId="1647" xr:uid="{00000000-0005-0000-0000-00006F060000}"/>
    <cellStyle name="Check Cell 15" xfId="1648" xr:uid="{00000000-0005-0000-0000-000070060000}"/>
    <cellStyle name="Check Cell 16" xfId="1649" xr:uid="{00000000-0005-0000-0000-000071060000}"/>
    <cellStyle name="Check Cell 17" xfId="1650" xr:uid="{00000000-0005-0000-0000-000072060000}"/>
    <cellStyle name="Check Cell 18" xfId="1651" xr:uid="{00000000-0005-0000-0000-000073060000}"/>
    <cellStyle name="Check Cell 19" xfId="1652" xr:uid="{00000000-0005-0000-0000-000074060000}"/>
    <cellStyle name="Check Cell 2" xfId="1653" xr:uid="{00000000-0005-0000-0000-000075060000}"/>
    <cellStyle name="Check Cell 20" xfId="1654" xr:uid="{00000000-0005-0000-0000-000076060000}"/>
    <cellStyle name="Check Cell 21" xfId="1655" xr:uid="{00000000-0005-0000-0000-000077060000}"/>
    <cellStyle name="Check Cell 22" xfId="1656" xr:uid="{00000000-0005-0000-0000-000078060000}"/>
    <cellStyle name="Check Cell 23" xfId="1657" xr:uid="{00000000-0005-0000-0000-000079060000}"/>
    <cellStyle name="Check Cell 24" xfId="1658" xr:uid="{00000000-0005-0000-0000-00007A060000}"/>
    <cellStyle name="Check Cell 25" xfId="1659" xr:uid="{00000000-0005-0000-0000-00007B060000}"/>
    <cellStyle name="Check Cell 26" xfId="1660" xr:uid="{00000000-0005-0000-0000-00007C060000}"/>
    <cellStyle name="Check Cell 27" xfId="1661" xr:uid="{00000000-0005-0000-0000-00007D060000}"/>
    <cellStyle name="Check Cell 28" xfId="1662" xr:uid="{00000000-0005-0000-0000-00007E060000}"/>
    <cellStyle name="Check Cell 29" xfId="1663" xr:uid="{00000000-0005-0000-0000-00007F060000}"/>
    <cellStyle name="Check Cell 3" xfId="1664" xr:uid="{00000000-0005-0000-0000-000080060000}"/>
    <cellStyle name="Check Cell 30" xfId="1665" xr:uid="{00000000-0005-0000-0000-000081060000}"/>
    <cellStyle name="Check Cell 31" xfId="1666" xr:uid="{00000000-0005-0000-0000-000082060000}"/>
    <cellStyle name="Check Cell 32" xfId="1667" xr:uid="{00000000-0005-0000-0000-000083060000}"/>
    <cellStyle name="Check Cell 33" xfId="1668" xr:uid="{00000000-0005-0000-0000-000084060000}"/>
    <cellStyle name="Check Cell 34" xfId="1669" xr:uid="{00000000-0005-0000-0000-000085060000}"/>
    <cellStyle name="Check Cell 35" xfId="1670" xr:uid="{00000000-0005-0000-0000-000086060000}"/>
    <cellStyle name="Check Cell 36" xfId="1671" xr:uid="{00000000-0005-0000-0000-000087060000}"/>
    <cellStyle name="Check Cell 37" xfId="1672" xr:uid="{00000000-0005-0000-0000-000088060000}"/>
    <cellStyle name="Check Cell 38" xfId="1673" xr:uid="{00000000-0005-0000-0000-000089060000}"/>
    <cellStyle name="Check Cell 39" xfId="1674" xr:uid="{00000000-0005-0000-0000-00008A060000}"/>
    <cellStyle name="Check Cell 4" xfId="1675" xr:uid="{00000000-0005-0000-0000-00008B060000}"/>
    <cellStyle name="Check Cell 40" xfId="1676" xr:uid="{00000000-0005-0000-0000-00008C060000}"/>
    <cellStyle name="Check Cell 41" xfId="1677" xr:uid="{00000000-0005-0000-0000-00008D060000}"/>
    <cellStyle name="Check Cell 42" xfId="1678" xr:uid="{00000000-0005-0000-0000-00008E060000}"/>
    <cellStyle name="Check Cell 43" xfId="1679" xr:uid="{00000000-0005-0000-0000-00008F060000}"/>
    <cellStyle name="Check Cell 44" xfId="1680" xr:uid="{00000000-0005-0000-0000-000090060000}"/>
    <cellStyle name="Check Cell 45" xfId="1681" xr:uid="{00000000-0005-0000-0000-000091060000}"/>
    <cellStyle name="Check Cell 46" xfId="1682" xr:uid="{00000000-0005-0000-0000-000092060000}"/>
    <cellStyle name="Check Cell 47" xfId="1683" xr:uid="{00000000-0005-0000-0000-000093060000}"/>
    <cellStyle name="Check Cell 48" xfId="1684" xr:uid="{00000000-0005-0000-0000-000094060000}"/>
    <cellStyle name="Check Cell 49" xfId="1685" xr:uid="{00000000-0005-0000-0000-000095060000}"/>
    <cellStyle name="Check Cell 5" xfId="1686" xr:uid="{00000000-0005-0000-0000-000096060000}"/>
    <cellStyle name="Check Cell 50" xfId="1687" xr:uid="{00000000-0005-0000-0000-000097060000}"/>
    <cellStyle name="Check Cell 51" xfId="1688" xr:uid="{00000000-0005-0000-0000-000098060000}"/>
    <cellStyle name="Check Cell 52" xfId="1689" xr:uid="{00000000-0005-0000-0000-000099060000}"/>
    <cellStyle name="Check Cell 53" xfId="1690" xr:uid="{00000000-0005-0000-0000-00009A060000}"/>
    <cellStyle name="Check Cell 54" xfId="1691" xr:uid="{00000000-0005-0000-0000-00009B060000}"/>
    <cellStyle name="Check Cell 55" xfId="1692" xr:uid="{00000000-0005-0000-0000-00009C060000}"/>
    <cellStyle name="Check Cell 56" xfId="1693" xr:uid="{00000000-0005-0000-0000-00009D060000}"/>
    <cellStyle name="Check Cell 57" xfId="1694" xr:uid="{00000000-0005-0000-0000-00009E060000}"/>
    <cellStyle name="Check Cell 58" xfId="1695" xr:uid="{00000000-0005-0000-0000-00009F060000}"/>
    <cellStyle name="Check Cell 59" xfId="1696" xr:uid="{00000000-0005-0000-0000-0000A0060000}"/>
    <cellStyle name="Check Cell 6" xfId="1697" xr:uid="{00000000-0005-0000-0000-0000A1060000}"/>
    <cellStyle name="Check Cell 60" xfId="1698" xr:uid="{00000000-0005-0000-0000-0000A2060000}"/>
    <cellStyle name="Check Cell 61" xfId="1699" xr:uid="{00000000-0005-0000-0000-0000A3060000}"/>
    <cellStyle name="Check Cell 62" xfId="1700" xr:uid="{00000000-0005-0000-0000-0000A4060000}"/>
    <cellStyle name="Check Cell 63" xfId="1701" xr:uid="{00000000-0005-0000-0000-0000A5060000}"/>
    <cellStyle name="Check Cell 7" xfId="1702" xr:uid="{00000000-0005-0000-0000-0000A6060000}"/>
    <cellStyle name="Check Cell 8" xfId="1703" xr:uid="{00000000-0005-0000-0000-0000A7060000}"/>
    <cellStyle name="Check Cell 9" xfId="1704" xr:uid="{00000000-0005-0000-0000-0000A8060000}"/>
    <cellStyle name="Component" xfId="2590" xr:uid="{00000000-0005-0000-0000-00001E0A0000}"/>
    <cellStyle name="DownLoad" xfId="2591" xr:uid="{00000000-0005-0000-0000-00001F0A0000}"/>
    <cellStyle name="DSYSPROJ" xfId="2592" xr:uid="{00000000-0005-0000-0000-0000200A0000}"/>
    <cellStyle name="Excel Built-in Normal" xfId="3" xr:uid="{00000000-0005-0000-0000-000003000000}"/>
    <cellStyle name="Explanatory Text 1" xfId="1705" xr:uid="{00000000-0005-0000-0000-0000A9060000}"/>
    <cellStyle name="Explanatory Text 10" xfId="1706" xr:uid="{00000000-0005-0000-0000-0000AA060000}"/>
    <cellStyle name="Explanatory Text 11" xfId="1707" xr:uid="{00000000-0005-0000-0000-0000AB060000}"/>
    <cellStyle name="Explanatory Text 12" xfId="1708" xr:uid="{00000000-0005-0000-0000-0000AC060000}"/>
    <cellStyle name="Explanatory Text 13" xfId="1709" xr:uid="{00000000-0005-0000-0000-0000AD060000}"/>
    <cellStyle name="Explanatory Text 14" xfId="1710" xr:uid="{00000000-0005-0000-0000-0000AE060000}"/>
    <cellStyle name="Explanatory Text 15" xfId="1711" xr:uid="{00000000-0005-0000-0000-0000AF060000}"/>
    <cellStyle name="Explanatory Text 16" xfId="1712" xr:uid="{00000000-0005-0000-0000-0000B0060000}"/>
    <cellStyle name="Explanatory Text 17" xfId="1713" xr:uid="{00000000-0005-0000-0000-0000B1060000}"/>
    <cellStyle name="Explanatory Text 18" xfId="1714" xr:uid="{00000000-0005-0000-0000-0000B2060000}"/>
    <cellStyle name="Explanatory Text 19" xfId="1715" xr:uid="{00000000-0005-0000-0000-0000B3060000}"/>
    <cellStyle name="Explanatory Text 2" xfId="1716" xr:uid="{00000000-0005-0000-0000-0000B4060000}"/>
    <cellStyle name="Explanatory Text 20" xfId="1717" xr:uid="{00000000-0005-0000-0000-0000B5060000}"/>
    <cellStyle name="Explanatory Text 21" xfId="1718" xr:uid="{00000000-0005-0000-0000-0000B6060000}"/>
    <cellStyle name="Explanatory Text 22" xfId="1719" xr:uid="{00000000-0005-0000-0000-0000B7060000}"/>
    <cellStyle name="Explanatory Text 23" xfId="1720" xr:uid="{00000000-0005-0000-0000-0000B8060000}"/>
    <cellStyle name="Explanatory Text 24" xfId="1721" xr:uid="{00000000-0005-0000-0000-0000B9060000}"/>
    <cellStyle name="Explanatory Text 25" xfId="1722" xr:uid="{00000000-0005-0000-0000-0000BA060000}"/>
    <cellStyle name="Explanatory Text 26" xfId="1723" xr:uid="{00000000-0005-0000-0000-0000BB060000}"/>
    <cellStyle name="Explanatory Text 27" xfId="1724" xr:uid="{00000000-0005-0000-0000-0000BC060000}"/>
    <cellStyle name="Explanatory Text 28" xfId="1725" xr:uid="{00000000-0005-0000-0000-0000BD060000}"/>
    <cellStyle name="Explanatory Text 29" xfId="1726" xr:uid="{00000000-0005-0000-0000-0000BE060000}"/>
    <cellStyle name="Explanatory Text 3" xfId="1727" xr:uid="{00000000-0005-0000-0000-0000BF060000}"/>
    <cellStyle name="Explanatory Text 30" xfId="1728" xr:uid="{00000000-0005-0000-0000-0000C0060000}"/>
    <cellStyle name="Explanatory Text 31" xfId="1729" xr:uid="{00000000-0005-0000-0000-0000C1060000}"/>
    <cellStyle name="Explanatory Text 32" xfId="1730" xr:uid="{00000000-0005-0000-0000-0000C2060000}"/>
    <cellStyle name="Explanatory Text 33" xfId="1731" xr:uid="{00000000-0005-0000-0000-0000C3060000}"/>
    <cellStyle name="Explanatory Text 34" xfId="1732" xr:uid="{00000000-0005-0000-0000-0000C4060000}"/>
    <cellStyle name="Explanatory Text 35" xfId="1733" xr:uid="{00000000-0005-0000-0000-0000C5060000}"/>
    <cellStyle name="Explanatory Text 36" xfId="1734" xr:uid="{00000000-0005-0000-0000-0000C6060000}"/>
    <cellStyle name="Explanatory Text 37" xfId="1735" xr:uid="{00000000-0005-0000-0000-0000C7060000}"/>
    <cellStyle name="Explanatory Text 38" xfId="1736" xr:uid="{00000000-0005-0000-0000-0000C8060000}"/>
    <cellStyle name="Explanatory Text 39" xfId="1737" xr:uid="{00000000-0005-0000-0000-0000C9060000}"/>
    <cellStyle name="Explanatory Text 4" xfId="1738" xr:uid="{00000000-0005-0000-0000-0000CA060000}"/>
    <cellStyle name="Explanatory Text 40" xfId="1739" xr:uid="{00000000-0005-0000-0000-0000CB060000}"/>
    <cellStyle name="Explanatory Text 41" xfId="1740" xr:uid="{00000000-0005-0000-0000-0000CC060000}"/>
    <cellStyle name="Explanatory Text 42" xfId="1741" xr:uid="{00000000-0005-0000-0000-0000CD060000}"/>
    <cellStyle name="Explanatory Text 43" xfId="1742" xr:uid="{00000000-0005-0000-0000-0000CE060000}"/>
    <cellStyle name="Explanatory Text 44" xfId="1743" xr:uid="{00000000-0005-0000-0000-0000CF060000}"/>
    <cellStyle name="Explanatory Text 45" xfId="1744" xr:uid="{00000000-0005-0000-0000-0000D0060000}"/>
    <cellStyle name="Explanatory Text 46" xfId="1745" xr:uid="{00000000-0005-0000-0000-0000D1060000}"/>
    <cellStyle name="Explanatory Text 47" xfId="1746" xr:uid="{00000000-0005-0000-0000-0000D2060000}"/>
    <cellStyle name="Explanatory Text 48" xfId="1747" xr:uid="{00000000-0005-0000-0000-0000D3060000}"/>
    <cellStyle name="Explanatory Text 49" xfId="1748" xr:uid="{00000000-0005-0000-0000-0000D4060000}"/>
    <cellStyle name="Explanatory Text 5" xfId="1749" xr:uid="{00000000-0005-0000-0000-0000D5060000}"/>
    <cellStyle name="Explanatory Text 50" xfId="1750" xr:uid="{00000000-0005-0000-0000-0000D6060000}"/>
    <cellStyle name="Explanatory Text 51" xfId="1751" xr:uid="{00000000-0005-0000-0000-0000D7060000}"/>
    <cellStyle name="Explanatory Text 52" xfId="1752" xr:uid="{00000000-0005-0000-0000-0000D8060000}"/>
    <cellStyle name="Explanatory Text 53" xfId="1753" xr:uid="{00000000-0005-0000-0000-0000D9060000}"/>
    <cellStyle name="Explanatory Text 54" xfId="1754" xr:uid="{00000000-0005-0000-0000-0000DA060000}"/>
    <cellStyle name="Explanatory Text 55" xfId="1755" xr:uid="{00000000-0005-0000-0000-0000DB060000}"/>
    <cellStyle name="Explanatory Text 56" xfId="1756" xr:uid="{00000000-0005-0000-0000-0000DC060000}"/>
    <cellStyle name="Explanatory Text 57" xfId="1757" xr:uid="{00000000-0005-0000-0000-0000DD060000}"/>
    <cellStyle name="Explanatory Text 58" xfId="1758" xr:uid="{00000000-0005-0000-0000-0000DE060000}"/>
    <cellStyle name="Explanatory Text 59" xfId="1759" xr:uid="{00000000-0005-0000-0000-0000DF060000}"/>
    <cellStyle name="Explanatory Text 6" xfId="1760" xr:uid="{00000000-0005-0000-0000-0000E0060000}"/>
    <cellStyle name="Explanatory Text 60" xfId="1761" xr:uid="{00000000-0005-0000-0000-0000E1060000}"/>
    <cellStyle name="Explanatory Text 61" xfId="1762" xr:uid="{00000000-0005-0000-0000-0000E2060000}"/>
    <cellStyle name="Explanatory Text 62" xfId="1763" xr:uid="{00000000-0005-0000-0000-0000E3060000}"/>
    <cellStyle name="Explanatory Text 63" xfId="1764" xr:uid="{00000000-0005-0000-0000-0000E4060000}"/>
    <cellStyle name="Explanatory Text 7" xfId="1765" xr:uid="{00000000-0005-0000-0000-0000E5060000}"/>
    <cellStyle name="Explanatory Text 8" xfId="1766" xr:uid="{00000000-0005-0000-0000-0000E6060000}"/>
    <cellStyle name="Explanatory Text 9" xfId="1767" xr:uid="{00000000-0005-0000-0000-0000E7060000}"/>
    <cellStyle name="GerBOM1" xfId="2593" xr:uid="{00000000-0005-0000-0000-0000210A0000}"/>
    <cellStyle name="Good 1" xfId="1768" xr:uid="{00000000-0005-0000-0000-0000E8060000}"/>
    <cellStyle name="Good 10" xfId="1769" xr:uid="{00000000-0005-0000-0000-0000E9060000}"/>
    <cellStyle name="Good 11" xfId="1770" xr:uid="{00000000-0005-0000-0000-0000EA060000}"/>
    <cellStyle name="Good 12" xfId="1771" xr:uid="{00000000-0005-0000-0000-0000EB060000}"/>
    <cellStyle name="Good 13" xfId="1772" xr:uid="{00000000-0005-0000-0000-0000EC060000}"/>
    <cellStyle name="Good 14" xfId="1773" xr:uid="{00000000-0005-0000-0000-0000ED060000}"/>
    <cellStyle name="Good 15" xfId="1774" xr:uid="{00000000-0005-0000-0000-0000EE060000}"/>
    <cellStyle name="Good 16" xfId="1775" xr:uid="{00000000-0005-0000-0000-0000EF060000}"/>
    <cellStyle name="Good 17" xfId="1776" xr:uid="{00000000-0005-0000-0000-0000F0060000}"/>
    <cellStyle name="Good 18" xfId="1777" xr:uid="{00000000-0005-0000-0000-0000F1060000}"/>
    <cellStyle name="Good 19" xfId="1778" xr:uid="{00000000-0005-0000-0000-0000F2060000}"/>
    <cellStyle name="Good 2" xfId="1779" xr:uid="{00000000-0005-0000-0000-0000F3060000}"/>
    <cellStyle name="Good 20" xfId="1780" xr:uid="{00000000-0005-0000-0000-0000F4060000}"/>
    <cellStyle name="Good 21" xfId="1781" xr:uid="{00000000-0005-0000-0000-0000F5060000}"/>
    <cellStyle name="Good 22" xfId="1782" xr:uid="{00000000-0005-0000-0000-0000F6060000}"/>
    <cellStyle name="Good 23" xfId="1783" xr:uid="{00000000-0005-0000-0000-0000F7060000}"/>
    <cellStyle name="Good 24" xfId="1784" xr:uid="{00000000-0005-0000-0000-0000F8060000}"/>
    <cellStyle name="Good 25" xfId="1785" xr:uid="{00000000-0005-0000-0000-0000F9060000}"/>
    <cellStyle name="Good 26" xfId="1786" xr:uid="{00000000-0005-0000-0000-0000FA060000}"/>
    <cellStyle name="Good 27" xfId="1787" xr:uid="{00000000-0005-0000-0000-0000FB060000}"/>
    <cellStyle name="Good 28" xfId="1788" xr:uid="{00000000-0005-0000-0000-0000FC060000}"/>
    <cellStyle name="Good 29" xfId="1789" xr:uid="{00000000-0005-0000-0000-0000FD060000}"/>
    <cellStyle name="Good 3" xfId="1790" xr:uid="{00000000-0005-0000-0000-0000FE060000}"/>
    <cellStyle name="Good 30" xfId="1791" xr:uid="{00000000-0005-0000-0000-0000FF060000}"/>
    <cellStyle name="Good 31" xfId="1792" xr:uid="{00000000-0005-0000-0000-000000070000}"/>
    <cellStyle name="Good 32" xfId="1793" xr:uid="{00000000-0005-0000-0000-000001070000}"/>
    <cellStyle name="Good 33" xfId="1794" xr:uid="{00000000-0005-0000-0000-000002070000}"/>
    <cellStyle name="Good 34" xfId="1795" xr:uid="{00000000-0005-0000-0000-000003070000}"/>
    <cellStyle name="Good 35" xfId="1796" xr:uid="{00000000-0005-0000-0000-000004070000}"/>
    <cellStyle name="Good 36" xfId="1797" xr:uid="{00000000-0005-0000-0000-000005070000}"/>
    <cellStyle name="Good 37" xfId="1798" xr:uid="{00000000-0005-0000-0000-000006070000}"/>
    <cellStyle name="Good 38" xfId="1799" xr:uid="{00000000-0005-0000-0000-000007070000}"/>
    <cellStyle name="Good 39" xfId="1800" xr:uid="{00000000-0005-0000-0000-000008070000}"/>
    <cellStyle name="Good 4" xfId="1801" xr:uid="{00000000-0005-0000-0000-000009070000}"/>
    <cellStyle name="Good 40" xfId="1802" xr:uid="{00000000-0005-0000-0000-00000A070000}"/>
    <cellStyle name="Good 41" xfId="1803" xr:uid="{00000000-0005-0000-0000-00000B070000}"/>
    <cellStyle name="Good 42" xfId="1804" xr:uid="{00000000-0005-0000-0000-00000C070000}"/>
    <cellStyle name="Good 43" xfId="1805" xr:uid="{00000000-0005-0000-0000-00000D070000}"/>
    <cellStyle name="Good 44" xfId="1806" xr:uid="{00000000-0005-0000-0000-00000E070000}"/>
    <cellStyle name="Good 45" xfId="1807" xr:uid="{00000000-0005-0000-0000-00000F070000}"/>
    <cellStyle name="Good 46" xfId="1808" xr:uid="{00000000-0005-0000-0000-000010070000}"/>
    <cellStyle name="Good 47" xfId="1809" xr:uid="{00000000-0005-0000-0000-000011070000}"/>
    <cellStyle name="Good 48" xfId="1810" xr:uid="{00000000-0005-0000-0000-000012070000}"/>
    <cellStyle name="Good 49" xfId="1811" xr:uid="{00000000-0005-0000-0000-000013070000}"/>
    <cellStyle name="Good 5" xfId="1812" xr:uid="{00000000-0005-0000-0000-000014070000}"/>
    <cellStyle name="Good 50" xfId="1813" xr:uid="{00000000-0005-0000-0000-000015070000}"/>
    <cellStyle name="Good 51" xfId="1814" xr:uid="{00000000-0005-0000-0000-000016070000}"/>
    <cellStyle name="Good 52" xfId="1815" xr:uid="{00000000-0005-0000-0000-000017070000}"/>
    <cellStyle name="Good 53" xfId="1816" xr:uid="{00000000-0005-0000-0000-000018070000}"/>
    <cellStyle name="Good 54" xfId="1817" xr:uid="{00000000-0005-0000-0000-000019070000}"/>
    <cellStyle name="Good 55" xfId="1818" xr:uid="{00000000-0005-0000-0000-00001A070000}"/>
    <cellStyle name="Good 56" xfId="1819" xr:uid="{00000000-0005-0000-0000-00001B070000}"/>
    <cellStyle name="Good 57" xfId="1820" xr:uid="{00000000-0005-0000-0000-00001C070000}"/>
    <cellStyle name="Good 58" xfId="1821" xr:uid="{00000000-0005-0000-0000-00001D070000}"/>
    <cellStyle name="Good 59" xfId="1822" xr:uid="{00000000-0005-0000-0000-00001E070000}"/>
    <cellStyle name="Good 6" xfId="1823" xr:uid="{00000000-0005-0000-0000-00001F070000}"/>
    <cellStyle name="Good 60" xfId="1824" xr:uid="{00000000-0005-0000-0000-000020070000}"/>
    <cellStyle name="Good 61" xfId="1825" xr:uid="{00000000-0005-0000-0000-000021070000}"/>
    <cellStyle name="Good 62" xfId="1826" xr:uid="{00000000-0005-0000-0000-000022070000}"/>
    <cellStyle name="Good 63" xfId="1827" xr:uid="{00000000-0005-0000-0000-000023070000}"/>
    <cellStyle name="Good 7" xfId="1828" xr:uid="{00000000-0005-0000-0000-000024070000}"/>
    <cellStyle name="Good 8" xfId="1829" xr:uid="{00000000-0005-0000-0000-000025070000}"/>
    <cellStyle name="Good 9" xfId="1830" xr:uid="{00000000-0005-0000-0000-000026070000}"/>
    <cellStyle name="Grey" xfId="2594" xr:uid="{00000000-0005-0000-0000-0000220A0000}"/>
    <cellStyle name="Header1" xfId="2595" xr:uid="{00000000-0005-0000-0000-0000230A0000}"/>
    <cellStyle name="Header2" xfId="2596" xr:uid="{00000000-0005-0000-0000-0000240A0000}"/>
    <cellStyle name="Heading" xfId="2597" xr:uid="{00000000-0005-0000-0000-0000250A0000}"/>
    <cellStyle name="Heading 1 1" xfId="1831" xr:uid="{00000000-0005-0000-0000-000027070000}"/>
    <cellStyle name="Heading 1 10" xfId="1832" xr:uid="{00000000-0005-0000-0000-000028070000}"/>
    <cellStyle name="Heading 1 11" xfId="1833" xr:uid="{00000000-0005-0000-0000-000029070000}"/>
    <cellStyle name="Heading 1 12" xfId="1834" xr:uid="{00000000-0005-0000-0000-00002A070000}"/>
    <cellStyle name="Heading 1 13" xfId="1835" xr:uid="{00000000-0005-0000-0000-00002B070000}"/>
    <cellStyle name="Heading 1 14" xfId="1836" xr:uid="{00000000-0005-0000-0000-00002C070000}"/>
    <cellStyle name="Heading 1 15" xfId="1837" xr:uid="{00000000-0005-0000-0000-00002D070000}"/>
    <cellStyle name="Heading 1 16" xfId="1838" xr:uid="{00000000-0005-0000-0000-00002E070000}"/>
    <cellStyle name="Heading 1 17" xfId="1839" xr:uid="{00000000-0005-0000-0000-00002F070000}"/>
    <cellStyle name="Heading 1 18" xfId="1840" xr:uid="{00000000-0005-0000-0000-000030070000}"/>
    <cellStyle name="Heading 1 19" xfId="1841" xr:uid="{00000000-0005-0000-0000-000031070000}"/>
    <cellStyle name="Heading 1 2" xfId="1842" xr:uid="{00000000-0005-0000-0000-000032070000}"/>
    <cellStyle name="Heading 1 20" xfId="1843" xr:uid="{00000000-0005-0000-0000-000033070000}"/>
    <cellStyle name="Heading 1 21" xfId="1844" xr:uid="{00000000-0005-0000-0000-000034070000}"/>
    <cellStyle name="Heading 1 22" xfId="1845" xr:uid="{00000000-0005-0000-0000-000035070000}"/>
    <cellStyle name="Heading 1 23" xfId="1846" xr:uid="{00000000-0005-0000-0000-000036070000}"/>
    <cellStyle name="Heading 1 24" xfId="1847" xr:uid="{00000000-0005-0000-0000-000037070000}"/>
    <cellStyle name="Heading 1 25" xfId="1848" xr:uid="{00000000-0005-0000-0000-000038070000}"/>
    <cellStyle name="Heading 1 26" xfId="1849" xr:uid="{00000000-0005-0000-0000-000039070000}"/>
    <cellStyle name="Heading 1 27" xfId="1850" xr:uid="{00000000-0005-0000-0000-00003A070000}"/>
    <cellStyle name="Heading 1 28" xfId="1851" xr:uid="{00000000-0005-0000-0000-00003B070000}"/>
    <cellStyle name="Heading 1 29" xfId="1852" xr:uid="{00000000-0005-0000-0000-00003C070000}"/>
    <cellStyle name="Heading 1 3" xfId="1853" xr:uid="{00000000-0005-0000-0000-00003D070000}"/>
    <cellStyle name="Heading 1 30" xfId="1854" xr:uid="{00000000-0005-0000-0000-00003E070000}"/>
    <cellStyle name="Heading 1 31" xfId="1855" xr:uid="{00000000-0005-0000-0000-00003F070000}"/>
    <cellStyle name="Heading 1 32" xfId="1856" xr:uid="{00000000-0005-0000-0000-000040070000}"/>
    <cellStyle name="Heading 1 33" xfId="1857" xr:uid="{00000000-0005-0000-0000-000041070000}"/>
    <cellStyle name="Heading 1 34" xfId="1858" xr:uid="{00000000-0005-0000-0000-000042070000}"/>
    <cellStyle name="Heading 1 35" xfId="1859" xr:uid="{00000000-0005-0000-0000-000043070000}"/>
    <cellStyle name="Heading 1 36" xfId="1860" xr:uid="{00000000-0005-0000-0000-000044070000}"/>
    <cellStyle name="Heading 1 37" xfId="1861" xr:uid="{00000000-0005-0000-0000-000045070000}"/>
    <cellStyle name="Heading 1 38" xfId="1862" xr:uid="{00000000-0005-0000-0000-000046070000}"/>
    <cellStyle name="Heading 1 39" xfId="1863" xr:uid="{00000000-0005-0000-0000-000047070000}"/>
    <cellStyle name="Heading 1 4" xfId="1864" xr:uid="{00000000-0005-0000-0000-000048070000}"/>
    <cellStyle name="Heading 1 40" xfId="1865" xr:uid="{00000000-0005-0000-0000-000049070000}"/>
    <cellStyle name="Heading 1 41" xfId="1866" xr:uid="{00000000-0005-0000-0000-00004A070000}"/>
    <cellStyle name="Heading 1 42" xfId="1867" xr:uid="{00000000-0005-0000-0000-00004B070000}"/>
    <cellStyle name="Heading 1 43" xfId="1868" xr:uid="{00000000-0005-0000-0000-00004C070000}"/>
    <cellStyle name="Heading 1 44" xfId="1869" xr:uid="{00000000-0005-0000-0000-00004D070000}"/>
    <cellStyle name="Heading 1 45" xfId="1870" xr:uid="{00000000-0005-0000-0000-00004E070000}"/>
    <cellStyle name="Heading 1 46" xfId="1871" xr:uid="{00000000-0005-0000-0000-00004F070000}"/>
    <cellStyle name="Heading 1 47" xfId="1872" xr:uid="{00000000-0005-0000-0000-000050070000}"/>
    <cellStyle name="Heading 1 48" xfId="1873" xr:uid="{00000000-0005-0000-0000-000051070000}"/>
    <cellStyle name="Heading 1 49" xfId="1874" xr:uid="{00000000-0005-0000-0000-000052070000}"/>
    <cellStyle name="Heading 1 5" xfId="1875" xr:uid="{00000000-0005-0000-0000-000053070000}"/>
    <cellStyle name="Heading 1 50" xfId="1876" xr:uid="{00000000-0005-0000-0000-000054070000}"/>
    <cellStyle name="Heading 1 51" xfId="1877" xr:uid="{00000000-0005-0000-0000-000055070000}"/>
    <cellStyle name="Heading 1 52" xfId="1878" xr:uid="{00000000-0005-0000-0000-000056070000}"/>
    <cellStyle name="Heading 1 53" xfId="1879" xr:uid="{00000000-0005-0000-0000-000057070000}"/>
    <cellStyle name="Heading 1 54" xfId="1880" xr:uid="{00000000-0005-0000-0000-000058070000}"/>
    <cellStyle name="Heading 1 55" xfId="1881" xr:uid="{00000000-0005-0000-0000-000059070000}"/>
    <cellStyle name="Heading 1 56" xfId="1882" xr:uid="{00000000-0005-0000-0000-00005A070000}"/>
    <cellStyle name="Heading 1 57" xfId="1883" xr:uid="{00000000-0005-0000-0000-00005B070000}"/>
    <cellStyle name="Heading 1 58" xfId="1884" xr:uid="{00000000-0005-0000-0000-00005C070000}"/>
    <cellStyle name="Heading 1 59" xfId="1885" xr:uid="{00000000-0005-0000-0000-00005D070000}"/>
    <cellStyle name="Heading 1 6" xfId="1886" xr:uid="{00000000-0005-0000-0000-00005E070000}"/>
    <cellStyle name="Heading 1 60" xfId="1887" xr:uid="{00000000-0005-0000-0000-00005F070000}"/>
    <cellStyle name="Heading 1 61" xfId="1888" xr:uid="{00000000-0005-0000-0000-000060070000}"/>
    <cellStyle name="Heading 1 62" xfId="1889" xr:uid="{00000000-0005-0000-0000-000061070000}"/>
    <cellStyle name="Heading 1 63" xfId="1890" xr:uid="{00000000-0005-0000-0000-000062070000}"/>
    <cellStyle name="Heading 1 7" xfId="1891" xr:uid="{00000000-0005-0000-0000-000063070000}"/>
    <cellStyle name="Heading 1 8" xfId="1892" xr:uid="{00000000-0005-0000-0000-000064070000}"/>
    <cellStyle name="Heading 1 9" xfId="1893" xr:uid="{00000000-0005-0000-0000-000065070000}"/>
    <cellStyle name="Heading 2 1" xfId="1894" xr:uid="{00000000-0005-0000-0000-000066070000}"/>
    <cellStyle name="Heading 2 10" xfId="1895" xr:uid="{00000000-0005-0000-0000-000067070000}"/>
    <cellStyle name="Heading 2 11" xfId="1896" xr:uid="{00000000-0005-0000-0000-000068070000}"/>
    <cellStyle name="Heading 2 12" xfId="1897" xr:uid="{00000000-0005-0000-0000-000069070000}"/>
    <cellStyle name="Heading 2 13" xfId="1898" xr:uid="{00000000-0005-0000-0000-00006A070000}"/>
    <cellStyle name="Heading 2 14" xfId="1899" xr:uid="{00000000-0005-0000-0000-00006B070000}"/>
    <cellStyle name="Heading 2 15" xfId="1900" xr:uid="{00000000-0005-0000-0000-00006C070000}"/>
    <cellStyle name="Heading 2 16" xfId="1901" xr:uid="{00000000-0005-0000-0000-00006D070000}"/>
    <cellStyle name="Heading 2 17" xfId="1902" xr:uid="{00000000-0005-0000-0000-00006E070000}"/>
    <cellStyle name="Heading 2 18" xfId="1903" xr:uid="{00000000-0005-0000-0000-00006F070000}"/>
    <cellStyle name="Heading 2 19" xfId="1904" xr:uid="{00000000-0005-0000-0000-000070070000}"/>
    <cellStyle name="Heading 2 2" xfId="1905" xr:uid="{00000000-0005-0000-0000-000071070000}"/>
    <cellStyle name="Heading 2 20" xfId="1906" xr:uid="{00000000-0005-0000-0000-000072070000}"/>
    <cellStyle name="Heading 2 21" xfId="1907" xr:uid="{00000000-0005-0000-0000-000073070000}"/>
    <cellStyle name="Heading 2 22" xfId="1908" xr:uid="{00000000-0005-0000-0000-000074070000}"/>
    <cellStyle name="Heading 2 23" xfId="1909" xr:uid="{00000000-0005-0000-0000-000075070000}"/>
    <cellStyle name="Heading 2 24" xfId="1910" xr:uid="{00000000-0005-0000-0000-000076070000}"/>
    <cellStyle name="Heading 2 25" xfId="1911" xr:uid="{00000000-0005-0000-0000-000077070000}"/>
    <cellStyle name="Heading 2 26" xfId="1912" xr:uid="{00000000-0005-0000-0000-000078070000}"/>
    <cellStyle name="Heading 2 27" xfId="1913" xr:uid="{00000000-0005-0000-0000-000079070000}"/>
    <cellStyle name="Heading 2 28" xfId="1914" xr:uid="{00000000-0005-0000-0000-00007A070000}"/>
    <cellStyle name="Heading 2 29" xfId="1915" xr:uid="{00000000-0005-0000-0000-00007B070000}"/>
    <cellStyle name="Heading 2 3" xfId="1916" xr:uid="{00000000-0005-0000-0000-00007C070000}"/>
    <cellStyle name="Heading 2 30" xfId="1917" xr:uid="{00000000-0005-0000-0000-00007D070000}"/>
    <cellStyle name="Heading 2 31" xfId="1918" xr:uid="{00000000-0005-0000-0000-00007E070000}"/>
    <cellStyle name="Heading 2 32" xfId="1919" xr:uid="{00000000-0005-0000-0000-00007F070000}"/>
    <cellStyle name="Heading 2 33" xfId="1920" xr:uid="{00000000-0005-0000-0000-000080070000}"/>
    <cellStyle name="Heading 2 34" xfId="1921" xr:uid="{00000000-0005-0000-0000-000081070000}"/>
    <cellStyle name="Heading 2 35" xfId="1922" xr:uid="{00000000-0005-0000-0000-000082070000}"/>
    <cellStyle name="Heading 2 36" xfId="1923" xr:uid="{00000000-0005-0000-0000-000083070000}"/>
    <cellStyle name="Heading 2 37" xfId="1924" xr:uid="{00000000-0005-0000-0000-000084070000}"/>
    <cellStyle name="Heading 2 38" xfId="1925" xr:uid="{00000000-0005-0000-0000-000085070000}"/>
    <cellStyle name="Heading 2 39" xfId="1926" xr:uid="{00000000-0005-0000-0000-000086070000}"/>
    <cellStyle name="Heading 2 4" xfId="1927" xr:uid="{00000000-0005-0000-0000-000087070000}"/>
    <cellStyle name="Heading 2 40" xfId="1928" xr:uid="{00000000-0005-0000-0000-000088070000}"/>
    <cellStyle name="Heading 2 41" xfId="1929" xr:uid="{00000000-0005-0000-0000-000089070000}"/>
    <cellStyle name="Heading 2 42" xfId="1930" xr:uid="{00000000-0005-0000-0000-00008A070000}"/>
    <cellStyle name="Heading 2 43" xfId="1931" xr:uid="{00000000-0005-0000-0000-00008B070000}"/>
    <cellStyle name="Heading 2 44" xfId="1932" xr:uid="{00000000-0005-0000-0000-00008C070000}"/>
    <cellStyle name="Heading 2 45" xfId="1933" xr:uid="{00000000-0005-0000-0000-00008D070000}"/>
    <cellStyle name="Heading 2 46" xfId="1934" xr:uid="{00000000-0005-0000-0000-00008E070000}"/>
    <cellStyle name="Heading 2 47" xfId="1935" xr:uid="{00000000-0005-0000-0000-00008F070000}"/>
    <cellStyle name="Heading 2 48" xfId="1936" xr:uid="{00000000-0005-0000-0000-000090070000}"/>
    <cellStyle name="Heading 2 49" xfId="1937" xr:uid="{00000000-0005-0000-0000-000091070000}"/>
    <cellStyle name="Heading 2 5" xfId="1938" xr:uid="{00000000-0005-0000-0000-000092070000}"/>
    <cellStyle name="Heading 2 50" xfId="1939" xr:uid="{00000000-0005-0000-0000-000093070000}"/>
    <cellStyle name="Heading 2 51" xfId="1940" xr:uid="{00000000-0005-0000-0000-000094070000}"/>
    <cellStyle name="Heading 2 52" xfId="1941" xr:uid="{00000000-0005-0000-0000-000095070000}"/>
    <cellStyle name="Heading 2 53" xfId="1942" xr:uid="{00000000-0005-0000-0000-000096070000}"/>
    <cellStyle name="Heading 2 54" xfId="1943" xr:uid="{00000000-0005-0000-0000-000097070000}"/>
    <cellStyle name="Heading 2 55" xfId="1944" xr:uid="{00000000-0005-0000-0000-000098070000}"/>
    <cellStyle name="Heading 2 56" xfId="1945" xr:uid="{00000000-0005-0000-0000-000099070000}"/>
    <cellStyle name="Heading 2 57" xfId="1946" xr:uid="{00000000-0005-0000-0000-00009A070000}"/>
    <cellStyle name="Heading 2 58" xfId="1947" xr:uid="{00000000-0005-0000-0000-00009B070000}"/>
    <cellStyle name="Heading 2 59" xfId="1948" xr:uid="{00000000-0005-0000-0000-00009C070000}"/>
    <cellStyle name="Heading 2 6" xfId="1949" xr:uid="{00000000-0005-0000-0000-00009D070000}"/>
    <cellStyle name="Heading 2 60" xfId="1950" xr:uid="{00000000-0005-0000-0000-00009E070000}"/>
    <cellStyle name="Heading 2 61" xfId="1951" xr:uid="{00000000-0005-0000-0000-00009F070000}"/>
    <cellStyle name="Heading 2 62" xfId="1952" xr:uid="{00000000-0005-0000-0000-0000A0070000}"/>
    <cellStyle name="Heading 2 63" xfId="1953" xr:uid="{00000000-0005-0000-0000-0000A1070000}"/>
    <cellStyle name="Heading 2 7" xfId="1954" xr:uid="{00000000-0005-0000-0000-0000A2070000}"/>
    <cellStyle name="Heading 2 8" xfId="1955" xr:uid="{00000000-0005-0000-0000-0000A3070000}"/>
    <cellStyle name="Heading 2 9" xfId="1956" xr:uid="{00000000-0005-0000-0000-0000A4070000}"/>
    <cellStyle name="Heading 3 1" xfId="1957" xr:uid="{00000000-0005-0000-0000-0000A5070000}"/>
    <cellStyle name="Heading 3 10" xfId="1958" xr:uid="{00000000-0005-0000-0000-0000A6070000}"/>
    <cellStyle name="Heading 3 11" xfId="1959" xr:uid="{00000000-0005-0000-0000-0000A7070000}"/>
    <cellStyle name="Heading 3 12" xfId="1960" xr:uid="{00000000-0005-0000-0000-0000A8070000}"/>
    <cellStyle name="Heading 3 13" xfId="1961" xr:uid="{00000000-0005-0000-0000-0000A9070000}"/>
    <cellStyle name="Heading 3 14" xfId="1962" xr:uid="{00000000-0005-0000-0000-0000AA070000}"/>
    <cellStyle name="Heading 3 15" xfId="1963" xr:uid="{00000000-0005-0000-0000-0000AB070000}"/>
    <cellStyle name="Heading 3 16" xfId="1964" xr:uid="{00000000-0005-0000-0000-0000AC070000}"/>
    <cellStyle name="Heading 3 17" xfId="1965" xr:uid="{00000000-0005-0000-0000-0000AD070000}"/>
    <cellStyle name="Heading 3 18" xfId="1966" xr:uid="{00000000-0005-0000-0000-0000AE070000}"/>
    <cellStyle name="Heading 3 19" xfId="1967" xr:uid="{00000000-0005-0000-0000-0000AF070000}"/>
    <cellStyle name="Heading 3 2" xfId="1968" xr:uid="{00000000-0005-0000-0000-0000B0070000}"/>
    <cellStyle name="Heading 3 20" xfId="1969" xr:uid="{00000000-0005-0000-0000-0000B1070000}"/>
    <cellStyle name="Heading 3 21" xfId="1970" xr:uid="{00000000-0005-0000-0000-0000B2070000}"/>
    <cellStyle name="Heading 3 22" xfId="1971" xr:uid="{00000000-0005-0000-0000-0000B3070000}"/>
    <cellStyle name="Heading 3 23" xfId="1972" xr:uid="{00000000-0005-0000-0000-0000B4070000}"/>
    <cellStyle name="Heading 3 24" xfId="1973" xr:uid="{00000000-0005-0000-0000-0000B5070000}"/>
    <cellStyle name="Heading 3 25" xfId="1974" xr:uid="{00000000-0005-0000-0000-0000B6070000}"/>
    <cellStyle name="Heading 3 26" xfId="1975" xr:uid="{00000000-0005-0000-0000-0000B7070000}"/>
    <cellStyle name="Heading 3 27" xfId="1976" xr:uid="{00000000-0005-0000-0000-0000B8070000}"/>
    <cellStyle name="Heading 3 28" xfId="1977" xr:uid="{00000000-0005-0000-0000-0000B9070000}"/>
    <cellStyle name="Heading 3 29" xfId="1978" xr:uid="{00000000-0005-0000-0000-0000BA070000}"/>
    <cellStyle name="Heading 3 3" xfId="1979" xr:uid="{00000000-0005-0000-0000-0000BB070000}"/>
    <cellStyle name="Heading 3 30" xfId="1980" xr:uid="{00000000-0005-0000-0000-0000BC070000}"/>
    <cellStyle name="Heading 3 31" xfId="1981" xr:uid="{00000000-0005-0000-0000-0000BD070000}"/>
    <cellStyle name="Heading 3 32" xfId="1982" xr:uid="{00000000-0005-0000-0000-0000BE070000}"/>
    <cellStyle name="Heading 3 33" xfId="1983" xr:uid="{00000000-0005-0000-0000-0000BF070000}"/>
    <cellStyle name="Heading 3 34" xfId="1984" xr:uid="{00000000-0005-0000-0000-0000C0070000}"/>
    <cellStyle name="Heading 3 35" xfId="1985" xr:uid="{00000000-0005-0000-0000-0000C1070000}"/>
    <cellStyle name="Heading 3 36" xfId="1986" xr:uid="{00000000-0005-0000-0000-0000C2070000}"/>
    <cellStyle name="Heading 3 37" xfId="1987" xr:uid="{00000000-0005-0000-0000-0000C3070000}"/>
    <cellStyle name="Heading 3 38" xfId="1988" xr:uid="{00000000-0005-0000-0000-0000C4070000}"/>
    <cellStyle name="Heading 3 39" xfId="1989" xr:uid="{00000000-0005-0000-0000-0000C5070000}"/>
    <cellStyle name="Heading 3 4" xfId="1990" xr:uid="{00000000-0005-0000-0000-0000C6070000}"/>
    <cellStyle name="Heading 3 40" xfId="1991" xr:uid="{00000000-0005-0000-0000-0000C7070000}"/>
    <cellStyle name="Heading 3 41" xfId="1992" xr:uid="{00000000-0005-0000-0000-0000C8070000}"/>
    <cellStyle name="Heading 3 42" xfId="1993" xr:uid="{00000000-0005-0000-0000-0000C9070000}"/>
    <cellStyle name="Heading 3 43" xfId="1994" xr:uid="{00000000-0005-0000-0000-0000CA070000}"/>
    <cellStyle name="Heading 3 44" xfId="1995" xr:uid="{00000000-0005-0000-0000-0000CB070000}"/>
    <cellStyle name="Heading 3 45" xfId="1996" xr:uid="{00000000-0005-0000-0000-0000CC070000}"/>
    <cellStyle name="Heading 3 46" xfId="1997" xr:uid="{00000000-0005-0000-0000-0000CD070000}"/>
    <cellStyle name="Heading 3 47" xfId="1998" xr:uid="{00000000-0005-0000-0000-0000CE070000}"/>
    <cellStyle name="Heading 3 48" xfId="1999" xr:uid="{00000000-0005-0000-0000-0000CF070000}"/>
    <cellStyle name="Heading 3 49" xfId="2000" xr:uid="{00000000-0005-0000-0000-0000D0070000}"/>
    <cellStyle name="Heading 3 5" xfId="2001" xr:uid="{00000000-0005-0000-0000-0000D1070000}"/>
    <cellStyle name="Heading 3 50" xfId="2002" xr:uid="{00000000-0005-0000-0000-0000D2070000}"/>
    <cellStyle name="Heading 3 51" xfId="2003" xr:uid="{00000000-0005-0000-0000-0000D3070000}"/>
    <cellStyle name="Heading 3 52" xfId="2004" xr:uid="{00000000-0005-0000-0000-0000D4070000}"/>
    <cellStyle name="Heading 3 53" xfId="2005" xr:uid="{00000000-0005-0000-0000-0000D5070000}"/>
    <cellStyle name="Heading 3 54" xfId="2006" xr:uid="{00000000-0005-0000-0000-0000D6070000}"/>
    <cellStyle name="Heading 3 55" xfId="2007" xr:uid="{00000000-0005-0000-0000-0000D7070000}"/>
    <cellStyle name="Heading 3 56" xfId="2008" xr:uid="{00000000-0005-0000-0000-0000D8070000}"/>
    <cellStyle name="Heading 3 57" xfId="2009" xr:uid="{00000000-0005-0000-0000-0000D9070000}"/>
    <cellStyle name="Heading 3 58" xfId="2010" xr:uid="{00000000-0005-0000-0000-0000DA070000}"/>
    <cellStyle name="Heading 3 59" xfId="2011" xr:uid="{00000000-0005-0000-0000-0000DB070000}"/>
    <cellStyle name="Heading 3 6" xfId="2012" xr:uid="{00000000-0005-0000-0000-0000DC070000}"/>
    <cellStyle name="Heading 3 60" xfId="2013" xr:uid="{00000000-0005-0000-0000-0000DD070000}"/>
    <cellStyle name="Heading 3 61" xfId="2014" xr:uid="{00000000-0005-0000-0000-0000DE070000}"/>
    <cellStyle name="Heading 3 62" xfId="2015" xr:uid="{00000000-0005-0000-0000-0000DF070000}"/>
    <cellStyle name="Heading 3 63" xfId="2016" xr:uid="{00000000-0005-0000-0000-0000E0070000}"/>
    <cellStyle name="Heading 3 7" xfId="2017" xr:uid="{00000000-0005-0000-0000-0000E1070000}"/>
    <cellStyle name="Heading 3 8" xfId="2018" xr:uid="{00000000-0005-0000-0000-0000E2070000}"/>
    <cellStyle name="Heading 3 9" xfId="2019" xr:uid="{00000000-0005-0000-0000-0000E3070000}"/>
    <cellStyle name="Heading 4 1" xfId="2020" xr:uid="{00000000-0005-0000-0000-0000E4070000}"/>
    <cellStyle name="Heading 4 10" xfId="2021" xr:uid="{00000000-0005-0000-0000-0000E5070000}"/>
    <cellStyle name="Heading 4 11" xfId="2022" xr:uid="{00000000-0005-0000-0000-0000E6070000}"/>
    <cellStyle name="Heading 4 12" xfId="2023" xr:uid="{00000000-0005-0000-0000-0000E7070000}"/>
    <cellStyle name="Heading 4 13" xfId="2024" xr:uid="{00000000-0005-0000-0000-0000E8070000}"/>
    <cellStyle name="Heading 4 14" xfId="2025" xr:uid="{00000000-0005-0000-0000-0000E9070000}"/>
    <cellStyle name="Heading 4 15" xfId="2026" xr:uid="{00000000-0005-0000-0000-0000EA070000}"/>
    <cellStyle name="Heading 4 16" xfId="2027" xr:uid="{00000000-0005-0000-0000-0000EB070000}"/>
    <cellStyle name="Heading 4 17" xfId="2028" xr:uid="{00000000-0005-0000-0000-0000EC070000}"/>
    <cellStyle name="Heading 4 18" xfId="2029" xr:uid="{00000000-0005-0000-0000-0000ED070000}"/>
    <cellStyle name="Heading 4 19" xfId="2030" xr:uid="{00000000-0005-0000-0000-0000EE070000}"/>
    <cellStyle name="Heading 4 2" xfId="2031" xr:uid="{00000000-0005-0000-0000-0000EF070000}"/>
    <cellStyle name="Heading 4 20" xfId="2032" xr:uid="{00000000-0005-0000-0000-0000F0070000}"/>
    <cellStyle name="Heading 4 21" xfId="2033" xr:uid="{00000000-0005-0000-0000-0000F1070000}"/>
    <cellStyle name="Heading 4 22" xfId="2034" xr:uid="{00000000-0005-0000-0000-0000F2070000}"/>
    <cellStyle name="Heading 4 23" xfId="2035" xr:uid="{00000000-0005-0000-0000-0000F3070000}"/>
    <cellStyle name="Heading 4 24" xfId="2036" xr:uid="{00000000-0005-0000-0000-0000F4070000}"/>
    <cellStyle name="Heading 4 25" xfId="2037" xr:uid="{00000000-0005-0000-0000-0000F5070000}"/>
    <cellStyle name="Heading 4 26" xfId="2038" xr:uid="{00000000-0005-0000-0000-0000F6070000}"/>
    <cellStyle name="Heading 4 27" xfId="2039" xr:uid="{00000000-0005-0000-0000-0000F7070000}"/>
    <cellStyle name="Heading 4 28" xfId="2040" xr:uid="{00000000-0005-0000-0000-0000F8070000}"/>
    <cellStyle name="Heading 4 29" xfId="2041" xr:uid="{00000000-0005-0000-0000-0000F9070000}"/>
    <cellStyle name="Heading 4 3" xfId="2042" xr:uid="{00000000-0005-0000-0000-0000FA070000}"/>
    <cellStyle name="Heading 4 30" xfId="2043" xr:uid="{00000000-0005-0000-0000-0000FB070000}"/>
    <cellStyle name="Heading 4 31" xfId="2044" xr:uid="{00000000-0005-0000-0000-0000FC070000}"/>
    <cellStyle name="Heading 4 32" xfId="2045" xr:uid="{00000000-0005-0000-0000-0000FD070000}"/>
    <cellStyle name="Heading 4 33" xfId="2046" xr:uid="{00000000-0005-0000-0000-0000FE070000}"/>
    <cellStyle name="Heading 4 34" xfId="2047" xr:uid="{00000000-0005-0000-0000-0000FF070000}"/>
    <cellStyle name="Heading 4 35" xfId="2048" xr:uid="{00000000-0005-0000-0000-000000080000}"/>
    <cellStyle name="Heading 4 36" xfId="2049" xr:uid="{00000000-0005-0000-0000-000001080000}"/>
    <cellStyle name="Heading 4 37" xfId="2050" xr:uid="{00000000-0005-0000-0000-000002080000}"/>
    <cellStyle name="Heading 4 38" xfId="2051" xr:uid="{00000000-0005-0000-0000-000003080000}"/>
    <cellStyle name="Heading 4 39" xfId="2052" xr:uid="{00000000-0005-0000-0000-000004080000}"/>
    <cellStyle name="Heading 4 4" xfId="2053" xr:uid="{00000000-0005-0000-0000-000005080000}"/>
    <cellStyle name="Heading 4 40" xfId="2054" xr:uid="{00000000-0005-0000-0000-000006080000}"/>
    <cellStyle name="Heading 4 41" xfId="2055" xr:uid="{00000000-0005-0000-0000-000007080000}"/>
    <cellStyle name="Heading 4 42" xfId="2056" xr:uid="{00000000-0005-0000-0000-000008080000}"/>
    <cellStyle name="Heading 4 43" xfId="2057" xr:uid="{00000000-0005-0000-0000-000009080000}"/>
    <cellStyle name="Heading 4 44" xfId="2058" xr:uid="{00000000-0005-0000-0000-00000A080000}"/>
    <cellStyle name="Heading 4 45" xfId="2059" xr:uid="{00000000-0005-0000-0000-00000B080000}"/>
    <cellStyle name="Heading 4 46" xfId="2060" xr:uid="{00000000-0005-0000-0000-00000C080000}"/>
    <cellStyle name="Heading 4 47" xfId="2061" xr:uid="{00000000-0005-0000-0000-00000D080000}"/>
    <cellStyle name="Heading 4 48" xfId="2062" xr:uid="{00000000-0005-0000-0000-00000E080000}"/>
    <cellStyle name="Heading 4 49" xfId="2063" xr:uid="{00000000-0005-0000-0000-00000F080000}"/>
    <cellStyle name="Heading 4 5" xfId="2064" xr:uid="{00000000-0005-0000-0000-000010080000}"/>
    <cellStyle name="Heading 4 50" xfId="2065" xr:uid="{00000000-0005-0000-0000-000011080000}"/>
    <cellStyle name="Heading 4 51" xfId="2066" xr:uid="{00000000-0005-0000-0000-000012080000}"/>
    <cellStyle name="Heading 4 52" xfId="2067" xr:uid="{00000000-0005-0000-0000-000013080000}"/>
    <cellStyle name="Heading 4 53" xfId="2068" xr:uid="{00000000-0005-0000-0000-000014080000}"/>
    <cellStyle name="Heading 4 54" xfId="2069" xr:uid="{00000000-0005-0000-0000-000015080000}"/>
    <cellStyle name="Heading 4 55" xfId="2070" xr:uid="{00000000-0005-0000-0000-000016080000}"/>
    <cellStyle name="Heading 4 56" xfId="2071" xr:uid="{00000000-0005-0000-0000-000017080000}"/>
    <cellStyle name="Heading 4 57" xfId="2072" xr:uid="{00000000-0005-0000-0000-000018080000}"/>
    <cellStyle name="Heading 4 58" xfId="2073" xr:uid="{00000000-0005-0000-0000-000019080000}"/>
    <cellStyle name="Heading 4 59" xfId="2074" xr:uid="{00000000-0005-0000-0000-00001A080000}"/>
    <cellStyle name="Heading 4 6" xfId="2075" xr:uid="{00000000-0005-0000-0000-00001B080000}"/>
    <cellStyle name="Heading 4 60" xfId="2076" xr:uid="{00000000-0005-0000-0000-00001C080000}"/>
    <cellStyle name="Heading 4 61" xfId="2077" xr:uid="{00000000-0005-0000-0000-00001D080000}"/>
    <cellStyle name="Heading 4 62" xfId="2078" xr:uid="{00000000-0005-0000-0000-00001E080000}"/>
    <cellStyle name="Heading 4 63" xfId="2079" xr:uid="{00000000-0005-0000-0000-00001F080000}"/>
    <cellStyle name="Heading 4 7" xfId="2080" xr:uid="{00000000-0005-0000-0000-000020080000}"/>
    <cellStyle name="Heading 4 8" xfId="2081" xr:uid="{00000000-0005-0000-0000-000021080000}"/>
    <cellStyle name="Heading 4 9" xfId="2082" xr:uid="{00000000-0005-0000-0000-000022080000}"/>
    <cellStyle name="Heading1" xfId="2598" xr:uid="{00000000-0005-0000-0000-0000260A0000}"/>
    <cellStyle name="Input [yellow]" xfId="2599" xr:uid="{00000000-0005-0000-0000-0000270A0000}"/>
    <cellStyle name="Input 1" xfId="2083" xr:uid="{00000000-0005-0000-0000-000023080000}"/>
    <cellStyle name="Input 10" xfId="2084" xr:uid="{00000000-0005-0000-0000-000024080000}"/>
    <cellStyle name="Input 11" xfId="2085" xr:uid="{00000000-0005-0000-0000-000025080000}"/>
    <cellStyle name="Input 12" xfId="2086" xr:uid="{00000000-0005-0000-0000-000026080000}"/>
    <cellStyle name="Input 13" xfId="2087" xr:uid="{00000000-0005-0000-0000-000027080000}"/>
    <cellStyle name="Input 14" xfId="2088" xr:uid="{00000000-0005-0000-0000-000028080000}"/>
    <cellStyle name="Input 15" xfId="2089" xr:uid="{00000000-0005-0000-0000-000029080000}"/>
    <cellStyle name="Input 16" xfId="2090" xr:uid="{00000000-0005-0000-0000-00002A080000}"/>
    <cellStyle name="Input 17" xfId="2091" xr:uid="{00000000-0005-0000-0000-00002B080000}"/>
    <cellStyle name="Input 18" xfId="2092" xr:uid="{00000000-0005-0000-0000-00002C080000}"/>
    <cellStyle name="Input 19" xfId="2093" xr:uid="{00000000-0005-0000-0000-00002D080000}"/>
    <cellStyle name="Input 2" xfId="2094" xr:uid="{00000000-0005-0000-0000-00002E080000}"/>
    <cellStyle name="Input 20" xfId="2095" xr:uid="{00000000-0005-0000-0000-00002F080000}"/>
    <cellStyle name="Input 21" xfId="2096" xr:uid="{00000000-0005-0000-0000-000030080000}"/>
    <cellStyle name="Input 22" xfId="2097" xr:uid="{00000000-0005-0000-0000-000031080000}"/>
    <cellStyle name="Input 23" xfId="2098" xr:uid="{00000000-0005-0000-0000-000032080000}"/>
    <cellStyle name="Input 24" xfId="2099" xr:uid="{00000000-0005-0000-0000-000033080000}"/>
    <cellStyle name="Input 25" xfId="2100" xr:uid="{00000000-0005-0000-0000-000034080000}"/>
    <cellStyle name="Input 26" xfId="2101" xr:uid="{00000000-0005-0000-0000-000035080000}"/>
    <cellStyle name="Input 27" xfId="2102" xr:uid="{00000000-0005-0000-0000-000036080000}"/>
    <cellStyle name="Input 28" xfId="2103" xr:uid="{00000000-0005-0000-0000-000037080000}"/>
    <cellStyle name="Input 29" xfId="2104" xr:uid="{00000000-0005-0000-0000-000038080000}"/>
    <cellStyle name="Input 3" xfId="2105" xr:uid="{00000000-0005-0000-0000-000039080000}"/>
    <cellStyle name="Input 30" xfId="2106" xr:uid="{00000000-0005-0000-0000-00003A080000}"/>
    <cellStyle name="Input 31" xfId="2107" xr:uid="{00000000-0005-0000-0000-00003B080000}"/>
    <cellStyle name="Input 32" xfId="2108" xr:uid="{00000000-0005-0000-0000-00003C080000}"/>
    <cellStyle name="Input 33" xfId="2109" xr:uid="{00000000-0005-0000-0000-00003D080000}"/>
    <cellStyle name="Input 34" xfId="2110" xr:uid="{00000000-0005-0000-0000-00003E080000}"/>
    <cellStyle name="Input 35" xfId="2111" xr:uid="{00000000-0005-0000-0000-00003F080000}"/>
    <cellStyle name="Input 36" xfId="2112" xr:uid="{00000000-0005-0000-0000-000040080000}"/>
    <cellStyle name="Input 37" xfId="2113" xr:uid="{00000000-0005-0000-0000-000041080000}"/>
    <cellStyle name="Input 38" xfId="2114" xr:uid="{00000000-0005-0000-0000-000042080000}"/>
    <cellStyle name="Input 39" xfId="2115" xr:uid="{00000000-0005-0000-0000-000043080000}"/>
    <cellStyle name="Input 4" xfId="2116" xr:uid="{00000000-0005-0000-0000-000044080000}"/>
    <cellStyle name="Input 40" xfId="2117" xr:uid="{00000000-0005-0000-0000-000045080000}"/>
    <cellStyle name="Input 41" xfId="2118" xr:uid="{00000000-0005-0000-0000-000046080000}"/>
    <cellStyle name="Input 42" xfId="2119" xr:uid="{00000000-0005-0000-0000-000047080000}"/>
    <cellStyle name="Input 43" xfId="2120" xr:uid="{00000000-0005-0000-0000-000048080000}"/>
    <cellStyle name="Input 44" xfId="2121" xr:uid="{00000000-0005-0000-0000-000049080000}"/>
    <cellStyle name="Input 45" xfId="2122" xr:uid="{00000000-0005-0000-0000-00004A080000}"/>
    <cellStyle name="Input 46" xfId="2123" xr:uid="{00000000-0005-0000-0000-00004B080000}"/>
    <cellStyle name="Input 47" xfId="2124" xr:uid="{00000000-0005-0000-0000-00004C080000}"/>
    <cellStyle name="Input 48" xfId="2125" xr:uid="{00000000-0005-0000-0000-00004D080000}"/>
    <cellStyle name="Input 49" xfId="2126" xr:uid="{00000000-0005-0000-0000-00004E080000}"/>
    <cellStyle name="Input 5" xfId="2127" xr:uid="{00000000-0005-0000-0000-00004F080000}"/>
    <cellStyle name="Input 50" xfId="2128" xr:uid="{00000000-0005-0000-0000-000050080000}"/>
    <cellStyle name="Input 51" xfId="2129" xr:uid="{00000000-0005-0000-0000-000051080000}"/>
    <cellStyle name="Input 52" xfId="2130" xr:uid="{00000000-0005-0000-0000-000052080000}"/>
    <cellStyle name="Input 53" xfId="2131" xr:uid="{00000000-0005-0000-0000-000053080000}"/>
    <cellStyle name="Input 54" xfId="2132" xr:uid="{00000000-0005-0000-0000-000054080000}"/>
    <cellStyle name="Input 55" xfId="2133" xr:uid="{00000000-0005-0000-0000-000055080000}"/>
    <cellStyle name="Input 56" xfId="2134" xr:uid="{00000000-0005-0000-0000-000056080000}"/>
    <cellStyle name="Input 57" xfId="2135" xr:uid="{00000000-0005-0000-0000-000057080000}"/>
    <cellStyle name="Input 58" xfId="2136" xr:uid="{00000000-0005-0000-0000-000058080000}"/>
    <cellStyle name="Input 59" xfId="2137" xr:uid="{00000000-0005-0000-0000-000059080000}"/>
    <cellStyle name="Input 6" xfId="2138" xr:uid="{00000000-0005-0000-0000-00005A080000}"/>
    <cellStyle name="Input 60" xfId="2139" xr:uid="{00000000-0005-0000-0000-00005B080000}"/>
    <cellStyle name="Input 61" xfId="2140" xr:uid="{00000000-0005-0000-0000-00005C080000}"/>
    <cellStyle name="Input 62" xfId="2141" xr:uid="{00000000-0005-0000-0000-00005D080000}"/>
    <cellStyle name="Input 63" xfId="2142" xr:uid="{00000000-0005-0000-0000-00005E080000}"/>
    <cellStyle name="Input 7" xfId="2143" xr:uid="{00000000-0005-0000-0000-00005F080000}"/>
    <cellStyle name="Input 8" xfId="2144" xr:uid="{00000000-0005-0000-0000-000060080000}"/>
    <cellStyle name="Input 9" xfId="2145" xr:uid="{00000000-0005-0000-0000-000061080000}"/>
    <cellStyle name="Linked Cell 1" xfId="2146" xr:uid="{00000000-0005-0000-0000-000062080000}"/>
    <cellStyle name="Linked Cell 10" xfId="2147" xr:uid="{00000000-0005-0000-0000-000063080000}"/>
    <cellStyle name="Linked Cell 11" xfId="2148" xr:uid="{00000000-0005-0000-0000-000064080000}"/>
    <cellStyle name="Linked Cell 12" xfId="2149" xr:uid="{00000000-0005-0000-0000-000065080000}"/>
    <cellStyle name="Linked Cell 13" xfId="2150" xr:uid="{00000000-0005-0000-0000-000066080000}"/>
    <cellStyle name="Linked Cell 14" xfId="2151" xr:uid="{00000000-0005-0000-0000-000067080000}"/>
    <cellStyle name="Linked Cell 15" xfId="2152" xr:uid="{00000000-0005-0000-0000-000068080000}"/>
    <cellStyle name="Linked Cell 16" xfId="2153" xr:uid="{00000000-0005-0000-0000-000069080000}"/>
    <cellStyle name="Linked Cell 17" xfId="2154" xr:uid="{00000000-0005-0000-0000-00006A080000}"/>
    <cellStyle name="Linked Cell 18" xfId="2155" xr:uid="{00000000-0005-0000-0000-00006B080000}"/>
    <cellStyle name="Linked Cell 19" xfId="2156" xr:uid="{00000000-0005-0000-0000-00006C080000}"/>
    <cellStyle name="Linked Cell 2" xfId="2157" xr:uid="{00000000-0005-0000-0000-00006D080000}"/>
    <cellStyle name="Linked Cell 20" xfId="2158" xr:uid="{00000000-0005-0000-0000-00006E080000}"/>
    <cellStyle name="Linked Cell 21" xfId="2159" xr:uid="{00000000-0005-0000-0000-00006F080000}"/>
    <cellStyle name="Linked Cell 22" xfId="2160" xr:uid="{00000000-0005-0000-0000-000070080000}"/>
    <cellStyle name="Linked Cell 23" xfId="2161" xr:uid="{00000000-0005-0000-0000-000071080000}"/>
    <cellStyle name="Linked Cell 24" xfId="2162" xr:uid="{00000000-0005-0000-0000-000072080000}"/>
    <cellStyle name="Linked Cell 25" xfId="2163" xr:uid="{00000000-0005-0000-0000-000073080000}"/>
    <cellStyle name="Linked Cell 26" xfId="2164" xr:uid="{00000000-0005-0000-0000-000074080000}"/>
    <cellStyle name="Linked Cell 27" xfId="2165" xr:uid="{00000000-0005-0000-0000-000075080000}"/>
    <cellStyle name="Linked Cell 28" xfId="2166" xr:uid="{00000000-0005-0000-0000-000076080000}"/>
    <cellStyle name="Linked Cell 29" xfId="2167" xr:uid="{00000000-0005-0000-0000-000077080000}"/>
    <cellStyle name="Linked Cell 3" xfId="2168" xr:uid="{00000000-0005-0000-0000-000078080000}"/>
    <cellStyle name="Linked Cell 30" xfId="2169" xr:uid="{00000000-0005-0000-0000-000079080000}"/>
    <cellStyle name="Linked Cell 31" xfId="2170" xr:uid="{00000000-0005-0000-0000-00007A080000}"/>
    <cellStyle name="Linked Cell 32" xfId="2171" xr:uid="{00000000-0005-0000-0000-00007B080000}"/>
    <cellStyle name="Linked Cell 33" xfId="2172" xr:uid="{00000000-0005-0000-0000-00007C080000}"/>
    <cellStyle name="Linked Cell 34" xfId="2173" xr:uid="{00000000-0005-0000-0000-00007D080000}"/>
    <cellStyle name="Linked Cell 35" xfId="2174" xr:uid="{00000000-0005-0000-0000-00007E080000}"/>
    <cellStyle name="Linked Cell 36" xfId="2175" xr:uid="{00000000-0005-0000-0000-00007F080000}"/>
    <cellStyle name="Linked Cell 37" xfId="2176" xr:uid="{00000000-0005-0000-0000-000080080000}"/>
    <cellStyle name="Linked Cell 38" xfId="2177" xr:uid="{00000000-0005-0000-0000-000081080000}"/>
    <cellStyle name="Linked Cell 39" xfId="2178" xr:uid="{00000000-0005-0000-0000-000082080000}"/>
    <cellStyle name="Linked Cell 4" xfId="2179" xr:uid="{00000000-0005-0000-0000-000083080000}"/>
    <cellStyle name="Linked Cell 40" xfId="2180" xr:uid="{00000000-0005-0000-0000-000084080000}"/>
    <cellStyle name="Linked Cell 41" xfId="2181" xr:uid="{00000000-0005-0000-0000-000085080000}"/>
    <cellStyle name="Linked Cell 42" xfId="2182" xr:uid="{00000000-0005-0000-0000-000086080000}"/>
    <cellStyle name="Linked Cell 43" xfId="2183" xr:uid="{00000000-0005-0000-0000-000087080000}"/>
    <cellStyle name="Linked Cell 44" xfId="2184" xr:uid="{00000000-0005-0000-0000-000088080000}"/>
    <cellStyle name="Linked Cell 45" xfId="2185" xr:uid="{00000000-0005-0000-0000-000089080000}"/>
    <cellStyle name="Linked Cell 46" xfId="2186" xr:uid="{00000000-0005-0000-0000-00008A080000}"/>
    <cellStyle name="Linked Cell 47" xfId="2187" xr:uid="{00000000-0005-0000-0000-00008B080000}"/>
    <cellStyle name="Linked Cell 48" xfId="2188" xr:uid="{00000000-0005-0000-0000-00008C080000}"/>
    <cellStyle name="Linked Cell 49" xfId="2189" xr:uid="{00000000-0005-0000-0000-00008D080000}"/>
    <cellStyle name="Linked Cell 5" xfId="2190" xr:uid="{00000000-0005-0000-0000-00008E080000}"/>
    <cellStyle name="Linked Cell 50" xfId="2191" xr:uid="{00000000-0005-0000-0000-00008F080000}"/>
    <cellStyle name="Linked Cell 51" xfId="2192" xr:uid="{00000000-0005-0000-0000-000090080000}"/>
    <cellStyle name="Linked Cell 52" xfId="2193" xr:uid="{00000000-0005-0000-0000-000091080000}"/>
    <cellStyle name="Linked Cell 53" xfId="2194" xr:uid="{00000000-0005-0000-0000-000092080000}"/>
    <cellStyle name="Linked Cell 54" xfId="2195" xr:uid="{00000000-0005-0000-0000-000093080000}"/>
    <cellStyle name="Linked Cell 55" xfId="2196" xr:uid="{00000000-0005-0000-0000-000094080000}"/>
    <cellStyle name="Linked Cell 56" xfId="2197" xr:uid="{00000000-0005-0000-0000-000095080000}"/>
    <cellStyle name="Linked Cell 57" xfId="2198" xr:uid="{00000000-0005-0000-0000-000096080000}"/>
    <cellStyle name="Linked Cell 58" xfId="2199" xr:uid="{00000000-0005-0000-0000-000097080000}"/>
    <cellStyle name="Linked Cell 59" xfId="2200" xr:uid="{00000000-0005-0000-0000-000098080000}"/>
    <cellStyle name="Linked Cell 6" xfId="2201" xr:uid="{00000000-0005-0000-0000-000099080000}"/>
    <cellStyle name="Linked Cell 60" xfId="2202" xr:uid="{00000000-0005-0000-0000-00009A080000}"/>
    <cellStyle name="Linked Cell 61" xfId="2203" xr:uid="{00000000-0005-0000-0000-00009B080000}"/>
    <cellStyle name="Linked Cell 62" xfId="2204" xr:uid="{00000000-0005-0000-0000-00009C080000}"/>
    <cellStyle name="Linked Cell 63" xfId="2205" xr:uid="{00000000-0005-0000-0000-00009D080000}"/>
    <cellStyle name="Linked Cell 7" xfId="2206" xr:uid="{00000000-0005-0000-0000-00009E080000}"/>
    <cellStyle name="Linked Cell 8" xfId="2207" xr:uid="{00000000-0005-0000-0000-00009F080000}"/>
    <cellStyle name="Linked Cell 9" xfId="2208" xr:uid="{00000000-0005-0000-0000-0000A0080000}"/>
    <cellStyle name="Neutral 1" xfId="2209" xr:uid="{00000000-0005-0000-0000-0000A1080000}"/>
    <cellStyle name="Neutral 10" xfId="2210" xr:uid="{00000000-0005-0000-0000-0000A2080000}"/>
    <cellStyle name="Neutral 11" xfId="2211" xr:uid="{00000000-0005-0000-0000-0000A3080000}"/>
    <cellStyle name="Neutral 12" xfId="2212" xr:uid="{00000000-0005-0000-0000-0000A4080000}"/>
    <cellStyle name="Neutral 13" xfId="2213" xr:uid="{00000000-0005-0000-0000-0000A5080000}"/>
    <cellStyle name="Neutral 14" xfId="2214" xr:uid="{00000000-0005-0000-0000-0000A6080000}"/>
    <cellStyle name="Neutral 15" xfId="2215" xr:uid="{00000000-0005-0000-0000-0000A7080000}"/>
    <cellStyle name="Neutral 16" xfId="2216" xr:uid="{00000000-0005-0000-0000-0000A8080000}"/>
    <cellStyle name="Neutral 17" xfId="2217" xr:uid="{00000000-0005-0000-0000-0000A9080000}"/>
    <cellStyle name="Neutral 18" xfId="2218" xr:uid="{00000000-0005-0000-0000-0000AA080000}"/>
    <cellStyle name="Neutral 19" xfId="2219" xr:uid="{00000000-0005-0000-0000-0000AB080000}"/>
    <cellStyle name="Neutral 2" xfId="2220" xr:uid="{00000000-0005-0000-0000-0000AC080000}"/>
    <cellStyle name="Neutral 20" xfId="2221" xr:uid="{00000000-0005-0000-0000-0000AD080000}"/>
    <cellStyle name="Neutral 21" xfId="2222" xr:uid="{00000000-0005-0000-0000-0000AE080000}"/>
    <cellStyle name="Neutral 22" xfId="2223" xr:uid="{00000000-0005-0000-0000-0000AF080000}"/>
    <cellStyle name="Neutral 23" xfId="2224" xr:uid="{00000000-0005-0000-0000-0000B0080000}"/>
    <cellStyle name="Neutral 24" xfId="2225" xr:uid="{00000000-0005-0000-0000-0000B1080000}"/>
    <cellStyle name="Neutral 25" xfId="2226" xr:uid="{00000000-0005-0000-0000-0000B2080000}"/>
    <cellStyle name="Neutral 26" xfId="2227" xr:uid="{00000000-0005-0000-0000-0000B3080000}"/>
    <cellStyle name="Neutral 27" xfId="2228" xr:uid="{00000000-0005-0000-0000-0000B4080000}"/>
    <cellStyle name="Neutral 28" xfId="2229" xr:uid="{00000000-0005-0000-0000-0000B5080000}"/>
    <cellStyle name="Neutral 29" xfId="2230" xr:uid="{00000000-0005-0000-0000-0000B6080000}"/>
    <cellStyle name="Neutral 3" xfId="2231" xr:uid="{00000000-0005-0000-0000-0000B7080000}"/>
    <cellStyle name="Neutral 30" xfId="2232" xr:uid="{00000000-0005-0000-0000-0000B8080000}"/>
    <cellStyle name="Neutral 31" xfId="2233" xr:uid="{00000000-0005-0000-0000-0000B9080000}"/>
    <cellStyle name="Neutral 32" xfId="2234" xr:uid="{00000000-0005-0000-0000-0000BA080000}"/>
    <cellStyle name="Neutral 33" xfId="2235" xr:uid="{00000000-0005-0000-0000-0000BB080000}"/>
    <cellStyle name="Neutral 34" xfId="2236" xr:uid="{00000000-0005-0000-0000-0000BC080000}"/>
    <cellStyle name="Neutral 35" xfId="2237" xr:uid="{00000000-0005-0000-0000-0000BD080000}"/>
    <cellStyle name="Neutral 36" xfId="2238" xr:uid="{00000000-0005-0000-0000-0000BE080000}"/>
    <cellStyle name="Neutral 37" xfId="2239" xr:uid="{00000000-0005-0000-0000-0000BF080000}"/>
    <cellStyle name="Neutral 38" xfId="2240" xr:uid="{00000000-0005-0000-0000-0000C0080000}"/>
    <cellStyle name="Neutral 39" xfId="2241" xr:uid="{00000000-0005-0000-0000-0000C1080000}"/>
    <cellStyle name="Neutral 4" xfId="2242" xr:uid="{00000000-0005-0000-0000-0000C2080000}"/>
    <cellStyle name="Neutral 40" xfId="2243" xr:uid="{00000000-0005-0000-0000-0000C3080000}"/>
    <cellStyle name="Neutral 41" xfId="2244" xr:uid="{00000000-0005-0000-0000-0000C4080000}"/>
    <cellStyle name="Neutral 42" xfId="2245" xr:uid="{00000000-0005-0000-0000-0000C5080000}"/>
    <cellStyle name="Neutral 43" xfId="2246" xr:uid="{00000000-0005-0000-0000-0000C6080000}"/>
    <cellStyle name="Neutral 44" xfId="2247" xr:uid="{00000000-0005-0000-0000-0000C7080000}"/>
    <cellStyle name="Neutral 45" xfId="2248" xr:uid="{00000000-0005-0000-0000-0000C8080000}"/>
    <cellStyle name="Neutral 46" xfId="2249" xr:uid="{00000000-0005-0000-0000-0000C9080000}"/>
    <cellStyle name="Neutral 47" xfId="2250" xr:uid="{00000000-0005-0000-0000-0000CA080000}"/>
    <cellStyle name="Neutral 48" xfId="2251" xr:uid="{00000000-0005-0000-0000-0000CB080000}"/>
    <cellStyle name="Neutral 49" xfId="2252" xr:uid="{00000000-0005-0000-0000-0000CC080000}"/>
    <cellStyle name="Neutral 5" xfId="2253" xr:uid="{00000000-0005-0000-0000-0000CD080000}"/>
    <cellStyle name="Neutral 50" xfId="2254" xr:uid="{00000000-0005-0000-0000-0000CE080000}"/>
    <cellStyle name="Neutral 51" xfId="2255" xr:uid="{00000000-0005-0000-0000-0000CF080000}"/>
    <cellStyle name="Neutral 52" xfId="2256" xr:uid="{00000000-0005-0000-0000-0000D0080000}"/>
    <cellStyle name="Neutral 53" xfId="2257" xr:uid="{00000000-0005-0000-0000-0000D1080000}"/>
    <cellStyle name="Neutral 54" xfId="2258" xr:uid="{00000000-0005-0000-0000-0000D2080000}"/>
    <cellStyle name="Neutral 55" xfId="2259" xr:uid="{00000000-0005-0000-0000-0000D3080000}"/>
    <cellStyle name="Neutral 56" xfId="2260" xr:uid="{00000000-0005-0000-0000-0000D4080000}"/>
    <cellStyle name="Neutral 57" xfId="2261" xr:uid="{00000000-0005-0000-0000-0000D5080000}"/>
    <cellStyle name="Neutral 58" xfId="2262" xr:uid="{00000000-0005-0000-0000-0000D6080000}"/>
    <cellStyle name="Neutral 59" xfId="2263" xr:uid="{00000000-0005-0000-0000-0000D7080000}"/>
    <cellStyle name="Neutral 6" xfId="2264" xr:uid="{00000000-0005-0000-0000-0000D8080000}"/>
    <cellStyle name="Neutral 60" xfId="2265" xr:uid="{00000000-0005-0000-0000-0000D9080000}"/>
    <cellStyle name="Neutral 61" xfId="2266" xr:uid="{00000000-0005-0000-0000-0000DA080000}"/>
    <cellStyle name="Neutral 62" xfId="2267" xr:uid="{00000000-0005-0000-0000-0000DB080000}"/>
    <cellStyle name="Neutral 63" xfId="2268" xr:uid="{00000000-0005-0000-0000-0000DC080000}"/>
    <cellStyle name="Neutral 7" xfId="2269" xr:uid="{00000000-0005-0000-0000-0000DD080000}"/>
    <cellStyle name="Neutral 8" xfId="2270" xr:uid="{00000000-0005-0000-0000-0000DE080000}"/>
    <cellStyle name="Neutral 9" xfId="2271" xr:uid="{00000000-0005-0000-0000-0000DF080000}"/>
    <cellStyle name="Normal" xfId="0" builtinId="0"/>
    <cellStyle name="Normal - Style1" xfId="2600" xr:uid="{00000000-0005-0000-0000-0000280A0000}"/>
    <cellStyle name="Normal 2" xfId="2" xr:uid="{00000000-0005-0000-0000-000002000000}"/>
    <cellStyle name="Normal 3" xfId="2606" xr:uid="{00000000-0005-0000-0000-00002E0A0000}"/>
    <cellStyle name="Normal 4" xfId="2607" xr:uid="{00000000-0005-0000-0000-0000300A0000}"/>
    <cellStyle name="Note 1" xfId="2272" xr:uid="{00000000-0005-0000-0000-0000E0080000}"/>
    <cellStyle name="Note 10" xfId="2273" xr:uid="{00000000-0005-0000-0000-0000E1080000}"/>
    <cellStyle name="Note 11" xfId="2274" xr:uid="{00000000-0005-0000-0000-0000E2080000}"/>
    <cellStyle name="Note 12" xfId="2275" xr:uid="{00000000-0005-0000-0000-0000E3080000}"/>
    <cellStyle name="Note 13" xfId="2276" xr:uid="{00000000-0005-0000-0000-0000E4080000}"/>
    <cellStyle name="Note 14" xfId="2277" xr:uid="{00000000-0005-0000-0000-0000E5080000}"/>
    <cellStyle name="Note 15" xfId="2278" xr:uid="{00000000-0005-0000-0000-0000E6080000}"/>
    <cellStyle name="Note 16" xfId="2279" xr:uid="{00000000-0005-0000-0000-0000E7080000}"/>
    <cellStyle name="Note 17" xfId="2280" xr:uid="{00000000-0005-0000-0000-0000E8080000}"/>
    <cellStyle name="Note 18" xfId="2281" xr:uid="{00000000-0005-0000-0000-0000E9080000}"/>
    <cellStyle name="Note 19" xfId="2282" xr:uid="{00000000-0005-0000-0000-0000EA080000}"/>
    <cellStyle name="Note 2" xfId="2283" xr:uid="{00000000-0005-0000-0000-0000EB080000}"/>
    <cellStyle name="Note 20" xfId="2284" xr:uid="{00000000-0005-0000-0000-0000EC080000}"/>
    <cellStyle name="Note 21" xfId="2285" xr:uid="{00000000-0005-0000-0000-0000ED080000}"/>
    <cellStyle name="Note 22" xfId="2286" xr:uid="{00000000-0005-0000-0000-0000EE080000}"/>
    <cellStyle name="Note 23" xfId="2287" xr:uid="{00000000-0005-0000-0000-0000EF080000}"/>
    <cellStyle name="Note 24" xfId="2288" xr:uid="{00000000-0005-0000-0000-0000F0080000}"/>
    <cellStyle name="Note 25" xfId="2289" xr:uid="{00000000-0005-0000-0000-0000F1080000}"/>
    <cellStyle name="Note 26" xfId="2290" xr:uid="{00000000-0005-0000-0000-0000F2080000}"/>
    <cellStyle name="Note 27" xfId="2291" xr:uid="{00000000-0005-0000-0000-0000F3080000}"/>
    <cellStyle name="Note 28" xfId="2292" xr:uid="{00000000-0005-0000-0000-0000F4080000}"/>
    <cellStyle name="Note 29" xfId="2293" xr:uid="{00000000-0005-0000-0000-0000F5080000}"/>
    <cellStyle name="Note 3" xfId="2294" xr:uid="{00000000-0005-0000-0000-0000F6080000}"/>
    <cellStyle name="Note 30" xfId="2295" xr:uid="{00000000-0005-0000-0000-0000F7080000}"/>
    <cellStyle name="Note 31" xfId="2296" xr:uid="{00000000-0005-0000-0000-0000F8080000}"/>
    <cellStyle name="Note 32" xfId="2297" xr:uid="{00000000-0005-0000-0000-0000F9080000}"/>
    <cellStyle name="Note 33" xfId="2298" xr:uid="{00000000-0005-0000-0000-0000FA080000}"/>
    <cellStyle name="Note 34" xfId="2299" xr:uid="{00000000-0005-0000-0000-0000FB080000}"/>
    <cellStyle name="Note 35" xfId="2300" xr:uid="{00000000-0005-0000-0000-0000FC080000}"/>
    <cellStyle name="Note 36" xfId="2301" xr:uid="{00000000-0005-0000-0000-0000FD080000}"/>
    <cellStyle name="Note 37" xfId="2302" xr:uid="{00000000-0005-0000-0000-0000FE080000}"/>
    <cellStyle name="Note 38" xfId="2303" xr:uid="{00000000-0005-0000-0000-0000FF080000}"/>
    <cellStyle name="Note 39" xfId="2304" xr:uid="{00000000-0005-0000-0000-000000090000}"/>
    <cellStyle name="Note 4" xfId="2305" xr:uid="{00000000-0005-0000-0000-000001090000}"/>
    <cellStyle name="Note 40" xfId="2306" xr:uid="{00000000-0005-0000-0000-000002090000}"/>
    <cellStyle name="Note 41" xfId="2307" xr:uid="{00000000-0005-0000-0000-000003090000}"/>
    <cellStyle name="Note 42" xfId="2308" xr:uid="{00000000-0005-0000-0000-000004090000}"/>
    <cellStyle name="Note 43" xfId="2309" xr:uid="{00000000-0005-0000-0000-000005090000}"/>
    <cellStyle name="Note 44" xfId="2310" xr:uid="{00000000-0005-0000-0000-000006090000}"/>
    <cellStyle name="Note 45" xfId="2311" xr:uid="{00000000-0005-0000-0000-000007090000}"/>
    <cellStyle name="Note 46" xfId="2312" xr:uid="{00000000-0005-0000-0000-000008090000}"/>
    <cellStyle name="Note 47" xfId="2313" xr:uid="{00000000-0005-0000-0000-000009090000}"/>
    <cellStyle name="Note 48" xfId="2314" xr:uid="{00000000-0005-0000-0000-00000A090000}"/>
    <cellStyle name="Note 49" xfId="2315" xr:uid="{00000000-0005-0000-0000-00000B090000}"/>
    <cellStyle name="Note 5" xfId="2316" xr:uid="{00000000-0005-0000-0000-00000C090000}"/>
    <cellStyle name="Note 50" xfId="2317" xr:uid="{00000000-0005-0000-0000-00000D090000}"/>
    <cellStyle name="Note 51" xfId="2318" xr:uid="{00000000-0005-0000-0000-00000E090000}"/>
    <cellStyle name="Note 52" xfId="2319" xr:uid="{00000000-0005-0000-0000-00000F090000}"/>
    <cellStyle name="Note 53" xfId="2320" xr:uid="{00000000-0005-0000-0000-000010090000}"/>
    <cellStyle name="Note 54" xfId="2321" xr:uid="{00000000-0005-0000-0000-000011090000}"/>
    <cellStyle name="Note 55" xfId="2322" xr:uid="{00000000-0005-0000-0000-000012090000}"/>
    <cellStyle name="Note 56" xfId="2323" xr:uid="{00000000-0005-0000-0000-000013090000}"/>
    <cellStyle name="Note 57" xfId="2324" xr:uid="{00000000-0005-0000-0000-000014090000}"/>
    <cellStyle name="Note 58" xfId="2325" xr:uid="{00000000-0005-0000-0000-000015090000}"/>
    <cellStyle name="Note 59" xfId="2326" xr:uid="{00000000-0005-0000-0000-000016090000}"/>
    <cellStyle name="Note 6" xfId="2327" xr:uid="{00000000-0005-0000-0000-000017090000}"/>
    <cellStyle name="Note 60" xfId="2328" xr:uid="{00000000-0005-0000-0000-000018090000}"/>
    <cellStyle name="Note 61" xfId="2329" xr:uid="{00000000-0005-0000-0000-000019090000}"/>
    <cellStyle name="Note 62" xfId="2330" xr:uid="{00000000-0005-0000-0000-00001A090000}"/>
    <cellStyle name="Note 63" xfId="2331" xr:uid="{00000000-0005-0000-0000-00001B090000}"/>
    <cellStyle name="Note 7" xfId="2332" xr:uid="{00000000-0005-0000-0000-00001C090000}"/>
    <cellStyle name="Note 8" xfId="2333" xr:uid="{00000000-0005-0000-0000-00001D090000}"/>
    <cellStyle name="Note 9" xfId="2334" xr:uid="{00000000-0005-0000-0000-00001E090000}"/>
    <cellStyle name="Output 1" xfId="2335" xr:uid="{00000000-0005-0000-0000-00001F090000}"/>
    <cellStyle name="Output 10" xfId="2336" xr:uid="{00000000-0005-0000-0000-000020090000}"/>
    <cellStyle name="Output 11" xfId="2337" xr:uid="{00000000-0005-0000-0000-000021090000}"/>
    <cellStyle name="Output 12" xfId="2338" xr:uid="{00000000-0005-0000-0000-000022090000}"/>
    <cellStyle name="Output 13" xfId="2339" xr:uid="{00000000-0005-0000-0000-000023090000}"/>
    <cellStyle name="Output 14" xfId="2340" xr:uid="{00000000-0005-0000-0000-000024090000}"/>
    <cellStyle name="Output 15" xfId="2341" xr:uid="{00000000-0005-0000-0000-000025090000}"/>
    <cellStyle name="Output 16" xfId="2342" xr:uid="{00000000-0005-0000-0000-000026090000}"/>
    <cellStyle name="Output 17" xfId="2343" xr:uid="{00000000-0005-0000-0000-000027090000}"/>
    <cellStyle name="Output 18" xfId="2344" xr:uid="{00000000-0005-0000-0000-000028090000}"/>
    <cellStyle name="Output 19" xfId="2345" xr:uid="{00000000-0005-0000-0000-000029090000}"/>
    <cellStyle name="Output 2" xfId="2346" xr:uid="{00000000-0005-0000-0000-00002A090000}"/>
    <cellStyle name="Output 20" xfId="2347" xr:uid="{00000000-0005-0000-0000-00002B090000}"/>
    <cellStyle name="Output 21" xfId="2348" xr:uid="{00000000-0005-0000-0000-00002C090000}"/>
    <cellStyle name="Output 22" xfId="2349" xr:uid="{00000000-0005-0000-0000-00002D090000}"/>
    <cellStyle name="Output 23" xfId="2350" xr:uid="{00000000-0005-0000-0000-00002E090000}"/>
    <cellStyle name="Output 24" xfId="2351" xr:uid="{00000000-0005-0000-0000-00002F090000}"/>
    <cellStyle name="Output 25" xfId="2352" xr:uid="{00000000-0005-0000-0000-000030090000}"/>
    <cellStyle name="Output 26" xfId="2353" xr:uid="{00000000-0005-0000-0000-000031090000}"/>
    <cellStyle name="Output 27" xfId="2354" xr:uid="{00000000-0005-0000-0000-000032090000}"/>
    <cellStyle name="Output 28" xfId="2355" xr:uid="{00000000-0005-0000-0000-000033090000}"/>
    <cellStyle name="Output 29" xfId="2356" xr:uid="{00000000-0005-0000-0000-000034090000}"/>
    <cellStyle name="Output 3" xfId="2357" xr:uid="{00000000-0005-0000-0000-000035090000}"/>
    <cellStyle name="Output 30" xfId="2358" xr:uid="{00000000-0005-0000-0000-000036090000}"/>
    <cellStyle name="Output 31" xfId="2359" xr:uid="{00000000-0005-0000-0000-000037090000}"/>
    <cellStyle name="Output 32" xfId="2360" xr:uid="{00000000-0005-0000-0000-000038090000}"/>
    <cellStyle name="Output 33" xfId="2361" xr:uid="{00000000-0005-0000-0000-000039090000}"/>
    <cellStyle name="Output 34" xfId="2362" xr:uid="{00000000-0005-0000-0000-00003A090000}"/>
    <cellStyle name="Output 35" xfId="2363" xr:uid="{00000000-0005-0000-0000-00003B090000}"/>
    <cellStyle name="Output 36" xfId="2364" xr:uid="{00000000-0005-0000-0000-00003C090000}"/>
    <cellStyle name="Output 37" xfId="2365" xr:uid="{00000000-0005-0000-0000-00003D090000}"/>
    <cellStyle name="Output 38" xfId="2366" xr:uid="{00000000-0005-0000-0000-00003E090000}"/>
    <cellStyle name="Output 39" xfId="2367" xr:uid="{00000000-0005-0000-0000-00003F090000}"/>
    <cellStyle name="Output 4" xfId="2368" xr:uid="{00000000-0005-0000-0000-000040090000}"/>
    <cellStyle name="Output 40" xfId="2369" xr:uid="{00000000-0005-0000-0000-000041090000}"/>
    <cellStyle name="Output 41" xfId="2370" xr:uid="{00000000-0005-0000-0000-000042090000}"/>
    <cellStyle name="Output 42" xfId="2371" xr:uid="{00000000-0005-0000-0000-000043090000}"/>
    <cellStyle name="Output 43" xfId="2372" xr:uid="{00000000-0005-0000-0000-000044090000}"/>
    <cellStyle name="Output 44" xfId="2373" xr:uid="{00000000-0005-0000-0000-000045090000}"/>
    <cellStyle name="Output 45" xfId="2374" xr:uid="{00000000-0005-0000-0000-000046090000}"/>
    <cellStyle name="Output 46" xfId="2375" xr:uid="{00000000-0005-0000-0000-000047090000}"/>
    <cellStyle name="Output 47" xfId="2376" xr:uid="{00000000-0005-0000-0000-000048090000}"/>
    <cellStyle name="Output 48" xfId="2377" xr:uid="{00000000-0005-0000-0000-000049090000}"/>
    <cellStyle name="Output 49" xfId="2378" xr:uid="{00000000-0005-0000-0000-00004A090000}"/>
    <cellStyle name="Output 5" xfId="2379" xr:uid="{00000000-0005-0000-0000-00004B090000}"/>
    <cellStyle name="Output 50" xfId="2380" xr:uid="{00000000-0005-0000-0000-00004C090000}"/>
    <cellStyle name="Output 51" xfId="2381" xr:uid="{00000000-0005-0000-0000-00004D090000}"/>
    <cellStyle name="Output 52" xfId="2382" xr:uid="{00000000-0005-0000-0000-00004E090000}"/>
    <cellStyle name="Output 53" xfId="2383" xr:uid="{00000000-0005-0000-0000-00004F090000}"/>
    <cellStyle name="Output 54" xfId="2384" xr:uid="{00000000-0005-0000-0000-000050090000}"/>
    <cellStyle name="Output 55" xfId="2385" xr:uid="{00000000-0005-0000-0000-000051090000}"/>
    <cellStyle name="Output 56" xfId="2386" xr:uid="{00000000-0005-0000-0000-000052090000}"/>
    <cellStyle name="Output 57" xfId="2387" xr:uid="{00000000-0005-0000-0000-000053090000}"/>
    <cellStyle name="Output 58" xfId="2388" xr:uid="{00000000-0005-0000-0000-000054090000}"/>
    <cellStyle name="Output 59" xfId="2389" xr:uid="{00000000-0005-0000-0000-000055090000}"/>
    <cellStyle name="Output 6" xfId="2390" xr:uid="{00000000-0005-0000-0000-000056090000}"/>
    <cellStyle name="Output 60" xfId="2391" xr:uid="{00000000-0005-0000-0000-000057090000}"/>
    <cellStyle name="Output 61" xfId="2392" xr:uid="{00000000-0005-0000-0000-000058090000}"/>
    <cellStyle name="Output 62" xfId="2393" xr:uid="{00000000-0005-0000-0000-000059090000}"/>
    <cellStyle name="Output 63" xfId="2394" xr:uid="{00000000-0005-0000-0000-00005A090000}"/>
    <cellStyle name="Output 7" xfId="2395" xr:uid="{00000000-0005-0000-0000-00005B090000}"/>
    <cellStyle name="Output 8" xfId="2396" xr:uid="{00000000-0005-0000-0000-00005C090000}"/>
    <cellStyle name="Output 9" xfId="2397" xr:uid="{00000000-0005-0000-0000-00005D090000}"/>
    <cellStyle name="Parent" xfId="2601" xr:uid="{00000000-0005-0000-0000-0000290A0000}"/>
    <cellStyle name="Percent [2]" xfId="2602" xr:uid="{00000000-0005-0000-0000-00002A0A0000}"/>
    <cellStyle name="Result" xfId="2603" xr:uid="{00000000-0005-0000-0000-00002B0A0000}"/>
    <cellStyle name="Result2" xfId="2604" xr:uid="{00000000-0005-0000-0000-00002C0A0000}"/>
    <cellStyle name="T" xfId="2605" xr:uid="{00000000-0005-0000-0000-00002D0A0000}"/>
    <cellStyle name="Title 1" xfId="2398" xr:uid="{00000000-0005-0000-0000-00005E090000}"/>
    <cellStyle name="Title 10" xfId="2399" xr:uid="{00000000-0005-0000-0000-00005F090000}"/>
    <cellStyle name="Title 11" xfId="2400" xr:uid="{00000000-0005-0000-0000-000060090000}"/>
    <cellStyle name="Title 12" xfId="2401" xr:uid="{00000000-0005-0000-0000-000061090000}"/>
    <cellStyle name="Title 13" xfId="2402" xr:uid="{00000000-0005-0000-0000-000062090000}"/>
    <cellStyle name="Title 14" xfId="2403" xr:uid="{00000000-0005-0000-0000-000063090000}"/>
    <cellStyle name="Title 15" xfId="2404" xr:uid="{00000000-0005-0000-0000-000064090000}"/>
    <cellStyle name="Title 16" xfId="2405" xr:uid="{00000000-0005-0000-0000-000065090000}"/>
    <cellStyle name="Title 17" xfId="2406" xr:uid="{00000000-0005-0000-0000-000066090000}"/>
    <cellStyle name="Title 18" xfId="2407" xr:uid="{00000000-0005-0000-0000-000067090000}"/>
    <cellStyle name="Title 19" xfId="2408" xr:uid="{00000000-0005-0000-0000-000068090000}"/>
    <cellStyle name="Title 2" xfId="2409" xr:uid="{00000000-0005-0000-0000-000069090000}"/>
    <cellStyle name="Title 20" xfId="2410" xr:uid="{00000000-0005-0000-0000-00006A090000}"/>
    <cellStyle name="Title 21" xfId="2411" xr:uid="{00000000-0005-0000-0000-00006B090000}"/>
    <cellStyle name="Title 22" xfId="2412" xr:uid="{00000000-0005-0000-0000-00006C090000}"/>
    <cellStyle name="Title 23" xfId="2413" xr:uid="{00000000-0005-0000-0000-00006D090000}"/>
    <cellStyle name="Title 24" xfId="2414" xr:uid="{00000000-0005-0000-0000-00006E090000}"/>
    <cellStyle name="Title 25" xfId="2415" xr:uid="{00000000-0005-0000-0000-00006F090000}"/>
    <cellStyle name="Title 26" xfId="2416" xr:uid="{00000000-0005-0000-0000-000070090000}"/>
    <cellStyle name="Title 27" xfId="2417" xr:uid="{00000000-0005-0000-0000-000071090000}"/>
    <cellStyle name="Title 28" xfId="2418" xr:uid="{00000000-0005-0000-0000-000072090000}"/>
    <cellStyle name="Title 29" xfId="2419" xr:uid="{00000000-0005-0000-0000-000073090000}"/>
    <cellStyle name="Title 3" xfId="2420" xr:uid="{00000000-0005-0000-0000-000074090000}"/>
    <cellStyle name="Title 30" xfId="2421" xr:uid="{00000000-0005-0000-0000-000075090000}"/>
    <cellStyle name="Title 31" xfId="2422" xr:uid="{00000000-0005-0000-0000-000076090000}"/>
    <cellStyle name="Title 32" xfId="2423" xr:uid="{00000000-0005-0000-0000-000077090000}"/>
    <cellStyle name="Title 33" xfId="2424" xr:uid="{00000000-0005-0000-0000-000078090000}"/>
    <cellStyle name="Title 34" xfId="2425" xr:uid="{00000000-0005-0000-0000-000079090000}"/>
    <cellStyle name="Title 35" xfId="2426" xr:uid="{00000000-0005-0000-0000-00007A090000}"/>
    <cellStyle name="Title 36" xfId="2427" xr:uid="{00000000-0005-0000-0000-00007B090000}"/>
    <cellStyle name="Title 37" xfId="2428" xr:uid="{00000000-0005-0000-0000-00007C090000}"/>
    <cellStyle name="Title 38" xfId="2429" xr:uid="{00000000-0005-0000-0000-00007D090000}"/>
    <cellStyle name="Title 39" xfId="2430" xr:uid="{00000000-0005-0000-0000-00007E090000}"/>
    <cellStyle name="Title 4" xfId="2431" xr:uid="{00000000-0005-0000-0000-00007F090000}"/>
    <cellStyle name="Title 40" xfId="2432" xr:uid="{00000000-0005-0000-0000-000080090000}"/>
    <cellStyle name="Title 41" xfId="2433" xr:uid="{00000000-0005-0000-0000-000081090000}"/>
    <cellStyle name="Title 42" xfId="2434" xr:uid="{00000000-0005-0000-0000-000082090000}"/>
    <cellStyle name="Title 43" xfId="2435" xr:uid="{00000000-0005-0000-0000-000083090000}"/>
    <cellStyle name="Title 44" xfId="2436" xr:uid="{00000000-0005-0000-0000-000084090000}"/>
    <cellStyle name="Title 45" xfId="2437" xr:uid="{00000000-0005-0000-0000-000085090000}"/>
    <cellStyle name="Title 46" xfId="2438" xr:uid="{00000000-0005-0000-0000-000086090000}"/>
    <cellStyle name="Title 47" xfId="2439" xr:uid="{00000000-0005-0000-0000-000087090000}"/>
    <cellStyle name="Title 48" xfId="2440" xr:uid="{00000000-0005-0000-0000-000088090000}"/>
    <cellStyle name="Title 49" xfId="2441" xr:uid="{00000000-0005-0000-0000-000089090000}"/>
    <cellStyle name="Title 5" xfId="2442" xr:uid="{00000000-0005-0000-0000-00008A090000}"/>
    <cellStyle name="Title 50" xfId="2443" xr:uid="{00000000-0005-0000-0000-00008B090000}"/>
    <cellStyle name="Title 51" xfId="2444" xr:uid="{00000000-0005-0000-0000-00008C090000}"/>
    <cellStyle name="Title 52" xfId="2445" xr:uid="{00000000-0005-0000-0000-00008D090000}"/>
    <cellStyle name="Title 53" xfId="2446" xr:uid="{00000000-0005-0000-0000-00008E090000}"/>
    <cellStyle name="Title 54" xfId="2447" xr:uid="{00000000-0005-0000-0000-00008F090000}"/>
    <cellStyle name="Title 55" xfId="2448" xr:uid="{00000000-0005-0000-0000-000090090000}"/>
    <cellStyle name="Title 56" xfId="2449" xr:uid="{00000000-0005-0000-0000-000091090000}"/>
    <cellStyle name="Title 57" xfId="2450" xr:uid="{00000000-0005-0000-0000-000092090000}"/>
    <cellStyle name="Title 58" xfId="2451" xr:uid="{00000000-0005-0000-0000-000093090000}"/>
    <cellStyle name="Title 59" xfId="2452" xr:uid="{00000000-0005-0000-0000-000094090000}"/>
    <cellStyle name="Title 6" xfId="2453" xr:uid="{00000000-0005-0000-0000-000095090000}"/>
    <cellStyle name="Title 60" xfId="2454" xr:uid="{00000000-0005-0000-0000-000096090000}"/>
    <cellStyle name="Title 61" xfId="2455" xr:uid="{00000000-0005-0000-0000-000097090000}"/>
    <cellStyle name="Title 62" xfId="2456" xr:uid="{00000000-0005-0000-0000-000098090000}"/>
    <cellStyle name="Title 63" xfId="2457" xr:uid="{00000000-0005-0000-0000-000099090000}"/>
    <cellStyle name="Title 7" xfId="2458" xr:uid="{00000000-0005-0000-0000-00009A090000}"/>
    <cellStyle name="Title 8" xfId="2459" xr:uid="{00000000-0005-0000-0000-00009B090000}"/>
    <cellStyle name="Title 9" xfId="2460" xr:uid="{00000000-0005-0000-0000-00009C090000}"/>
    <cellStyle name="Total 1" xfId="2461" xr:uid="{00000000-0005-0000-0000-00009D090000}"/>
    <cellStyle name="Total 10" xfId="2462" xr:uid="{00000000-0005-0000-0000-00009E090000}"/>
    <cellStyle name="Total 11" xfId="2463" xr:uid="{00000000-0005-0000-0000-00009F090000}"/>
    <cellStyle name="Total 12" xfId="2464" xr:uid="{00000000-0005-0000-0000-0000A0090000}"/>
    <cellStyle name="Total 13" xfId="2465" xr:uid="{00000000-0005-0000-0000-0000A1090000}"/>
    <cellStyle name="Total 14" xfId="2466" xr:uid="{00000000-0005-0000-0000-0000A2090000}"/>
    <cellStyle name="Total 15" xfId="2467" xr:uid="{00000000-0005-0000-0000-0000A3090000}"/>
    <cellStyle name="Total 16" xfId="2468" xr:uid="{00000000-0005-0000-0000-0000A4090000}"/>
    <cellStyle name="Total 17" xfId="2469" xr:uid="{00000000-0005-0000-0000-0000A5090000}"/>
    <cellStyle name="Total 18" xfId="2470" xr:uid="{00000000-0005-0000-0000-0000A6090000}"/>
    <cellStyle name="Total 19" xfId="2471" xr:uid="{00000000-0005-0000-0000-0000A7090000}"/>
    <cellStyle name="Total 2" xfId="2472" xr:uid="{00000000-0005-0000-0000-0000A8090000}"/>
    <cellStyle name="Total 20" xfId="2473" xr:uid="{00000000-0005-0000-0000-0000A9090000}"/>
    <cellStyle name="Total 21" xfId="2474" xr:uid="{00000000-0005-0000-0000-0000AA090000}"/>
    <cellStyle name="Total 22" xfId="2475" xr:uid="{00000000-0005-0000-0000-0000AB090000}"/>
    <cellStyle name="Total 23" xfId="2476" xr:uid="{00000000-0005-0000-0000-0000AC090000}"/>
    <cellStyle name="Total 24" xfId="2477" xr:uid="{00000000-0005-0000-0000-0000AD090000}"/>
    <cellStyle name="Total 25" xfId="2478" xr:uid="{00000000-0005-0000-0000-0000AE090000}"/>
    <cellStyle name="Total 26" xfId="2479" xr:uid="{00000000-0005-0000-0000-0000AF090000}"/>
    <cellStyle name="Total 27" xfId="2480" xr:uid="{00000000-0005-0000-0000-0000B0090000}"/>
    <cellStyle name="Total 28" xfId="2481" xr:uid="{00000000-0005-0000-0000-0000B1090000}"/>
    <cellStyle name="Total 29" xfId="2482" xr:uid="{00000000-0005-0000-0000-0000B2090000}"/>
    <cellStyle name="Total 3" xfId="2483" xr:uid="{00000000-0005-0000-0000-0000B3090000}"/>
    <cellStyle name="Total 30" xfId="2484" xr:uid="{00000000-0005-0000-0000-0000B4090000}"/>
    <cellStyle name="Total 31" xfId="2485" xr:uid="{00000000-0005-0000-0000-0000B5090000}"/>
    <cellStyle name="Total 32" xfId="2486" xr:uid="{00000000-0005-0000-0000-0000B6090000}"/>
    <cellStyle name="Total 33" xfId="2487" xr:uid="{00000000-0005-0000-0000-0000B7090000}"/>
    <cellStyle name="Total 34" xfId="2488" xr:uid="{00000000-0005-0000-0000-0000B8090000}"/>
    <cellStyle name="Total 35" xfId="2489" xr:uid="{00000000-0005-0000-0000-0000B9090000}"/>
    <cellStyle name="Total 36" xfId="2490" xr:uid="{00000000-0005-0000-0000-0000BA090000}"/>
    <cellStyle name="Total 37" xfId="2491" xr:uid="{00000000-0005-0000-0000-0000BB090000}"/>
    <cellStyle name="Total 38" xfId="2492" xr:uid="{00000000-0005-0000-0000-0000BC090000}"/>
    <cellStyle name="Total 39" xfId="2493" xr:uid="{00000000-0005-0000-0000-0000BD090000}"/>
    <cellStyle name="Total 4" xfId="2494" xr:uid="{00000000-0005-0000-0000-0000BE090000}"/>
    <cellStyle name="Total 40" xfId="2495" xr:uid="{00000000-0005-0000-0000-0000BF090000}"/>
    <cellStyle name="Total 41" xfId="2496" xr:uid="{00000000-0005-0000-0000-0000C0090000}"/>
    <cellStyle name="Total 42" xfId="2497" xr:uid="{00000000-0005-0000-0000-0000C1090000}"/>
    <cellStyle name="Total 43" xfId="2498" xr:uid="{00000000-0005-0000-0000-0000C2090000}"/>
    <cellStyle name="Total 44" xfId="2499" xr:uid="{00000000-0005-0000-0000-0000C3090000}"/>
    <cellStyle name="Total 45" xfId="2500" xr:uid="{00000000-0005-0000-0000-0000C4090000}"/>
    <cellStyle name="Total 46" xfId="2501" xr:uid="{00000000-0005-0000-0000-0000C5090000}"/>
    <cellStyle name="Total 47" xfId="2502" xr:uid="{00000000-0005-0000-0000-0000C6090000}"/>
    <cellStyle name="Total 48" xfId="2503" xr:uid="{00000000-0005-0000-0000-0000C7090000}"/>
    <cellStyle name="Total 49" xfId="2504" xr:uid="{00000000-0005-0000-0000-0000C8090000}"/>
    <cellStyle name="Total 5" xfId="2505" xr:uid="{00000000-0005-0000-0000-0000C9090000}"/>
    <cellStyle name="Total 50" xfId="2506" xr:uid="{00000000-0005-0000-0000-0000CA090000}"/>
    <cellStyle name="Total 51" xfId="2507" xr:uid="{00000000-0005-0000-0000-0000CB090000}"/>
    <cellStyle name="Total 52" xfId="2508" xr:uid="{00000000-0005-0000-0000-0000CC090000}"/>
    <cellStyle name="Total 53" xfId="2509" xr:uid="{00000000-0005-0000-0000-0000CD090000}"/>
    <cellStyle name="Total 54" xfId="2510" xr:uid="{00000000-0005-0000-0000-0000CE090000}"/>
    <cellStyle name="Total 55" xfId="2511" xr:uid="{00000000-0005-0000-0000-0000CF090000}"/>
    <cellStyle name="Total 56" xfId="2512" xr:uid="{00000000-0005-0000-0000-0000D0090000}"/>
    <cellStyle name="Total 57" xfId="2513" xr:uid="{00000000-0005-0000-0000-0000D1090000}"/>
    <cellStyle name="Total 58" xfId="2514" xr:uid="{00000000-0005-0000-0000-0000D2090000}"/>
    <cellStyle name="Total 59" xfId="2515" xr:uid="{00000000-0005-0000-0000-0000D3090000}"/>
    <cellStyle name="Total 6" xfId="2516" xr:uid="{00000000-0005-0000-0000-0000D4090000}"/>
    <cellStyle name="Total 60" xfId="2517" xr:uid="{00000000-0005-0000-0000-0000D5090000}"/>
    <cellStyle name="Total 61" xfId="2518" xr:uid="{00000000-0005-0000-0000-0000D6090000}"/>
    <cellStyle name="Total 62" xfId="2519" xr:uid="{00000000-0005-0000-0000-0000D7090000}"/>
    <cellStyle name="Total 63" xfId="2520" xr:uid="{00000000-0005-0000-0000-0000D8090000}"/>
    <cellStyle name="Total 7" xfId="2521" xr:uid="{00000000-0005-0000-0000-0000D9090000}"/>
    <cellStyle name="Total 8" xfId="2522" xr:uid="{00000000-0005-0000-0000-0000DA090000}"/>
    <cellStyle name="Total 9" xfId="2523" xr:uid="{00000000-0005-0000-0000-0000DB090000}"/>
    <cellStyle name="Warning Text 1" xfId="2524" xr:uid="{00000000-0005-0000-0000-0000DC090000}"/>
    <cellStyle name="Warning Text 10" xfId="2525" xr:uid="{00000000-0005-0000-0000-0000DD090000}"/>
    <cellStyle name="Warning Text 11" xfId="2526" xr:uid="{00000000-0005-0000-0000-0000DE090000}"/>
    <cellStyle name="Warning Text 12" xfId="2527" xr:uid="{00000000-0005-0000-0000-0000DF090000}"/>
    <cellStyle name="Warning Text 13" xfId="2528" xr:uid="{00000000-0005-0000-0000-0000E0090000}"/>
    <cellStyle name="Warning Text 14" xfId="2529" xr:uid="{00000000-0005-0000-0000-0000E1090000}"/>
    <cellStyle name="Warning Text 15" xfId="2530" xr:uid="{00000000-0005-0000-0000-0000E2090000}"/>
    <cellStyle name="Warning Text 16" xfId="2531" xr:uid="{00000000-0005-0000-0000-0000E3090000}"/>
    <cellStyle name="Warning Text 17" xfId="2532" xr:uid="{00000000-0005-0000-0000-0000E4090000}"/>
    <cellStyle name="Warning Text 18" xfId="2533" xr:uid="{00000000-0005-0000-0000-0000E5090000}"/>
    <cellStyle name="Warning Text 19" xfId="2534" xr:uid="{00000000-0005-0000-0000-0000E6090000}"/>
    <cellStyle name="Warning Text 2" xfId="2535" xr:uid="{00000000-0005-0000-0000-0000E7090000}"/>
    <cellStyle name="Warning Text 20" xfId="2536" xr:uid="{00000000-0005-0000-0000-0000E8090000}"/>
    <cellStyle name="Warning Text 21" xfId="2537" xr:uid="{00000000-0005-0000-0000-0000E9090000}"/>
    <cellStyle name="Warning Text 22" xfId="2538" xr:uid="{00000000-0005-0000-0000-0000EA090000}"/>
    <cellStyle name="Warning Text 23" xfId="2539" xr:uid="{00000000-0005-0000-0000-0000EB090000}"/>
    <cellStyle name="Warning Text 24" xfId="2540" xr:uid="{00000000-0005-0000-0000-0000EC090000}"/>
    <cellStyle name="Warning Text 25" xfId="2541" xr:uid="{00000000-0005-0000-0000-0000ED090000}"/>
    <cellStyle name="Warning Text 26" xfId="2542" xr:uid="{00000000-0005-0000-0000-0000EE090000}"/>
    <cellStyle name="Warning Text 27" xfId="2543" xr:uid="{00000000-0005-0000-0000-0000EF090000}"/>
    <cellStyle name="Warning Text 28" xfId="2544" xr:uid="{00000000-0005-0000-0000-0000F0090000}"/>
    <cellStyle name="Warning Text 29" xfId="2545" xr:uid="{00000000-0005-0000-0000-0000F1090000}"/>
    <cellStyle name="Warning Text 3" xfId="2546" xr:uid="{00000000-0005-0000-0000-0000F2090000}"/>
    <cellStyle name="Warning Text 30" xfId="2547" xr:uid="{00000000-0005-0000-0000-0000F3090000}"/>
    <cellStyle name="Warning Text 31" xfId="2548" xr:uid="{00000000-0005-0000-0000-0000F4090000}"/>
    <cellStyle name="Warning Text 32" xfId="2549" xr:uid="{00000000-0005-0000-0000-0000F5090000}"/>
    <cellStyle name="Warning Text 33" xfId="2550" xr:uid="{00000000-0005-0000-0000-0000F6090000}"/>
    <cellStyle name="Warning Text 34" xfId="2551" xr:uid="{00000000-0005-0000-0000-0000F7090000}"/>
    <cellStyle name="Warning Text 35" xfId="2552" xr:uid="{00000000-0005-0000-0000-0000F8090000}"/>
    <cellStyle name="Warning Text 36" xfId="2553" xr:uid="{00000000-0005-0000-0000-0000F9090000}"/>
    <cellStyle name="Warning Text 37" xfId="2554" xr:uid="{00000000-0005-0000-0000-0000FA090000}"/>
    <cellStyle name="Warning Text 38" xfId="2555" xr:uid="{00000000-0005-0000-0000-0000FB090000}"/>
    <cellStyle name="Warning Text 39" xfId="2556" xr:uid="{00000000-0005-0000-0000-0000FC090000}"/>
    <cellStyle name="Warning Text 4" xfId="2557" xr:uid="{00000000-0005-0000-0000-0000FD090000}"/>
    <cellStyle name="Warning Text 40" xfId="2558" xr:uid="{00000000-0005-0000-0000-0000FE090000}"/>
    <cellStyle name="Warning Text 41" xfId="2559" xr:uid="{00000000-0005-0000-0000-0000FF090000}"/>
    <cellStyle name="Warning Text 42" xfId="2560" xr:uid="{00000000-0005-0000-0000-0000000A0000}"/>
    <cellStyle name="Warning Text 43" xfId="2561" xr:uid="{00000000-0005-0000-0000-0000010A0000}"/>
    <cellStyle name="Warning Text 44" xfId="2562" xr:uid="{00000000-0005-0000-0000-0000020A0000}"/>
    <cellStyle name="Warning Text 45" xfId="2563" xr:uid="{00000000-0005-0000-0000-0000030A0000}"/>
    <cellStyle name="Warning Text 46" xfId="2564" xr:uid="{00000000-0005-0000-0000-0000040A0000}"/>
    <cellStyle name="Warning Text 47" xfId="2565" xr:uid="{00000000-0005-0000-0000-0000050A0000}"/>
    <cellStyle name="Warning Text 48" xfId="2566" xr:uid="{00000000-0005-0000-0000-0000060A0000}"/>
    <cellStyle name="Warning Text 49" xfId="2567" xr:uid="{00000000-0005-0000-0000-0000070A0000}"/>
    <cellStyle name="Warning Text 5" xfId="2568" xr:uid="{00000000-0005-0000-0000-0000080A0000}"/>
    <cellStyle name="Warning Text 50" xfId="2569" xr:uid="{00000000-0005-0000-0000-0000090A0000}"/>
    <cellStyle name="Warning Text 51" xfId="2570" xr:uid="{00000000-0005-0000-0000-00000A0A0000}"/>
    <cellStyle name="Warning Text 52" xfId="2571" xr:uid="{00000000-0005-0000-0000-00000B0A0000}"/>
    <cellStyle name="Warning Text 53" xfId="2572" xr:uid="{00000000-0005-0000-0000-00000C0A0000}"/>
    <cellStyle name="Warning Text 54" xfId="2573" xr:uid="{00000000-0005-0000-0000-00000D0A0000}"/>
    <cellStyle name="Warning Text 55" xfId="2574" xr:uid="{00000000-0005-0000-0000-00000E0A0000}"/>
    <cellStyle name="Warning Text 56" xfId="2575" xr:uid="{00000000-0005-0000-0000-00000F0A0000}"/>
    <cellStyle name="Warning Text 57" xfId="2576" xr:uid="{00000000-0005-0000-0000-0000100A0000}"/>
    <cellStyle name="Warning Text 58" xfId="2577" xr:uid="{00000000-0005-0000-0000-0000110A0000}"/>
    <cellStyle name="Warning Text 59" xfId="2578" xr:uid="{00000000-0005-0000-0000-0000120A0000}"/>
    <cellStyle name="Warning Text 6" xfId="2579" xr:uid="{00000000-0005-0000-0000-0000130A0000}"/>
    <cellStyle name="Warning Text 60" xfId="2580" xr:uid="{00000000-0005-0000-0000-0000140A0000}"/>
    <cellStyle name="Warning Text 61" xfId="2581" xr:uid="{00000000-0005-0000-0000-0000150A0000}"/>
    <cellStyle name="Warning Text 62" xfId="2582" xr:uid="{00000000-0005-0000-0000-0000160A0000}"/>
    <cellStyle name="Warning Text 63" xfId="2583" xr:uid="{00000000-0005-0000-0000-0000170A0000}"/>
    <cellStyle name="Warning Text 7" xfId="2584" xr:uid="{00000000-0005-0000-0000-0000180A0000}"/>
    <cellStyle name="Warning Text 8" xfId="2585" xr:uid="{00000000-0005-0000-0000-0000190A0000}"/>
    <cellStyle name="Warning Text 9" xfId="2586" xr:uid="{00000000-0005-0000-0000-00001A0A0000}"/>
  </cellStyles>
  <dxfs count="110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p\Ikhtiaru\Desktop\AWG%20W2\129_22\SIAO\AWG%20Apr%20SIAO%20Template%20_caa%200703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atch Notes"/>
      <sheetName val="Lesson Plan"/>
      <sheetName val="(Fill In) SIAO"/>
      <sheetName val="(Fill In) CE &amp; Signals"/>
      <sheetName val="(Fill In) Signal Optics"/>
      <sheetName val="(Fill In) Stores"/>
    </sheetNames>
    <sheetDataSet>
      <sheetData sheetId="0"/>
      <sheetData sheetId="1"/>
      <sheetData sheetId="2"/>
      <sheetData sheetId="3">
        <row r="3">
          <cell r="C3">
            <v>57</v>
          </cell>
        </row>
        <row r="12">
          <cell r="DA12" t="str">
            <v>-</v>
          </cell>
          <cell r="DB12" t="str">
            <v>-</v>
          </cell>
        </row>
        <row r="13">
          <cell r="DA13" t="str">
            <v>-</v>
          </cell>
          <cell r="DB13" t="str">
            <v>-</v>
          </cell>
        </row>
        <row r="14">
          <cell r="DA14" t="str">
            <v>-</v>
          </cell>
          <cell r="DB14" t="str">
            <v>-</v>
          </cell>
        </row>
        <row r="15">
          <cell r="DA15" t="str">
            <v>-</v>
          </cell>
          <cell r="DB15" t="str">
            <v>-</v>
          </cell>
        </row>
        <row r="16">
          <cell r="DA16" t="str">
            <v>-</v>
          </cell>
          <cell r="DB16" t="str">
            <v>-</v>
          </cell>
        </row>
        <row r="17">
          <cell r="DA17" t="str">
            <v>-</v>
          </cell>
          <cell r="DB17" t="str">
            <v>-</v>
          </cell>
        </row>
        <row r="18">
          <cell r="DA18" t="str">
            <v>-</v>
          </cell>
          <cell r="DB18" t="str">
            <v>-</v>
          </cell>
        </row>
        <row r="19">
          <cell r="DA19" t="str">
            <v>-</v>
          </cell>
          <cell r="DB19" t="str">
            <v>-</v>
          </cell>
        </row>
        <row r="20">
          <cell r="DA20" t="str">
            <v>-</v>
          </cell>
          <cell r="DB20" t="str">
            <v>-</v>
          </cell>
        </row>
        <row r="21">
          <cell r="DA21" t="str">
            <v>-</v>
          </cell>
          <cell r="DB21" t="str">
            <v>-</v>
          </cell>
        </row>
        <row r="22">
          <cell r="DA22" t="str">
            <v>-</v>
          </cell>
          <cell r="DB22" t="str">
            <v>-</v>
          </cell>
        </row>
        <row r="23">
          <cell r="DA23" t="str">
            <v>-</v>
          </cell>
          <cell r="DB23" t="str">
            <v>-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pageSetUpPr fitToPage="1"/>
  </sheetPr>
  <dimension ref="A1:DR61"/>
  <sheetViews>
    <sheetView zoomScale="66" zoomScaleNormal="60" workbookViewId="0">
      <pane xSplit="3" ySplit="11" topLeftCell="BM12" activePane="bottomRight" state="frozen"/>
      <selection pane="topRight" activeCell="D1" sqref="D1"/>
      <selection pane="bottomLeft" activeCell="A12" sqref="A12"/>
      <selection pane="bottomRight" activeCell="BQ8" sqref="BQ8"/>
    </sheetView>
  </sheetViews>
  <sheetFormatPr defaultColWidth="9.21875" defaultRowHeight="14.4" outlineLevelCol="2"/>
  <cols>
    <col min="1" max="1" width="2.21875" style="123" customWidth="1"/>
    <col min="2" max="2" width="21" style="123" bestFit="1" customWidth="1"/>
    <col min="3" max="3" width="51" style="123" customWidth="1"/>
    <col min="4" max="4" width="18.44140625" style="123" customWidth="1" outlineLevel="1"/>
    <col min="5" max="5" width="10.5546875" style="123" customWidth="1" outlineLevel="1"/>
    <col min="6" max="6" width="11.21875" style="123" customWidth="1" outlineLevel="1"/>
    <col min="7" max="8" width="10.77734375" style="123" customWidth="1" outlineLevel="1"/>
    <col min="9" max="9" width="33.44140625" style="123" bestFit="1" customWidth="1" outlineLevel="1"/>
    <col min="10" max="10" width="15" style="123" customWidth="1" outlineLevel="1"/>
    <col min="11" max="11" width="30.6640625" style="123" bestFit="1" customWidth="1" outlineLevel="1"/>
    <col min="12" max="12" width="5.77734375" style="123" customWidth="1"/>
    <col min="13" max="13" width="14.44140625" style="123" customWidth="1" outlineLevel="1"/>
    <col min="14" max="14" width="14.21875" style="123" customWidth="1" outlineLevel="1"/>
    <col min="15" max="15" width="15.5546875" style="123" customWidth="1" outlineLevel="1"/>
    <col min="16" max="16" width="14.21875" style="123" customWidth="1" outlineLevel="1"/>
    <col min="17" max="17" width="5.21875" style="123" customWidth="1"/>
    <col min="18" max="20" width="16.44140625" style="123" customWidth="1" outlineLevel="2"/>
    <col min="21" max="21" width="29.21875" style="123" bestFit="1" customWidth="1" outlineLevel="2"/>
    <col min="22" max="22" width="7.21875" style="123" customWidth="1" outlineLevel="1"/>
    <col min="23" max="23" width="17.77734375" style="123" customWidth="1" outlineLevel="2"/>
    <col min="24" max="24" width="15.77734375" style="123" customWidth="1" outlineLevel="2"/>
    <col min="25" max="25" width="19.5546875" style="123" customWidth="1" outlineLevel="2"/>
    <col min="26" max="26" width="21.21875" style="123" customWidth="1" outlineLevel="2"/>
    <col min="27" max="27" width="16.77734375" style="123" customWidth="1" outlineLevel="2"/>
    <col min="28" max="28" width="14.21875" style="123" customWidth="1" outlineLevel="2"/>
    <col min="29" max="29" width="11" style="123" customWidth="1" outlineLevel="2"/>
    <col min="30" max="30" width="16.21875" style="123" customWidth="1" outlineLevel="2"/>
    <col min="31" max="31" width="18.21875" style="123" customWidth="1" outlineLevel="2"/>
    <col min="32" max="32" width="16.77734375" style="123" customWidth="1" outlineLevel="2"/>
    <col min="33" max="33" width="14.77734375" style="123" customWidth="1" outlineLevel="2"/>
    <col min="34" max="34" width="15.21875" style="123" customWidth="1" outlineLevel="2"/>
    <col min="35" max="35" width="11.5546875" style="123" customWidth="1" outlineLevel="2"/>
    <col min="36" max="36" width="13.77734375" style="123" customWidth="1" outlineLevel="2"/>
    <col min="37" max="37" width="11.77734375" style="123" customWidth="1" outlineLevel="2"/>
    <col min="38" max="38" width="18" style="123" customWidth="1" outlineLevel="2"/>
    <col min="39" max="39" width="23.77734375" style="123" customWidth="1" outlineLevel="2"/>
    <col min="40" max="40" width="18" style="123" customWidth="1" outlineLevel="2"/>
    <col min="41" max="41" width="30.21875" style="123" bestFit="1" customWidth="1" outlineLevel="2"/>
    <col min="42" max="42" width="22" style="123" customWidth="1" outlineLevel="2"/>
    <col min="43" max="43" width="22.5546875" style="123" customWidth="1" outlineLevel="2"/>
    <col min="44" max="44" width="7.21875" style="123" customWidth="1" outlineLevel="1"/>
    <col min="45" max="45" width="19.5546875" style="123" hidden="1" customWidth="1" outlineLevel="2"/>
    <col min="46" max="47" width="20" style="123" hidden="1" customWidth="1" outlineLevel="2"/>
    <col min="48" max="48" width="20.21875" style="123" hidden="1" customWidth="1" outlineLevel="2"/>
    <col min="49" max="49" width="14.21875" style="123" hidden="1" customWidth="1" outlineLevel="2"/>
    <col min="50" max="50" width="13.21875" style="123" hidden="1" customWidth="1" outlineLevel="2"/>
    <col min="51" max="51" width="17.77734375" style="123" hidden="1" customWidth="1" outlineLevel="2"/>
    <col min="52" max="52" width="23.21875" style="123" hidden="1" customWidth="1" outlineLevel="2"/>
    <col min="53" max="53" width="28" style="123" hidden="1" customWidth="1" outlineLevel="2"/>
    <col min="54" max="54" width="19.77734375" style="123" hidden="1" customWidth="1" outlineLevel="2"/>
    <col min="55" max="55" width="12.44140625" style="123" hidden="1" customWidth="1" outlineLevel="2"/>
    <col min="56" max="56" width="12.21875" style="123" hidden="1" customWidth="1" outlineLevel="2"/>
    <col min="57" max="57" width="20.21875" style="123" hidden="1" customWidth="1" outlineLevel="2"/>
    <col min="58" max="58" width="16.77734375" style="123" hidden="1" customWidth="1" outlineLevel="2"/>
    <col min="59" max="59" width="21.21875" style="123" hidden="1" customWidth="1" outlineLevel="2"/>
    <col min="60" max="60" width="21.44140625" style="123" hidden="1" customWidth="1" outlineLevel="2"/>
    <col min="61" max="61" width="7.21875" style="123" customWidth="1" outlineLevel="1" collapsed="1"/>
    <col min="62" max="62" width="22.21875" style="123" hidden="1" customWidth="1" outlineLevel="2"/>
    <col min="63" max="63" width="13.44140625" style="123" hidden="1" customWidth="1" outlineLevel="2"/>
    <col min="64" max="64" width="20.77734375" style="123" hidden="1" customWidth="1" outlineLevel="2"/>
    <col min="65" max="65" width="7.21875" style="123" customWidth="1" outlineLevel="1" collapsed="1"/>
    <col min="66" max="66" width="6.44140625" style="123" customWidth="1"/>
    <col min="67" max="67" width="15.21875" style="123" hidden="1" customWidth="1" outlineLevel="1"/>
    <col min="68" max="68" width="5.5546875" style="123" customWidth="1" collapsed="1"/>
    <col min="69" max="70" width="15.21875" style="123" customWidth="1" outlineLevel="2"/>
    <col min="71" max="72" width="15.21875" style="130" customWidth="1" outlineLevel="2"/>
    <col min="73" max="73" width="6.44140625" style="123" customWidth="1" outlineLevel="2"/>
    <col min="74" max="74" width="8.5546875" style="123" customWidth="1" outlineLevel="2"/>
    <col min="75" max="75" width="6.44140625" style="123" customWidth="1" outlineLevel="2"/>
    <col min="76" max="76" width="7.77734375" style="123" customWidth="1" outlineLevel="2"/>
    <col min="77" max="77" width="18.77734375" style="123" customWidth="1" outlineLevel="2"/>
    <col min="78" max="78" width="10.21875" style="123" customWidth="1" outlineLevel="2"/>
    <col min="79" max="79" width="17.77734375" style="123" customWidth="1" outlineLevel="2"/>
    <col min="80" max="80" width="19.21875" style="123" customWidth="1" outlineLevel="2"/>
    <col min="81" max="82" width="27.77734375" style="123" bestFit="1" customWidth="1" outlineLevel="2"/>
    <col min="83" max="83" width="12.21875" style="123" customWidth="1" outlineLevel="2"/>
    <col min="84" max="84" width="7.21875" style="123" customWidth="1" outlineLevel="1"/>
    <col min="85" max="86" width="25.5546875" style="123" bestFit="1" customWidth="1" outlineLevel="2"/>
    <col min="87" max="87" width="19.44140625" style="123" bestFit="1" customWidth="1" outlineLevel="2"/>
    <col min="88" max="88" width="23.77734375" style="123" bestFit="1" customWidth="1" outlineLevel="2"/>
    <col min="89" max="91" width="11.21875" style="123" customWidth="1" outlineLevel="2"/>
    <col min="92" max="92" width="13.21875" style="123" customWidth="1" outlineLevel="2"/>
    <col min="93" max="93" width="35.33203125" style="123" bestFit="1" customWidth="1" outlineLevel="2"/>
    <col min="94" max="94" width="12.21875" style="123" customWidth="1" outlineLevel="2"/>
    <col min="95" max="95" width="7.21875" style="123" customWidth="1" outlineLevel="1"/>
    <col min="96" max="96" width="25" style="123" customWidth="1" outlineLevel="2"/>
    <col min="97" max="97" width="13.21875" style="123" customWidth="1" outlineLevel="2"/>
    <col min="98" max="98" width="15.77734375" style="123" customWidth="1" outlineLevel="2"/>
    <col min="99" max="99" width="19.77734375" style="123" customWidth="1" outlineLevel="2"/>
    <col min="100" max="100" width="26.44140625" style="123" customWidth="1" outlineLevel="2"/>
    <col min="101" max="101" width="13.21875" style="123" customWidth="1" outlineLevel="2"/>
    <col min="102" max="102" width="15.77734375" style="123" customWidth="1" outlineLevel="2"/>
    <col min="103" max="103" width="19.77734375" style="123" customWidth="1" outlineLevel="2"/>
    <col min="104" max="104" width="7.21875" style="123" customWidth="1" outlineLevel="1"/>
    <col min="105" max="105" width="5.21875" style="123" customWidth="1"/>
    <col min="106" max="106" width="11.77734375" style="123" hidden="1" customWidth="1" outlineLevel="2"/>
    <col min="107" max="108" width="8.21875" style="123" hidden="1" customWidth="1" outlineLevel="2"/>
    <col min="109" max="109" width="15.77734375" style="123" hidden="1" customWidth="1" outlineLevel="2"/>
    <col min="110" max="110" width="11.5546875" style="123" hidden="1" customWidth="1" outlineLevel="2"/>
    <col min="111" max="111" width="10.21875" style="123" hidden="1" customWidth="1" outlineLevel="2"/>
    <col min="112" max="113" width="8.77734375" style="123" hidden="1" customWidth="1" outlineLevel="2"/>
    <col min="114" max="114" width="7.21875" style="123" hidden="1" customWidth="1" outlineLevel="2"/>
    <col min="115" max="115" width="4.77734375" style="123" customWidth="1" outlineLevel="1" collapsed="1"/>
    <col min="116" max="116" width="13.5546875" style="123" customWidth="1" outlineLevel="1"/>
    <col min="117" max="117" width="7.44140625" style="123" customWidth="1" outlineLevel="1"/>
    <col min="118" max="119" width="10" style="123" customWidth="1" outlineLevel="1"/>
    <col min="120" max="120" width="8.21875" style="123" customWidth="1" outlineLevel="1"/>
    <col min="121" max="121" width="5.77734375" style="123" customWidth="1"/>
    <col min="122" max="122" width="5.44140625" style="123" customWidth="1" collapsed="1"/>
    <col min="123" max="154" width="9.21875" style="123" customWidth="1"/>
    <col min="155" max="16384" width="9.21875" style="123"/>
  </cols>
  <sheetData>
    <row r="1" spans="1:121" ht="36" customHeight="1">
      <c r="B1" s="162" t="s">
        <v>98</v>
      </c>
      <c r="C1" s="163"/>
      <c r="D1" s="124"/>
      <c r="E1" s="13"/>
      <c r="F1" s="13"/>
      <c r="G1" s="13"/>
      <c r="H1" s="13"/>
      <c r="I1" s="13"/>
      <c r="J1" s="13"/>
      <c r="K1" s="13"/>
      <c r="L1" s="14" t="s">
        <v>99</v>
      </c>
      <c r="W1" s="24"/>
    </row>
    <row r="2" spans="1:121">
      <c r="B2" s="15" t="s">
        <v>100</v>
      </c>
      <c r="C2" s="127" t="s">
        <v>101</v>
      </c>
      <c r="D2" s="38"/>
      <c r="E2" s="13"/>
      <c r="F2" s="13"/>
      <c r="G2" s="13"/>
      <c r="H2" s="13"/>
      <c r="I2" s="13"/>
      <c r="J2" s="13"/>
      <c r="K2" s="13"/>
      <c r="L2" s="14"/>
      <c r="W2" s="24">
        <f>COLUMN()-$J$8</f>
        <v>43</v>
      </c>
    </row>
    <row r="3" spans="1:121">
      <c r="B3" s="15" t="s">
        <v>102</v>
      </c>
      <c r="C3" s="127"/>
      <c r="D3" s="38"/>
      <c r="E3" s="13"/>
      <c r="F3" s="13"/>
      <c r="G3" s="13"/>
      <c r="H3" s="13"/>
      <c r="I3" s="13"/>
      <c r="J3" s="13"/>
      <c r="K3" s="13"/>
      <c r="L3" s="37"/>
      <c r="S3" s="24"/>
      <c r="T3" s="24"/>
      <c r="U3" s="24"/>
      <c r="W3" s="24">
        <f>COLUMN()*5-210</f>
        <v>-95</v>
      </c>
      <c r="Z3" s="24"/>
      <c r="AI3" s="24"/>
      <c r="AJ3" s="24"/>
      <c r="AK3" s="24"/>
      <c r="AL3" s="24"/>
      <c r="AP3" s="24"/>
      <c r="BJ3" s="24"/>
      <c r="BK3" s="24"/>
    </row>
    <row r="4" spans="1:121">
      <c r="B4" s="15" t="s">
        <v>103</v>
      </c>
      <c r="C4" s="127"/>
      <c r="D4" s="38"/>
      <c r="E4" s="13"/>
      <c r="F4" s="13"/>
      <c r="G4" s="13"/>
      <c r="H4" s="13"/>
      <c r="I4" s="13"/>
      <c r="J4" s="13"/>
      <c r="K4" s="13"/>
      <c r="L4" s="37"/>
      <c r="S4" s="24"/>
      <c r="T4" s="24"/>
      <c r="U4" s="24"/>
      <c r="W4" s="24">
        <f>COLUMN()*5-209</f>
        <v>-94</v>
      </c>
      <c r="Z4" s="24"/>
      <c r="AI4" s="24"/>
      <c r="AJ4" s="24"/>
      <c r="AK4" s="24"/>
      <c r="AL4" s="24"/>
      <c r="AP4" s="24"/>
      <c r="BJ4" s="24"/>
      <c r="BK4" s="24"/>
    </row>
    <row r="5" spans="1:121">
      <c r="B5" s="15" t="s">
        <v>104</v>
      </c>
      <c r="C5" s="127"/>
      <c r="D5" s="38"/>
      <c r="E5" s="13"/>
      <c r="F5" s="13"/>
      <c r="G5" s="13"/>
      <c r="H5" s="13"/>
      <c r="I5" s="13"/>
      <c r="J5" s="13"/>
      <c r="K5" s="13"/>
      <c r="L5" s="37"/>
      <c r="M5" s="20"/>
      <c r="N5" s="20"/>
      <c r="O5" s="20"/>
      <c r="P5" s="20"/>
      <c r="Q5" s="20"/>
      <c r="R5" s="20"/>
      <c r="S5" s="20"/>
      <c r="T5" s="20"/>
      <c r="U5" s="20"/>
      <c r="W5" s="20">
        <f>6+$J$7</f>
        <v>-22</v>
      </c>
      <c r="X5" s="20"/>
      <c r="Y5" s="20"/>
      <c r="Z5" s="20"/>
      <c r="AA5" s="20"/>
      <c r="AB5" s="20"/>
      <c r="AC5" s="20"/>
      <c r="AD5" s="20"/>
      <c r="AE5" s="20"/>
      <c r="AF5" s="20"/>
      <c r="AG5" s="24"/>
      <c r="AH5" s="24"/>
      <c r="AI5" s="20"/>
      <c r="AJ5" s="20"/>
      <c r="AK5" s="20"/>
      <c r="AL5" s="20"/>
      <c r="AM5" s="20"/>
      <c r="AN5" s="20"/>
      <c r="AO5" s="20"/>
      <c r="AP5" s="20"/>
      <c r="AQ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4"/>
      <c r="BJ5" s="20"/>
      <c r="BK5" s="20"/>
      <c r="BL5" s="20"/>
    </row>
    <row r="6" spans="1:121">
      <c r="B6" s="15" t="s">
        <v>105</v>
      </c>
      <c r="C6" s="127"/>
      <c r="D6" s="38"/>
      <c r="E6" s="13"/>
      <c r="F6" s="13"/>
      <c r="G6" s="13"/>
      <c r="H6" s="13"/>
      <c r="I6" s="13"/>
      <c r="J6" s="13"/>
      <c r="K6" s="13"/>
      <c r="L6" s="37"/>
      <c r="M6" s="20"/>
      <c r="N6" s="20"/>
      <c r="O6" s="20"/>
      <c r="P6" s="20"/>
      <c r="Q6" s="20"/>
      <c r="R6" s="20"/>
      <c r="S6" s="20"/>
      <c r="T6" s="20"/>
      <c r="U6" s="20"/>
      <c r="W6" s="123">
        <f>COLUMN()+29</f>
        <v>52</v>
      </c>
      <c r="X6" s="20"/>
      <c r="Y6" s="20"/>
      <c r="Z6" s="20"/>
      <c r="AA6" s="20"/>
      <c r="AB6" s="20"/>
      <c r="AC6" s="20"/>
      <c r="AD6" s="20"/>
      <c r="AE6" s="20"/>
      <c r="AF6" s="20"/>
      <c r="AG6" s="24"/>
      <c r="AH6" s="24"/>
      <c r="AI6" s="20"/>
      <c r="AJ6" s="20"/>
      <c r="AK6" s="20"/>
      <c r="AL6" s="20"/>
      <c r="AM6" s="20"/>
      <c r="AN6" s="20"/>
      <c r="AO6" s="20"/>
      <c r="AP6" s="20"/>
      <c r="AQ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4"/>
      <c r="BJ6" s="20"/>
      <c r="BK6" s="20"/>
      <c r="BL6" s="20"/>
    </row>
    <row r="7" spans="1:121">
      <c r="B7" s="15" t="s">
        <v>106</v>
      </c>
      <c r="C7" s="19"/>
      <c r="D7" s="21"/>
      <c r="E7" s="13"/>
      <c r="F7" s="13"/>
      <c r="G7" s="13"/>
      <c r="H7" s="13"/>
      <c r="I7" s="22" t="s">
        <v>107</v>
      </c>
      <c r="J7" s="23">
        <v>-28</v>
      </c>
      <c r="K7" s="13"/>
      <c r="L7" s="68" t="s">
        <v>108</v>
      </c>
      <c r="M7" s="20"/>
      <c r="N7" s="20"/>
      <c r="O7" s="20"/>
      <c r="P7" s="20"/>
      <c r="Q7" s="20"/>
      <c r="R7" s="20"/>
      <c r="S7" s="20"/>
      <c r="T7" s="20"/>
      <c r="U7" s="20"/>
      <c r="W7" s="123">
        <f>52*5-217</f>
        <v>43</v>
      </c>
      <c r="X7" s="20"/>
      <c r="Y7" s="20"/>
      <c r="Z7" s="20"/>
      <c r="AA7" s="20"/>
      <c r="AB7" s="20"/>
      <c r="AC7" s="20"/>
      <c r="AD7" s="20"/>
      <c r="AE7" s="20"/>
      <c r="AF7" s="20"/>
      <c r="AG7" s="24"/>
      <c r="AH7" s="24"/>
      <c r="AI7" s="20"/>
      <c r="AJ7" s="20"/>
      <c r="AK7" s="20"/>
      <c r="AL7" s="20"/>
      <c r="AM7" s="20"/>
      <c r="AN7" s="20"/>
      <c r="AO7" s="20"/>
      <c r="AP7" s="20"/>
      <c r="AQ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4"/>
      <c r="BJ7" s="20"/>
      <c r="BK7" s="20"/>
      <c r="BL7" s="20"/>
    </row>
    <row r="8" spans="1:121" ht="24" customHeight="1" thickBot="1">
      <c r="B8" s="124"/>
      <c r="C8" s="124"/>
      <c r="D8" s="124"/>
      <c r="E8" s="13"/>
      <c r="F8" s="13"/>
      <c r="G8" s="13"/>
      <c r="H8" s="13"/>
      <c r="I8" s="23"/>
      <c r="J8" s="23">
        <f>8+J7</f>
        <v>-20</v>
      </c>
      <c r="K8" s="13"/>
      <c r="L8" s="25"/>
      <c r="M8" s="20"/>
      <c r="N8" s="20"/>
      <c r="O8" s="20"/>
      <c r="P8" s="20"/>
      <c r="Q8" s="20"/>
      <c r="R8" s="20"/>
      <c r="S8" s="20"/>
      <c r="T8" s="20"/>
      <c r="U8" s="20"/>
      <c r="V8" s="20"/>
      <c r="W8" s="24">
        <f>COLUMN()*5-72</f>
        <v>43</v>
      </c>
      <c r="X8" s="20"/>
      <c r="Y8" s="20"/>
      <c r="Z8" s="20"/>
      <c r="AA8" s="20"/>
      <c r="AB8" s="20"/>
      <c r="AC8" s="20"/>
      <c r="AD8" s="20"/>
      <c r="AE8" s="20"/>
      <c r="AF8" s="20"/>
      <c r="AG8" s="24"/>
      <c r="AH8" s="24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>
        <f>-9+$J$7</f>
        <v>-37</v>
      </c>
      <c r="BG8" s="20"/>
      <c r="BH8" s="24"/>
      <c r="BI8" s="20"/>
      <c r="BJ8" s="20"/>
      <c r="BK8" s="20"/>
      <c r="BL8" s="20"/>
      <c r="BM8" s="20"/>
      <c r="CE8" s="20">
        <v>-7</v>
      </c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>
        <v>-6</v>
      </c>
    </row>
    <row r="9" spans="1:121" ht="15" customHeight="1" thickBot="1">
      <c r="B9" s="135" t="s">
        <v>0</v>
      </c>
      <c r="C9" s="138" t="s">
        <v>1</v>
      </c>
      <c r="D9" s="169" t="s">
        <v>109</v>
      </c>
      <c r="E9" s="170"/>
      <c r="F9" s="170"/>
      <c r="G9" s="170"/>
      <c r="H9" s="170"/>
      <c r="I9" s="170"/>
      <c r="J9" s="170"/>
      <c r="K9" s="170"/>
      <c r="L9" s="158" t="s">
        <v>2</v>
      </c>
      <c r="M9" s="151" t="s">
        <v>4</v>
      </c>
      <c r="N9" s="170"/>
      <c r="O9" s="170"/>
      <c r="P9" s="170"/>
      <c r="Q9" s="177" t="s">
        <v>5</v>
      </c>
      <c r="R9" s="50" t="s">
        <v>6</v>
      </c>
      <c r="S9" s="42"/>
      <c r="T9" s="42"/>
      <c r="U9" s="42"/>
      <c r="V9" s="181" t="s">
        <v>6</v>
      </c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52"/>
      <c r="AX9" s="152"/>
      <c r="AY9" s="152"/>
      <c r="AZ9" s="152"/>
      <c r="BA9" s="152"/>
      <c r="BB9" s="152"/>
      <c r="BC9" s="152"/>
      <c r="BD9" s="152"/>
      <c r="BE9" s="152"/>
      <c r="BF9" s="152"/>
      <c r="BG9" s="152"/>
      <c r="BH9" s="152"/>
      <c r="BI9" s="152"/>
      <c r="BJ9" s="152"/>
      <c r="BK9" s="152"/>
      <c r="BL9" s="152"/>
      <c r="BM9" s="154"/>
      <c r="BN9" s="143" t="s">
        <v>6</v>
      </c>
      <c r="BO9" s="173" t="s">
        <v>110</v>
      </c>
      <c r="BP9" s="143" t="s">
        <v>7</v>
      </c>
      <c r="BQ9" s="153" t="s">
        <v>8</v>
      </c>
      <c r="BR9" s="152"/>
      <c r="BS9" s="152"/>
      <c r="BT9" s="152"/>
      <c r="BU9" s="152"/>
      <c r="BV9" s="152"/>
      <c r="BW9" s="152"/>
      <c r="BX9" s="152"/>
      <c r="BY9" s="152"/>
      <c r="BZ9" s="152"/>
      <c r="CA9" s="152"/>
      <c r="CB9" s="152"/>
      <c r="CC9" s="152"/>
      <c r="CD9" s="152"/>
      <c r="CE9" s="152"/>
      <c r="CF9" s="152"/>
      <c r="CG9" s="152"/>
      <c r="CH9" s="152"/>
      <c r="CI9" s="152"/>
      <c r="CJ9" s="152"/>
      <c r="CK9" s="152"/>
      <c r="CL9" s="152"/>
      <c r="CM9" s="152"/>
      <c r="CN9" s="152"/>
      <c r="CO9" s="152"/>
      <c r="CP9" s="152"/>
      <c r="CQ9" s="152"/>
      <c r="CR9" s="152"/>
      <c r="CS9" s="152"/>
      <c r="CT9" s="152"/>
      <c r="CU9" s="152"/>
      <c r="CV9" s="152"/>
      <c r="CW9" s="152"/>
      <c r="CX9" s="152"/>
      <c r="CY9" s="152"/>
      <c r="CZ9" s="154"/>
      <c r="DA9" s="143" t="s">
        <v>8</v>
      </c>
      <c r="DB9" s="151"/>
      <c r="DC9" s="152"/>
      <c r="DD9" s="152"/>
      <c r="DE9" s="152"/>
      <c r="DF9" s="152"/>
      <c r="DG9" s="152"/>
      <c r="DH9" s="152"/>
      <c r="DI9" s="152"/>
      <c r="DJ9" s="152"/>
      <c r="DK9" s="152"/>
      <c r="DL9" s="152"/>
      <c r="DM9" s="152"/>
      <c r="DN9" s="152"/>
      <c r="DO9" s="152"/>
      <c r="DP9" s="152"/>
      <c r="DQ9" s="143" t="s">
        <v>9</v>
      </c>
    </row>
    <row r="10" spans="1:121" ht="15" customHeight="1" thickBot="1">
      <c r="B10" s="136"/>
      <c r="C10" s="139"/>
      <c r="D10" s="171"/>
      <c r="E10" s="172"/>
      <c r="F10" s="172"/>
      <c r="G10" s="172"/>
      <c r="H10" s="172"/>
      <c r="I10" s="172"/>
      <c r="J10" s="172"/>
      <c r="K10" s="172"/>
      <c r="L10" s="136"/>
      <c r="M10" s="172"/>
      <c r="N10" s="172"/>
      <c r="O10" s="172"/>
      <c r="P10" s="172"/>
      <c r="Q10" s="136"/>
      <c r="R10" s="164" t="s">
        <v>111</v>
      </c>
      <c r="S10" s="152"/>
      <c r="T10" s="152"/>
      <c r="U10" s="154"/>
      <c r="V10" s="157" t="s">
        <v>111</v>
      </c>
      <c r="W10" s="47" t="s">
        <v>10</v>
      </c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9"/>
      <c r="AR10" s="157" t="s">
        <v>10</v>
      </c>
      <c r="AS10" s="164" t="s">
        <v>11</v>
      </c>
      <c r="AT10" s="152"/>
      <c r="AU10" s="152"/>
      <c r="AV10" s="152"/>
      <c r="AW10" s="152"/>
      <c r="AX10" s="152"/>
      <c r="AY10" s="152"/>
      <c r="AZ10" s="152"/>
      <c r="BA10" s="152"/>
      <c r="BB10" s="152"/>
      <c r="BC10" s="152"/>
      <c r="BD10" s="152"/>
      <c r="BE10" s="152"/>
      <c r="BF10" s="152"/>
      <c r="BG10" s="152"/>
      <c r="BH10" s="154"/>
      <c r="BI10" s="157" t="s">
        <v>11</v>
      </c>
      <c r="BJ10" s="164" t="s">
        <v>9</v>
      </c>
      <c r="BK10" s="152"/>
      <c r="BL10" s="154"/>
      <c r="BM10" s="157" t="s">
        <v>9</v>
      </c>
      <c r="BN10" s="136"/>
      <c r="BO10" s="163"/>
      <c r="BP10" s="136"/>
      <c r="BQ10" s="159" t="s">
        <v>12</v>
      </c>
      <c r="BR10" s="149" t="s">
        <v>13</v>
      </c>
      <c r="BS10" s="178" t="s">
        <v>229</v>
      </c>
      <c r="BT10" s="178" t="s">
        <v>230</v>
      </c>
      <c r="BU10" s="147" t="s">
        <v>231</v>
      </c>
      <c r="BV10" s="147" t="s">
        <v>14</v>
      </c>
      <c r="BW10" s="147" t="s">
        <v>15</v>
      </c>
      <c r="BX10" s="147" t="s">
        <v>16</v>
      </c>
      <c r="BY10" s="147" t="s">
        <v>17</v>
      </c>
      <c r="BZ10" s="147" t="s">
        <v>18</v>
      </c>
      <c r="CA10" s="147" t="s">
        <v>19</v>
      </c>
      <c r="CB10" s="147" t="s">
        <v>20</v>
      </c>
      <c r="CC10" s="147" t="s">
        <v>21</v>
      </c>
      <c r="CD10" s="175" t="s">
        <v>22</v>
      </c>
      <c r="CE10" s="155" t="s">
        <v>23</v>
      </c>
      <c r="CF10" s="157" t="s">
        <v>112</v>
      </c>
      <c r="CG10" s="149" t="s">
        <v>24</v>
      </c>
      <c r="CH10" s="161"/>
      <c r="CI10" s="147" t="s">
        <v>25</v>
      </c>
      <c r="CJ10" s="161"/>
      <c r="CK10" s="147" t="s">
        <v>26</v>
      </c>
      <c r="CL10" s="147" t="s">
        <v>27</v>
      </c>
      <c r="CM10" s="147" t="s">
        <v>113</v>
      </c>
      <c r="CN10" s="145" t="s">
        <v>28</v>
      </c>
      <c r="CO10" s="138" t="s">
        <v>29</v>
      </c>
      <c r="CP10" s="167" t="s">
        <v>23</v>
      </c>
      <c r="CQ10" s="157" t="s">
        <v>114</v>
      </c>
      <c r="CR10" s="176" t="s">
        <v>30</v>
      </c>
      <c r="CS10" s="152"/>
      <c r="CT10" s="152"/>
      <c r="CU10" s="154"/>
      <c r="CV10" s="176" t="s">
        <v>31</v>
      </c>
      <c r="CW10" s="152"/>
      <c r="CX10" s="152"/>
      <c r="CY10" s="154"/>
      <c r="CZ10" s="157" t="s">
        <v>115</v>
      </c>
      <c r="DA10" s="136"/>
      <c r="DB10" s="182" t="s">
        <v>32</v>
      </c>
      <c r="DC10" s="152"/>
      <c r="DD10" s="152"/>
      <c r="DE10" s="152"/>
      <c r="DF10" s="152"/>
      <c r="DG10" s="152"/>
      <c r="DH10" s="152"/>
      <c r="DI10" s="152"/>
      <c r="DJ10" s="152"/>
      <c r="DK10" s="157" t="s">
        <v>32</v>
      </c>
      <c r="DL10" s="165" t="s">
        <v>33</v>
      </c>
      <c r="DM10" s="141" t="s">
        <v>34</v>
      </c>
      <c r="DN10" s="141" t="s">
        <v>35</v>
      </c>
      <c r="DO10" s="141" t="s">
        <v>36</v>
      </c>
      <c r="DP10" s="180" t="s">
        <v>9</v>
      </c>
      <c r="DQ10" s="136"/>
    </row>
    <row r="11" spans="1:121" ht="58.2" customHeight="1" thickBot="1">
      <c r="B11" s="137"/>
      <c r="C11" s="140"/>
      <c r="D11" s="94" t="s">
        <v>116</v>
      </c>
      <c r="E11" s="94" t="s">
        <v>117</v>
      </c>
      <c r="F11" s="94" t="s">
        <v>118</v>
      </c>
      <c r="G11" s="94" t="s">
        <v>119</v>
      </c>
      <c r="H11" s="94" t="s">
        <v>120</v>
      </c>
      <c r="I11" s="94" t="s">
        <v>121</v>
      </c>
      <c r="J11" s="94" t="s">
        <v>122</v>
      </c>
      <c r="K11" s="71" t="s">
        <v>37</v>
      </c>
      <c r="L11" s="144"/>
      <c r="M11" s="122" t="s">
        <v>12</v>
      </c>
      <c r="N11" s="3" t="s">
        <v>13</v>
      </c>
      <c r="O11" s="117" t="s">
        <v>19</v>
      </c>
      <c r="P11" s="120" t="s">
        <v>61</v>
      </c>
      <c r="Q11" s="136"/>
      <c r="R11" s="125" t="s">
        <v>62</v>
      </c>
      <c r="S11" s="125" t="s">
        <v>63</v>
      </c>
      <c r="T11" s="116" t="s">
        <v>123</v>
      </c>
      <c r="U11" s="116" t="s">
        <v>124</v>
      </c>
      <c r="V11" s="144"/>
      <c r="W11" s="125" t="s">
        <v>125</v>
      </c>
      <c r="X11" s="125" t="s">
        <v>126</v>
      </c>
      <c r="Y11" s="125" t="s">
        <v>127</v>
      </c>
      <c r="Z11" s="125" t="s">
        <v>128</v>
      </c>
      <c r="AA11" s="125" t="s">
        <v>129</v>
      </c>
      <c r="AB11" s="125" t="s">
        <v>130</v>
      </c>
      <c r="AC11" s="125" t="s">
        <v>131</v>
      </c>
      <c r="AD11" s="125" t="s">
        <v>132</v>
      </c>
      <c r="AE11" s="125" t="s">
        <v>133</v>
      </c>
      <c r="AF11" s="125" t="s">
        <v>134</v>
      </c>
      <c r="AG11" s="125" t="s">
        <v>64</v>
      </c>
      <c r="AH11" s="125" t="s">
        <v>65</v>
      </c>
      <c r="AI11" s="125" t="s">
        <v>66</v>
      </c>
      <c r="AJ11" s="125" t="s">
        <v>67</v>
      </c>
      <c r="AK11" s="125" t="s">
        <v>68</v>
      </c>
      <c r="AL11" s="125" t="s">
        <v>69</v>
      </c>
      <c r="AM11" s="125" t="s">
        <v>135</v>
      </c>
      <c r="AN11" s="125" t="s">
        <v>70</v>
      </c>
      <c r="AO11" s="125" t="s">
        <v>136</v>
      </c>
      <c r="AP11" s="125" t="s">
        <v>71</v>
      </c>
      <c r="AQ11" s="125" t="s">
        <v>72</v>
      </c>
      <c r="AR11" s="144"/>
      <c r="AS11" s="119" t="s">
        <v>73</v>
      </c>
      <c r="AT11" s="125" t="s">
        <v>74</v>
      </c>
      <c r="AU11" s="125" t="s">
        <v>75</v>
      </c>
      <c r="AV11" s="125" t="s">
        <v>137</v>
      </c>
      <c r="AW11" s="125" t="s">
        <v>76</v>
      </c>
      <c r="AX11" s="125" t="s">
        <v>77</v>
      </c>
      <c r="AY11" s="125" t="s">
        <v>78</v>
      </c>
      <c r="AZ11" s="125" t="s">
        <v>138</v>
      </c>
      <c r="BA11" s="125" t="s">
        <v>139</v>
      </c>
      <c r="BB11" s="125" t="s">
        <v>140</v>
      </c>
      <c r="BC11" s="125" t="s">
        <v>79</v>
      </c>
      <c r="BD11" s="125" t="s">
        <v>80</v>
      </c>
      <c r="BE11" s="125" t="s">
        <v>141</v>
      </c>
      <c r="BF11" s="125" t="s">
        <v>81</v>
      </c>
      <c r="BG11" s="125" t="s">
        <v>82</v>
      </c>
      <c r="BH11" s="125" t="s">
        <v>83</v>
      </c>
      <c r="BI11" s="144"/>
      <c r="BJ11" s="119" t="s">
        <v>84</v>
      </c>
      <c r="BK11" s="125" t="s">
        <v>142</v>
      </c>
      <c r="BL11" s="125" t="s">
        <v>85</v>
      </c>
      <c r="BM11" s="144"/>
      <c r="BN11" s="144"/>
      <c r="BO11" s="174"/>
      <c r="BP11" s="144"/>
      <c r="BQ11" s="160"/>
      <c r="BR11" s="150"/>
      <c r="BS11" s="179"/>
      <c r="BT11" s="179"/>
      <c r="BU11" s="148"/>
      <c r="BV11" s="148"/>
      <c r="BW11" s="148"/>
      <c r="BX11" s="148"/>
      <c r="BY11" s="148"/>
      <c r="BZ11" s="148"/>
      <c r="CA11" s="148"/>
      <c r="CB11" s="148"/>
      <c r="CC11" s="148"/>
      <c r="CD11" s="168"/>
      <c r="CE11" s="156"/>
      <c r="CF11" s="144"/>
      <c r="CG11" s="95" t="s">
        <v>86</v>
      </c>
      <c r="CH11" s="93" t="s">
        <v>87</v>
      </c>
      <c r="CI11" s="115" t="s">
        <v>86</v>
      </c>
      <c r="CJ11" s="115" t="s">
        <v>87</v>
      </c>
      <c r="CK11" s="148"/>
      <c r="CL11" s="148"/>
      <c r="CM11" s="148"/>
      <c r="CN11" s="146"/>
      <c r="CO11" s="140"/>
      <c r="CP11" s="168"/>
      <c r="CQ11" s="144"/>
      <c r="CR11" s="97" t="s">
        <v>143</v>
      </c>
      <c r="CS11" s="115" t="s">
        <v>86</v>
      </c>
      <c r="CT11" s="115" t="s">
        <v>87</v>
      </c>
      <c r="CU11" s="96" t="s">
        <v>88</v>
      </c>
      <c r="CV11" s="97" t="s">
        <v>143</v>
      </c>
      <c r="CW11" s="115" t="s">
        <v>86</v>
      </c>
      <c r="CX11" s="115" t="s">
        <v>87</v>
      </c>
      <c r="CY11" s="96" t="s">
        <v>88</v>
      </c>
      <c r="CZ11" s="144"/>
      <c r="DA11" s="144"/>
      <c r="DB11" s="97" t="s">
        <v>144</v>
      </c>
      <c r="DC11" s="115" t="s">
        <v>89</v>
      </c>
      <c r="DD11" s="115" t="s">
        <v>90</v>
      </c>
      <c r="DE11" s="115" t="s">
        <v>91</v>
      </c>
      <c r="DF11" s="118" t="s">
        <v>92</v>
      </c>
      <c r="DG11" s="115" t="s">
        <v>93</v>
      </c>
      <c r="DH11" s="118" t="s">
        <v>94</v>
      </c>
      <c r="DI11" s="118" t="s">
        <v>95</v>
      </c>
      <c r="DJ11" s="121" t="s">
        <v>96</v>
      </c>
      <c r="DK11" s="144"/>
      <c r="DL11" s="166"/>
      <c r="DM11" s="142"/>
      <c r="DN11" s="142"/>
      <c r="DO11" s="142"/>
      <c r="DP11" s="146"/>
      <c r="DQ11" s="144"/>
    </row>
    <row r="12" spans="1:121" s="4" customFormat="1" ht="72" customHeight="1">
      <c r="B12" s="82" t="s">
        <v>145</v>
      </c>
      <c r="C12" s="69" t="s">
        <v>97</v>
      </c>
      <c r="D12" s="70" t="s">
        <v>146</v>
      </c>
      <c r="E12" s="5">
        <v>43377</v>
      </c>
      <c r="F12" s="98">
        <v>800</v>
      </c>
      <c r="G12" s="5">
        <v>43378</v>
      </c>
      <c r="H12" s="98">
        <v>1000</v>
      </c>
      <c r="I12" s="98" t="s">
        <v>147</v>
      </c>
      <c r="J12" s="98">
        <v>91234567</v>
      </c>
      <c r="K12" s="99" t="e">
        <f ca="1">VLOOKUP($C12,SMARTO,COLUMN()-9)</f>
        <v>#REF!</v>
      </c>
      <c r="L12" s="6"/>
      <c r="M12" s="100" t="e">
        <f ca="1">IF(Q12="Y",TEXT($E12,"ddmmyy")&amp;" "&amp;TEXT($F12,"0000"),"-")</f>
        <v>#REF!</v>
      </c>
      <c r="N12" s="100" t="e">
        <f ca="1">IF(Q12="Y",TEXT($G12,"ddmmyy")&amp;" "&amp;TEXT($H12,"0000"),"-")</f>
        <v>#REF!</v>
      </c>
      <c r="O12" s="100" t="e">
        <f ca="1">IF(VLOOKUP($C12,SMARTO,COLUMN()-$J$8)="-","-",$K12)</f>
        <v>#REF!</v>
      </c>
      <c r="P12" s="100" t="e">
        <f ca="1">VLOOKUP($C12,SMARTO,COLUMN()-$J$8)</f>
        <v>#REF!</v>
      </c>
      <c r="Q12" s="101" t="e">
        <f ca="1">VLOOKUP($C12,SMARTO,COLUMN()-$J$8)</f>
        <v>#REF!</v>
      </c>
      <c r="R12" s="44" t="e">
        <f ca="1">IF($BN12="Y",TEXT(E12,"ddmmyy")&amp;" 0600","-")</f>
        <v>#REF!</v>
      </c>
      <c r="S12" s="39" t="e">
        <f ca="1">IF($BN12="Y",TEXT(G12,"ddmmyy")&amp;" 2359","-")</f>
        <v>#REF!</v>
      </c>
      <c r="T12" s="39" t="e">
        <f ca="1">VLOOKUP($C12,SMARTO,COLUMN()-$J$8)</f>
        <v>#REF!</v>
      </c>
      <c r="U12" s="39" t="e">
        <f ca="1">VLOOKUP($C12,SMARTO,COLUMN()-$J$8)</f>
        <v>#REF!</v>
      </c>
      <c r="V12" s="53" t="e">
        <f ca="1">IF(SUM(R12:U12)&gt;0,"Y","")</f>
        <v>#REF!</v>
      </c>
      <c r="W12" s="45" t="str">
        <f t="shared" ref="W12:AO12" ca="1" si="0">IFERROR(VLOOKUP($C12,SMARTO,COLUMN()*5-72)*$C$3+VLOOKUP($C12,SMARTO,COLUMN()*5-71)*$C$6+VLOOKUP($C12,SMARTO,COLUMN()*5-70)*$C$5+VLOOKUP($C12,SMARTO,COLUMN()*5-69)*$C$4+VLOOKUP($C12,SMARTO,COLUMN()*5-68),"-")</f>
        <v>-</v>
      </c>
      <c r="X12" s="45" t="str">
        <f t="shared" ca="1" si="0"/>
        <v>-</v>
      </c>
      <c r="Y12" s="45" t="str">
        <f t="shared" ca="1" si="0"/>
        <v>-</v>
      </c>
      <c r="Z12" s="45" t="str">
        <f t="shared" ca="1" si="0"/>
        <v>-</v>
      </c>
      <c r="AA12" s="45" t="str">
        <f t="shared" ca="1" si="0"/>
        <v>-</v>
      </c>
      <c r="AB12" s="45" t="str">
        <f t="shared" ca="1" si="0"/>
        <v>-</v>
      </c>
      <c r="AC12" s="45" t="str">
        <f t="shared" ca="1" si="0"/>
        <v>-</v>
      </c>
      <c r="AD12" s="45" t="str">
        <f t="shared" ca="1" si="0"/>
        <v>-</v>
      </c>
      <c r="AE12" s="45" t="str">
        <f t="shared" ca="1" si="0"/>
        <v>-</v>
      </c>
      <c r="AF12" s="45" t="str">
        <f t="shared" ca="1" si="0"/>
        <v>-</v>
      </c>
      <c r="AG12" s="45" t="str">
        <f t="shared" ca="1" si="0"/>
        <v>-</v>
      </c>
      <c r="AH12" s="45" t="str">
        <f t="shared" ca="1" si="0"/>
        <v>-</v>
      </c>
      <c r="AI12" s="45" t="str">
        <f t="shared" ca="1" si="0"/>
        <v>-</v>
      </c>
      <c r="AJ12" s="45" t="str">
        <f t="shared" ca="1" si="0"/>
        <v>-</v>
      </c>
      <c r="AK12" s="45" t="str">
        <f t="shared" ca="1" si="0"/>
        <v>-</v>
      </c>
      <c r="AL12" s="45" t="str">
        <f t="shared" ca="1" si="0"/>
        <v>-</v>
      </c>
      <c r="AM12" s="45" t="str">
        <f t="shared" ca="1" si="0"/>
        <v>-</v>
      </c>
      <c r="AN12" s="45" t="str">
        <f t="shared" ca="1" si="0"/>
        <v>-</v>
      </c>
      <c r="AO12" s="45" t="str">
        <f t="shared" ca="1" si="0"/>
        <v>-</v>
      </c>
      <c r="AP12" s="45" t="str">
        <f ca="1">IFERROR(VLOOKUP($C12,SMARTO,COLUMN()*5-72)*$C$3+VLOOKUP($C12,SMARTO,COLUMN()*5-71)*$C$6+VLOOKUP($C12,SMARTO,COLUMN()*5-70)*$C$5+VLOOKUP($C12,SMARTO,COLUMN()*5-69)*$C$4+VLOOKUP($C12,SMARTO,COLUMN()*5-68),"-")</f>
        <v>-</v>
      </c>
      <c r="AQ12" s="45" t="str">
        <f ca="1">IFERROR(VLOOKUP($C12,SMARTO,COLUMN()*5-72)*$C$3+VLOOKUP($C12,SMARTO,COLUMN()*5-71)*$C$6+VLOOKUP($C12,SMARTO,COLUMN()*5-70)*$C$5+VLOOKUP($C12,SMARTO,COLUMN()*5-69)*$C$4+VLOOKUP($C12,SMARTO,COLUMN()*5-68),"-")</f>
        <v>-</v>
      </c>
      <c r="AR12" s="53" t="str">
        <f ca="1">IF(SUM(W12:AQ12)&gt;0,"Y","")</f>
        <v/>
      </c>
      <c r="AS12" s="46" t="str">
        <f t="shared" ref="AS12:BE12" ca="1" si="1">IFERROR(VLOOKUP($C12,SMARTO,COLUMN()-$J$8+84),"-")</f>
        <v>-</v>
      </c>
      <c r="AT12" s="46" t="str">
        <f t="shared" ca="1" si="1"/>
        <v>-</v>
      </c>
      <c r="AU12" s="46" t="str">
        <f t="shared" ca="1" si="1"/>
        <v>-</v>
      </c>
      <c r="AV12" s="46" t="str">
        <f t="shared" ca="1" si="1"/>
        <v>-</v>
      </c>
      <c r="AW12" s="46" t="str">
        <f t="shared" ca="1" si="1"/>
        <v>-</v>
      </c>
      <c r="AX12" s="46" t="str">
        <f t="shared" ca="1" si="1"/>
        <v>-</v>
      </c>
      <c r="AY12" s="46" t="str">
        <f t="shared" ca="1" si="1"/>
        <v>-</v>
      </c>
      <c r="AZ12" s="46" t="str">
        <f t="shared" ca="1" si="1"/>
        <v>-</v>
      </c>
      <c r="BA12" s="46" t="str">
        <f t="shared" ca="1" si="1"/>
        <v>-</v>
      </c>
      <c r="BB12" s="46" t="str">
        <f t="shared" ca="1" si="1"/>
        <v>-</v>
      </c>
      <c r="BC12" s="46" t="str">
        <f t="shared" ca="1" si="1"/>
        <v>-</v>
      </c>
      <c r="BD12" s="46" t="str">
        <f t="shared" ca="1" si="1"/>
        <v>-</v>
      </c>
      <c r="BE12" s="46" t="str">
        <f t="shared" ca="1" si="1"/>
        <v>-</v>
      </c>
      <c r="BF12" s="46" t="str">
        <f ca="1">IFERROR(VLOOKUP($C12,SMARTO,COLUMN()-$J$8+84)*$C$5,"-")</f>
        <v>-</v>
      </c>
      <c r="BG12" s="46" t="str">
        <f ca="1">IFERROR(VLOOKUP($C12,SMARTO,COLUMN()-$J$8+84),"-")</f>
        <v>-</v>
      </c>
      <c r="BH12" s="46" t="e">
        <f ca="1">VLOOKUP($C12,SMARTO,COLUMN()-$J$8+84)</f>
        <v>#REF!</v>
      </c>
      <c r="BI12" s="53" t="e">
        <f ca="1">IF(SUM(AS12:BH12)&gt;0,"Y","")</f>
        <v>#REF!</v>
      </c>
      <c r="BJ12" s="46" t="str">
        <f ca="1">IFERROR(VLOOKUP($C12,SMARTO,COLUMN()-$J$8+84),"-")</f>
        <v>-</v>
      </c>
      <c r="BK12" s="46" t="str">
        <f ca="1">IFERROR(VLOOKUP($C12,SMARTO,COLUMN()-$J$8+84),"-")</f>
        <v>-</v>
      </c>
      <c r="BL12" s="46" t="str">
        <f ca="1">IFERROR(VLOOKUP($C12,SMARTO,COLUMN()-$J$8+84)*$C$3,"-")</f>
        <v>-</v>
      </c>
      <c r="BM12" s="41" t="str">
        <f ca="1">IF(SUM(BJ12:BL12)&gt;0,"Y","")</f>
        <v/>
      </c>
      <c r="BN12" s="102" t="e">
        <f ca="1">VLOOKUP($C12,SMARTO,COLUMN()-$J$8+84)</f>
        <v>#REF!</v>
      </c>
      <c r="BO12" s="103" t="e">
        <f ca="1">VLOOKUP($C12,SMARTO,COLUMN()-$J$8+84)</f>
        <v>#REF!</v>
      </c>
      <c r="BP12" s="102" t="e">
        <f ca="1">VLOOKUP($C12,SMARTO,COLUMN()-$J$8+84)</f>
        <v>#REF!</v>
      </c>
      <c r="BQ12" s="104" t="e">
        <f ca="1">IF(SUM($BU12:$BZ12)&gt;0,TEXT($E12,"ddmmyy")&amp;" "&amp;TEXT($F12,"0000"),"-")</f>
        <v>#REF!</v>
      </c>
      <c r="BR12" s="105" t="e">
        <f ca="1">IF(SUM($BU12:$BZ12)&gt;0,TEXT($G12,"ddmmyy")&amp;" "&amp;TEXT($H12,"0000"),"-")</f>
        <v>#REF!</v>
      </c>
      <c r="BS12" s="105"/>
      <c r="BT12" s="105"/>
      <c r="BU12" s="43" t="e">
        <f ca="1">VLOOKUP($C12,SMARTO,COLUMN()-$J$8+84)</f>
        <v>#REF!</v>
      </c>
      <c r="BV12" s="43" t="e">
        <f ca="1">VLOOKUP($C12,SMARTO,COLUMN()-$J$8+84)</f>
        <v>#REF!</v>
      </c>
      <c r="BW12" s="43" t="e">
        <f ca="1">VLOOKUP($C12,SMARTO,COLUMN()-$J$8+84)</f>
        <v>#REF!</v>
      </c>
      <c r="BX12" s="43" t="e">
        <f ca="1">VLOOKUP($C12,SMARTO,COLUMN()-$J$8+84)</f>
        <v>#REF!</v>
      </c>
      <c r="BY12" s="43" t="e">
        <f ca="1">VLOOKUP($C12,SMARTO,COLUMN()-$J$8+84)</f>
        <v>#REF!</v>
      </c>
      <c r="BZ12" s="43" t="e">
        <f ca="1">IF(SUM(BU12:BW12)=0,"-",SUM(BU12:BW12))</f>
        <v>#REF!</v>
      </c>
      <c r="CA12" s="43" t="e">
        <f ca="1">VLOOKUP($C12,SMARTO,COLUMN()-$J$8+84)</f>
        <v>#REF!</v>
      </c>
      <c r="CB12" s="106" t="e">
        <f ca="1">IF(VLOOKUP($C12,SMARTO,COLUMN()-$J$8+84)="-","-",$K12)</f>
        <v>#REF!</v>
      </c>
      <c r="CC12" s="107" t="e">
        <f ca="1">IF(VLOOKUP($C12,SMARTO,COLUMN()-$J$8+84)="-","-",E12-1)</f>
        <v>#REF!</v>
      </c>
      <c r="CD12" s="108" t="e">
        <f ca="1">VLOOKUP($C12,SMARTO,COLUMN()-$J$8+84)</f>
        <v>#REF!</v>
      </c>
      <c r="CE12" s="108" t="e">
        <f ca="1">VLOOKUP($C12,SMARTO,COLUMN()-$J$8+84)</f>
        <v>#REF!</v>
      </c>
      <c r="CF12" s="40" t="e">
        <f ca="1">IF(SUM(BQ12:CD12)&gt;0,"Y","")</f>
        <v>#REF!</v>
      </c>
      <c r="CG12" s="109" t="e">
        <f ca="1">IF(SUM($CK12:$CM12)=0,"-",TEXT($E12,"ddmmyy")&amp;" "&amp;TEXT($F12,"0000"))</f>
        <v>#REF!</v>
      </c>
      <c r="CH12" s="109" t="e">
        <f ca="1">IF(SUM($CK12:$CM12)=0,"-",TEXT($G12,"ddmmyy")&amp;" "&amp;TEXT($H12,"0000"))</f>
        <v>#REF!</v>
      </c>
      <c r="CI12" s="109" t="e">
        <f ca="1">VLOOKUP($C12,SMARTO,COLUMN()-$J$8+84)</f>
        <v>#REF!</v>
      </c>
      <c r="CJ12" s="106" t="e">
        <f ca="1">IF(VLOOKUP($C12,SMARTO,COLUMN()-$J$8+84)="-","-",$K12)</f>
        <v>#REF!</v>
      </c>
      <c r="CK12" s="45" t="e">
        <f ca="1">VLOOKUP($C12,SMARTO,COLUMN()-$J$8+84)</f>
        <v>#REF!</v>
      </c>
      <c r="CL12" s="45" t="e">
        <f ca="1">VLOOKUP($C12,SMARTO,COLUMN()-$J$8+84)</f>
        <v>#REF!</v>
      </c>
      <c r="CM12" s="45" t="e">
        <f ca="1">VLOOKUP($C12,SMARTO,COLUMN()-$J$8+84)</f>
        <v>#REF!</v>
      </c>
      <c r="CN12" s="45" t="e">
        <f ca="1">VLOOKUP($C12,SMARTO,COLUMN()-$J$8+84)</f>
        <v>#REF!</v>
      </c>
      <c r="CO12" s="45" t="e">
        <f ca="1">IF(SUM($CG12:$CN12)=0,"-",I12&amp;" "&amp;J12)</f>
        <v>#REF!</v>
      </c>
      <c r="CP12" s="51" t="e">
        <f ca="1">VLOOKUP($C12,SMARTO,COLUMN()-$J$8+84)</f>
        <v>#REF!</v>
      </c>
      <c r="CQ12" s="53" t="e">
        <f ca="1">IF(SUM(CG12:CO12)&gt;0,"Y","")</f>
        <v>#REF!</v>
      </c>
      <c r="CR12" s="110" t="e">
        <f ca="1">IF(VLOOKUP($C12,SMARTO,COLUMN()-$J$8+84)="-","-",TEXT($E12,"ddmmyy")&amp;" "&amp;TEXT($F12,"0000")&amp;" / "&amp;TEXT($G12,"ddmmyy")&amp;" "&amp;TEXT($H12,"0000"))</f>
        <v>#REF!</v>
      </c>
      <c r="CS12" s="45" t="e">
        <f ca="1">VLOOKUP($C12,SMARTO,COLUMN()-$J$8+84)</f>
        <v>#REF!</v>
      </c>
      <c r="CT12" s="45" t="e">
        <f ca="1">VLOOKUP($C12,SMARTO,COLUMN()-$J$8+84)</f>
        <v>#REF!</v>
      </c>
      <c r="CU12" s="45" t="e">
        <f ca="1">VLOOKUP($C12,SMARTO,COLUMN()-$J$8+84)</f>
        <v>#REF!</v>
      </c>
      <c r="CV12" s="110" t="e">
        <f ca="1">IF(VLOOKUP($C12,SMARTO,COLUMN()-$J$8+84)="-","-",TEXT($E12,"ddmmyy")&amp;" "&amp;TEXT($F12,"0000")&amp;" / "&amp;TEXT($G12,"ddmmyy")&amp;" "&amp;TEXT($H12,"0000"))</f>
        <v>#REF!</v>
      </c>
      <c r="CW12" s="109" t="e">
        <f ca="1">VLOOKUP($C12,SMARTO,COLUMN()-$J$8+84)</f>
        <v>#REF!</v>
      </c>
      <c r="CX12" s="109" t="e">
        <f ca="1">VLOOKUP($C12,SMARTO,COLUMN()-$J$8+84)</f>
        <v>#REF!</v>
      </c>
      <c r="CY12" s="45" t="e">
        <f ca="1">IF(VLOOKUP($C12,SMARTO,COLUMN()-$J$8+84)="-","-",$C$3+20)</f>
        <v>#REF!</v>
      </c>
      <c r="CZ12" s="41" t="e">
        <f ca="1">IF(CX12="-","","Y")</f>
        <v>#REF!</v>
      </c>
      <c r="DA12" s="102" t="e">
        <f t="shared" ref="DA12:DJ12" ca="1" si="2">VLOOKUP($C12,SMARTO,COLUMN()-$J$8+84)</f>
        <v>#REF!</v>
      </c>
      <c r="DB12" s="46" t="e">
        <f t="shared" ca="1" si="2"/>
        <v>#REF!</v>
      </c>
      <c r="DC12" s="46" t="e">
        <f t="shared" ca="1" si="2"/>
        <v>#REF!</v>
      </c>
      <c r="DD12" s="46" t="e">
        <f t="shared" ca="1" si="2"/>
        <v>#REF!</v>
      </c>
      <c r="DE12" s="46" t="e">
        <f t="shared" ca="1" si="2"/>
        <v>#REF!</v>
      </c>
      <c r="DF12" s="46" t="e">
        <f t="shared" ca="1" si="2"/>
        <v>#REF!</v>
      </c>
      <c r="DG12" s="46" t="e">
        <f t="shared" ca="1" si="2"/>
        <v>#REF!</v>
      </c>
      <c r="DH12" s="46" t="e">
        <f t="shared" ca="1" si="2"/>
        <v>#REF!</v>
      </c>
      <c r="DI12" s="46" t="e">
        <f t="shared" ca="1" si="2"/>
        <v>#REF!</v>
      </c>
      <c r="DJ12" s="46" t="e">
        <f t="shared" ca="1" si="2"/>
        <v>#REF!</v>
      </c>
      <c r="DK12" s="53" t="e">
        <f t="array" aca="1" ref="DK12" ca="1">IF(OR(DB12:DJ12="Y"),"Y","")</f>
        <v>#REF!</v>
      </c>
      <c r="DL12" s="46" t="e">
        <f t="shared" ref="DL12:DQ12" ca="1" si="3">VLOOKUP($C12,SMARTO,COLUMN()-$J$8+84)</f>
        <v>#REF!</v>
      </c>
      <c r="DM12" s="46" t="e">
        <f t="shared" ca="1" si="3"/>
        <v>#REF!</v>
      </c>
      <c r="DN12" s="46" t="e">
        <f t="shared" ca="1" si="3"/>
        <v>#REF!</v>
      </c>
      <c r="DO12" s="46" t="e">
        <f t="shared" ca="1" si="3"/>
        <v>#REF!</v>
      </c>
      <c r="DP12" s="52" t="e">
        <f t="shared" ca="1" si="3"/>
        <v>#REF!</v>
      </c>
      <c r="DQ12" s="111" t="e">
        <f t="shared" ca="1" si="3"/>
        <v>#REF!</v>
      </c>
    </row>
    <row r="13" spans="1:121"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 s="131"/>
      <c r="BT13" s="131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</row>
    <row r="14" spans="1:121"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 s="131"/>
      <c r="BT14" s="131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</row>
    <row r="15" spans="1:121"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 s="131"/>
      <c r="BT15" s="131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</row>
    <row r="16" spans="1:121">
      <c r="A16" s="92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 s="131"/>
      <c r="BT16" s="131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</row>
    <row r="17" spans="1:121"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 s="131"/>
      <c r="BT17" s="131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</row>
    <row r="18" spans="1:121"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 s="131"/>
      <c r="BT18" s="131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</row>
    <row r="19" spans="1:121"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 s="131"/>
      <c r="BT19" s="131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</row>
    <row r="20" spans="1:121"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 s="131"/>
      <c r="BT20" s="131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</row>
    <row r="21" spans="1:121">
      <c r="A21" s="92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 s="131"/>
      <c r="BT21" s="13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</row>
    <row r="22" spans="1:121"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 s="131"/>
      <c r="BT22" s="131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</row>
    <row r="23" spans="1:121"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 s="131"/>
      <c r="BT23" s="131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</row>
    <row r="24" spans="1:121"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 s="131"/>
      <c r="BT24" s="131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</row>
    <row r="25" spans="1:121"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 s="131"/>
      <c r="BT25" s="131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</row>
    <row r="26" spans="1:121"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 s="131"/>
      <c r="BT26" s="131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</row>
    <row r="27" spans="1:121"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 s="131"/>
      <c r="BT27" s="131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</row>
    <row r="28" spans="1:121">
      <c r="A28" s="92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 s="131"/>
      <c r="BT28" s="131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</row>
    <row r="29" spans="1:121" s="24" customFormat="1">
      <c r="A29" s="1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 s="131"/>
      <c r="BT29" s="131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</row>
    <row r="30" spans="1:121">
      <c r="A30" s="92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 s="131"/>
      <c r="BT30" s="131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</row>
    <row r="31" spans="1:121">
      <c r="A31" s="92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 s="131"/>
      <c r="BT31" s="1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</row>
    <row r="32" spans="1:121"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 s="131"/>
      <c r="BT32" s="131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</row>
    <row r="33" spans="3:121"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 s="131"/>
      <c r="BT33" s="131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</row>
    <row r="34" spans="3:121"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 s="131"/>
      <c r="BT34" s="131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</row>
    <row r="35" spans="3:121"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 s="131"/>
      <c r="BT35" s="131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</row>
    <row r="36" spans="3:121"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 s="131"/>
      <c r="BT36" s="131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</row>
    <row r="37" spans="3:121"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 s="131"/>
      <c r="BT37" s="131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</row>
    <row r="38" spans="3:121"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 s="131"/>
      <c r="BT38" s="131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</row>
    <row r="39" spans="3:121"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 s="131"/>
      <c r="BT39" s="131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</row>
    <row r="40" spans="3:121"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 s="131"/>
      <c r="BT40" s="131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</row>
    <row r="41" spans="3:121"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 s="131"/>
      <c r="BT41" s="13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</row>
    <row r="42" spans="3:121"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 s="131"/>
      <c r="BT42" s="131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</row>
    <row r="43" spans="3:121"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 s="131"/>
      <c r="BT43" s="131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</row>
    <row r="44" spans="3:121"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 s="131"/>
      <c r="BT44" s="131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</row>
    <row r="45" spans="3:121"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 s="131"/>
      <c r="BT45" s="131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</row>
    <row r="46" spans="3:121"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 s="131"/>
      <c r="BT46" s="131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</row>
    <row r="47" spans="3:121"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 s="131"/>
      <c r="BT47" s="131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</row>
    <row r="48" spans="3:121"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 s="131"/>
      <c r="BT48" s="131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</row>
    <row r="49" spans="3:121"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 s="131"/>
      <c r="BT49" s="131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</row>
    <row r="50" spans="3:121"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 s="131"/>
      <c r="BT50" s="131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</row>
    <row r="51" spans="3:121"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 s="131"/>
      <c r="BT51" s="13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</row>
    <row r="52" spans="3:121"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 s="131"/>
      <c r="BT52" s="131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</row>
    <row r="53" spans="3:121"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 s="131"/>
      <c r="BT53" s="131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</row>
    <row r="54" spans="3:121"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 s="131"/>
      <c r="BT54" s="131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</row>
    <row r="55" spans="3:121"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 s="131"/>
      <c r="BT55" s="131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</row>
    <row r="56" spans="3:121"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 s="131"/>
      <c r="BT56" s="131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</row>
    <row r="57" spans="3:121"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 s="131"/>
      <c r="BT57" s="131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</row>
    <row r="58" spans="3:121"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 s="131"/>
      <c r="BT58" s="131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</row>
    <row r="59" spans="3:121"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 s="131"/>
      <c r="BT59" s="131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</row>
    <row r="60" spans="3:121"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 s="131"/>
      <c r="BT60" s="131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</row>
    <row r="61" spans="3:121"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 s="131"/>
      <c r="BT61" s="13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</row>
  </sheetData>
  <autoFilter ref="B11:DP12" xr:uid="{00000000-0009-0000-0000-000003000000}">
    <filterColumn colId="0" hiddenButton="1"/>
    <filterColumn colId="10" hiddenButton="1"/>
    <filterColumn colId="15" hiddenButton="1"/>
    <filterColumn colId="64" hiddenButton="1"/>
    <filterColumn colId="66" hiddenButton="1"/>
    <filterColumn colId="103" hiddenButton="1"/>
    <filterColumn colId="118" hiddenButton="1"/>
    <sortState xmlns:xlrd2="http://schemas.microsoft.com/office/spreadsheetml/2017/richdata2" ref="B14:DP31">
      <sortCondition ref="E11:E12"/>
    </sortState>
  </autoFilter>
  <mergeCells count="57">
    <mergeCell ref="DP10:DP11"/>
    <mergeCell ref="CQ10:CQ11"/>
    <mergeCell ref="BZ10:BZ11"/>
    <mergeCell ref="BM10:BM11"/>
    <mergeCell ref="BN9:BN11"/>
    <mergeCell ref="V9:BM9"/>
    <mergeCell ref="BP9:BP11"/>
    <mergeCell ref="CC10:CC11"/>
    <mergeCell ref="CR10:CU10"/>
    <mergeCell ref="BU10:BU11"/>
    <mergeCell ref="BW10:BW11"/>
    <mergeCell ref="V10:V11"/>
    <mergeCell ref="DK10:DK11"/>
    <mergeCell ref="DB10:DJ10"/>
    <mergeCell ref="CZ10:CZ11"/>
    <mergeCell ref="D9:K10"/>
    <mergeCell ref="CO10:CO11"/>
    <mergeCell ref="BO9:BO11"/>
    <mergeCell ref="CD10:CD11"/>
    <mergeCell ref="CV10:CY10"/>
    <mergeCell ref="M9:P10"/>
    <mergeCell ref="BX10:BX11"/>
    <mergeCell ref="Q9:Q11"/>
    <mergeCell ref="BT10:BT11"/>
    <mergeCell ref="BS10:BS11"/>
    <mergeCell ref="DQ9:DQ11"/>
    <mergeCell ref="CG10:CH10"/>
    <mergeCell ref="B1:C1"/>
    <mergeCell ref="CI10:CJ10"/>
    <mergeCell ref="R10:U10"/>
    <mergeCell ref="DL10:DL11"/>
    <mergeCell ref="CB10:CB11"/>
    <mergeCell ref="AS10:BH10"/>
    <mergeCell ref="AR10:AR11"/>
    <mergeCell ref="BI10:BI11"/>
    <mergeCell ref="CP10:CP11"/>
    <mergeCell ref="BY10:BY11"/>
    <mergeCell ref="DM10:DM11"/>
    <mergeCell ref="CA10:CA11"/>
    <mergeCell ref="DO10:DO11"/>
    <mergeCell ref="BJ10:BL10"/>
    <mergeCell ref="B9:B11"/>
    <mergeCell ref="C9:C11"/>
    <mergeCell ref="DN10:DN11"/>
    <mergeCell ref="DA9:DA11"/>
    <mergeCell ref="CN10:CN11"/>
    <mergeCell ref="CK10:CK11"/>
    <mergeCell ref="BR10:BR11"/>
    <mergeCell ref="DB9:DP9"/>
    <mergeCell ref="BV10:BV11"/>
    <mergeCell ref="CM10:CM11"/>
    <mergeCell ref="BQ9:CZ9"/>
    <mergeCell ref="CE10:CE11"/>
    <mergeCell ref="CF10:CF11"/>
    <mergeCell ref="L9:L11"/>
    <mergeCell ref="BQ10:BQ11"/>
    <mergeCell ref="CL10:CL11"/>
  </mergeCells>
  <dataValidations count="1">
    <dataValidation type="list" allowBlank="1" showInputMessage="1" showErrorMessage="1" sqref="C12" xr:uid="{00000000-0002-0000-0300-000000000000}">
      <formula1>Conducts</formula1>
    </dataValidation>
  </dataValidations>
  <pageMargins left="0.7" right="0.7" top="0.75" bottom="0.75" header="0.3" footer="0.3"/>
  <pageSetup paperSize="9" scale="1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C120"/>
  <sheetViews>
    <sheetView tabSelected="1" topLeftCell="A99" zoomScale="73" zoomScaleNormal="85" workbookViewId="0">
      <selection activeCell="CM116" sqref="CM116:DC119"/>
    </sheetView>
  </sheetViews>
  <sheetFormatPr defaultRowHeight="14.4"/>
  <cols>
    <col min="1" max="1" width="47.5546875" style="114" bestFit="1" customWidth="1"/>
    <col min="2" max="2" width="16.5546875" style="126" bestFit="1" customWidth="1"/>
    <col min="3" max="35" width="4.77734375" style="2" bestFit="1" customWidth="1"/>
    <col min="36" max="36" width="9.44140625" style="114" customWidth="1"/>
    <col min="37" max="37" width="47.5546875" style="133" bestFit="1" customWidth="1"/>
    <col min="38" max="38" width="16.5546875" style="132" bestFit="1" customWidth="1"/>
    <col min="39" max="71" width="4.77734375" style="2" bestFit="1" customWidth="1"/>
    <col min="73" max="73" width="47.5546875" style="133" bestFit="1" customWidth="1"/>
    <col min="74" max="74" width="16.5546875" style="132" bestFit="1" customWidth="1"/>
    <col min="75" max="107" width="4.77734375" style="2" bestFit="1" customWidth="1"/>
  </cols>
  <sheetData>
    <row r="1" spans="1:107">
      <c r="A1" s="67">
        <v>46266</v>
      </c>
      <c r="B1" s="6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126"/>
      <c r="AK1" s="67">
        <v>46296</v>
      </c>
      <c r="AL1" s="6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  <c r="BM1" s="83"/>
      <c r="BN1" s="83"/>
      <c r="BO1" s="83"/>
      <c r="BP1" s="83"/>
      <c r="BQ1" s="83"/>
      <c r="BR1" s="83"/>
      <c r="BS1" s="83"/>
      <c r="BU1" s="67">
        <v>46327</v>
      </c>
      <c r="BV1" s="63"/>
      <c r="BW1" s="83"/>
      <c r="BX1" s="83"/>
      <c r="BY1" s="83"/>
      <c r="BZ1" s="83"/>
      <c r="CA1" s="83"/>
      <c r="CB1" s="83"/>
      <c r="CC1" s="83"/>
      <c r="CD1" s="83"/>
      <c r="CE1" s="83"/>
      <c r="CF1" s="83"/>
      <c r="CG1" s="83"/>
      <c r="CH1" s="83"/>
      <c r="CI1" s="83"/>
      <c r="CJ1" s="83"/>
      <c r="CK1" s="83"/>
      <c r="CL1" s="83"/>
      <c r="CM1" s="83"/>
      <c r="CN1" s="83"/>
      <c r="CO1" s="83"/>
      <c r="CP1" s="83"/>
      <c r="CQ1" s="83"/>
      <c r="CR1" s="83"/>
      <c r="CS1" s="83"/>
      <c r="CT1" s="83"/>
      <c r="CU1" s="83"/>
      <c r="CV1" s="83"/>
      <c r="CW1" s="83"/>
      <c r="CX1" s="83"/>
      <c r="CY1" s="83"/>
      <c r="CZ1" s="83"/>
      <c r="DA1" s="83"/>
      <c r="DB1" s="83"/>
      <c r="DC1" s="83"/>
    </row>
    <row r="2" spans="1:107" ht="15" hidden="1" customHeight="1">
      <c r="A2" s="59"/>
      <c r="B2" s="60"/>
      <c r="C2" s="64" t="str">
        <f t="array" ref="C2:C9">IF((C$48&gt;=$AN$11:$AN$74)*(C$48&lt;=$AO$11:$AO$74),$AM$11:$AM$74,"")</f>
        <v/>
      </c>
      <c r="D2" s="64">
        <f t="array" ref="D2:D9">IF((D$48&gt;=$AN$11:$AN$74)*(D$48&lt;=$AO$11:$AO$74),$AM$11:$AM$74,"")</f>
        <v>46265</v>
      </c>
      <c r="E2" s="64">
        <f t="array" ref="E2:E9">IF((E$48&gt;=$AN$11:$AN$74)*(E$48&lt;=$AO$11:$AO$74),$AM$11:$AM$74,"")</f>
        <v>46265</v>
      </c>
      <c r="F2" s="64" t="str">
        <f t="array" ref="F2:F9">IF((F$48&gt;=$AN$11:$AN$74)*(F$48&lt;=$AO$11:$AO$74),$AM$11:$AM$74,"")</f>
        <v/>
      </c>
      <c r="G2" s="65" t="str">
        <f t="array" ref="G2:G9">IF((G$48&gt;=$AN$11:$AN$74)*(G$48&lt;=$AO$11:$AO$74),$AM$11:$AM$74,"")</f>
        <v/>
      </c>
      <c r="H2" s="65" t="str">
        <f t="array" ref="H2:H9">IF((H$48&gt;=$AN$11:$AN$74)*(H$48&lt;=$AO$11:$AO$74),$AM$11:$AM$74,"")</f>
        <v/>
      </c>
      <c r="I2" s="65" t="str">
        <f t="array" ref="I2:I9">IF((I$48&gt;=$AN$11:$AN$74)*(I$48&lt;=$AO$11:$AO$74),$AM$11:$AM$74,"")</f>
        <v/>
      </c>
      <c r="J2" s="65" t="str">
        <f t="array" ref="J2:J9">IF((J$48&gt;=$AN$11:$AN$74)*(J$48&lt;=$AO$11:$AO$74),$AM$11:$AM$74,"")</f>
        <v/>
      </c>
      <c r="K2" s="65" t="str">
        <f t="array" ref="K2:K9">IF((K$48&gt;=$AN$11:$AN$74)*(K$48&lt;=$AO$11:$AO$74),$AM$11:$AM$74,"")</f>
        <v/>
      </c>
      <c r="L2" s="65" t="str">
        <f t="array" ref="L2:L9">IF((L$48&gt;=$AN$11:$AN$74)*(L$48&lt;=$AO$11:$AO$74),$AM$11:$AM$74,"")</f>
        <v/>
      </c>
      <c r="M2" s="65" t="str">
        <f t="array" ref="M2:M9">IF((M$48&gt;=$AN$11:$AN$74)*(M$48&lt;=$AO$11:$AO$74),$AM$11:$AM$74,"")</f>
        <v/>
      </c>
      <c r="N2" s="65" t="str">
        <f t="array" ref="N2:N9">IF((N$48&gt;=$AN$11:$AN$74)*(N$48&lt;=$AO$11:$AO$74),$AM$11:$AM$74,"")</f>
        <v/>
      </c>
      <c r="O2" s="65" t="str">
        <f t="array" ref="O2:O9">IF((O$48&gt;=$AN$11:$AN$74)*(O$48&lt;=$AO$11:$AO$74),$AM$11:$AM$74,"")</f>
        <v/>
      </c>
      <c r="P2" s="65" t="str">
        <f t="array" ref="P2:P9">IF((P$48&gt;=$AN$11:$AN$74)*(P$48&lt;=$AO$11:$AO$74),$AM$11:$AM$74,"")</f>
        <v/>
      </c>
      <c r="Q2" s="64" t="str">
        <f t="array" ref="Q2:Q9">IF((Q$48&gt;=$AN$11:$AN$74)*(Q$48&lt;=$AO$11:$AO$74),$AM$11:$AM$74,"")</f>
        <v/>
      </c>
      <c r="R2" s="64" t="str">
        <f t="array" ref="R2:R9">IF((R$48&gt;=$AN$11:$AN$74)*(R$48&lt;=$AO$11:$AO$74),$AM$11:$AM$74,"")</f>
        <v/>
      </c>
      <c r="S2" s="64" t="str">
        <f t="array" ref="S2:S9">IF((S$48&gt;=$AN$11:$AN$74)*(S$48&lt;=$AO$11:$AO$74),$AM$11:$AM$74,"")</f>
        <v/>
      </c>
      <c r="T2" s="64" t="str">
        <f t="array" ref="T2:T9">IF((T$48&gt;=$AN$11:$AN$74)*(T$48&lt;=$AO$11:$AO$74),$AM$11:$AM$74,"")</f>
        <v/>
      </c>
      <c r="U2" s="64" t="str">
        <f t="array" ref="U2:U9">IF((U$48&gt;=$AN$11:$AN$74)*(U$48&lt;=$AO$11:$AO$74),$AM$11:$AM$74,"")</f>
        <v/>
      </c>
      <c r="V2" s="64" t="str">
        <f t="array" ref="V2:V9">IF((V$48&gt;=$AN$11:$AN$74)*(V$48&lt;=$AO$11:$AO$74),$AM$11:$AM$74,"")</f>
        <v/>
      </c>
      <c r="W2" s="64" t="str">
        <f t="array" ref="W2:W9">IF((W$48&gt;=$AN$11:$AN$74)*(W$48&lt;=$AO$11:$AO$74),$AM$11:$AM$74,"")</f>
        <v/>
      </c>
      <c r="X2" s="64" t="str">
        <f t="array" ref="X2:X9">IF((X$48&gt;=$AN$11:$AN$74)*(X$48&lt;=$AO$11:$AO$74),$AM$11:$AM$74,"")</f>
        <v/>
      </c>
      <c r="Y2" s="64" t="str">
        <f t="array" ref="Y2:Y9">IF((Y$48&gt;=$AN$11:$AN$74)*(Y$48&lt;=$AO$11:$AO$74),$AM$11:$AM$74,"")</f>
        <v/>
      </c>
      <c r="Z2" s="64" t="str">
        <f t="array" ref="Z2:Z9">IF((Z$48&gt;=$AN$11:$AN$74)*(Z$48&lt;=$AO$11:$AO$74),$AM$11:$AM$74,"")</f>
        <v/>
      </c>
      <c r="AA2" s="64" t="str">
        <f t="array" ref="AA2:AA9">IF((AA$48&gt;=$AN$11:$AN$74)*(AA$48&lt;=$AO$11:$AO$74),$AM$11:$AM$74,"")</f>
        <v/>
      </c>
      <c r="AB2" s="64" t="str">
        <f t="array" ref="AB2:AB9">IF((AB$48&gt;=$AN$11:$AN$74)*(AB$48&lt;=$AO$11:$AO$74),$AM$11:$AM$74,"")</f>
        <v/>
      </c>
      <c r="AC2" s="64" t="str">
        <f t="array" ref="AC2:AC9">IF((AC$48&gt;=$AN$11:$AN$74)*(AC$48&lt;=$AO$11:$AO$74),$AM$11:$AM$74,"")</f>
        <v/>
      </c>
      <c r="AD2" s="64" t="str">
        <f t="array" ref="AD2:AD9">IF((AD$48&gt;=$AN$11:$AN$74)*(AD$48&lt;=$AO$11:$AO$74),$AM$11:$AM$74,"")</f>
        <v/>
      </c>
      <c r="AE2" s="64" t="str">
        <f t="array" ref="AE2:AE9">IF((AE$48&gt;=$AN$11:$AN$74)*(AE$48&lt;=$AO$11:$AO$74),$AM$11:$AM$74,"")</f>
        <v/>
      </c>
      <c r="AF2" s="64" t="str">
        <f t="array" ref="AF2:AF9">IF((AF$48&gt;=$AN$11:$AN$74)*(AF$48&lt;=$AO$11:$AO$74),$AM$11:$AM$74,"")</f>
        <v/>
      </c>
      <c r="AG2" s="64" t="str">
        <f t="array" ref="AG2:AG9">IF((AG$48&gt;=$AN$11:$AN$74)*(AG$48&lt;=$AO$11:$AO$74),$AM$11:$AM$74,"")</f>
        <v/>
      </c>
      <c r="AH2" s="64" t="str">
        <f t="array" ref="AH2:AH9">IF((AH$48&gt;=$AN$11:$AN$74)*(AH$48&lt;=$AO$11:$AO$74),$AM$11:$AM$74,"")</f>
        <v/>
      </c>
      <c r="AI2" s="64" t="str">
        <f t="array" ref="AI2:AI9">IF((AI$48&gt;=$AN$11:$AN$74)*(AI$48&lt;=$AO$11:$AO$74),$AM$11:$AM$74,"")</f>
        <v/>
      </c>
      <c r="AK2" s="59"/>
      <c r="AL2" s="60"/>
      <c r="AM2" s="64" t="str">
        <f t="array" ref="AM2:AM9">IF((AM$48&gt;=$AN$11:$AN$74)*(AM$48&lt;=$AO$11:$AO$74),$AM$11:$AM$74,"")</f>
        <v/>
      </c>
      <c r="AN2" s="64">
        <f t="array" ref="AN2:AN9">IF((AN$48&gt;=$AN$11:$AN$74)*(AN$48&lt;=$AO$11:$AO$74),$AM$11:$AM$74,"")</f>
        <v>46265</v>
      </c>
      <c r="AO2" s="64">
        <f t="array" ref="AO2:AO9">IF((AO$48&gt;=$AN$11:$AN$74)*(AO$48&lt;=$AO$11:$AO$74),$AM$11:$AM$74,"")</f>
        <v>46265</v>
      </c>
      <c r="AP2" s="64" t="str">
        <f t="array" ref="AP2:AP9">IF((AP$48&gt;=$AN$11:$AN$74)*(AP$48&lt;=$AO$11:$AO$74),$AM$11:$AM$74,"")</f>
        <v/>
      </c>
      <c r="AQ2" s="65" t="str">
        <f t="array" ref="AQ2:AQ9">IF((AQ$48&gt;=$AN$11:$AN$74)*(AQ$48&lt;=$AO$11:$AO$74),$AM$11:$AM$74,"")</f>
        <v/>
      </c>
      <c r="AR2" s="65" t="str">
        <f t="array" ref="AR2:AR9">IF((AR$48&gt;=$AN$11:$AN$74)*(AR$48&lt;=$AO$11:$AO$74),$AM$11:$AM$74,"")</f>
        <v/>
      </c>
      <c r="AS2" s="65" t="str">
        <f t="array" ref="AS2:AS9">IF((AS$48&gt;=$AN$11:$AN$74)*(AS$48&lt;=$AO$11:$AO$74),$AM$11:$AM$74,"")</f>
        <v/>
      </c>
      <c r="AT2" s="65" t="str">
        <f t="array" ref="AT2:AT9">IF((AT$48&gt;=$AN$11:$AN$74)*(AT$48&lt;=$AO$11:$AO$74),$AM$11:$AM$74,"")</f>
        <v/>
      </c>
      <c r="AU2" s="65" t="str">
        <f t="array" ref="AU2:AU9">IF((AU$48&gt;=$AN$11:$AN$74)*(AU$48&lt;=$AO$11:$AO$74),$AM$11:$AM$74,"")</f>
        <v/>
      </c>
      <c r="AV2" s="65" t="str">
        <f t="array" ref="AV2:AV9">IF((AV$48&gt;=$AN$11:$AN$74)*(AV$48&lt;=$AO$11:$AO$74),$AM$11:$AM$74,"")</f>
        <v/>
      </c>
      <c r="AW2" s="65" t="str">
        <f t="array" ref="AW2:AW9">IF((AW$48&gt;=$AN$11:$AN$74)*(AW$48&lt;=$AO$11:$AO$74),$AM$11:$AM$74,"")</f>
        <v/>
      </c>
      <c r="AX2" s="65" t="str">
        <f t="array" ref="AX2:AX9">IF((AX$48&gt;=$AN$11:$AN$74)*(AX$48&lt;=$AO$11:$AO$74),$AM$11:$AM$74,"")</f>
        <v/>
      </c>
      <c r="AY2" s="65" t="str">
        <f t="array" ref="AY2:AY9">IF((AY$48&gt;=$AN$11:$AN$74)*(AY$48&lt;=$AO$11:$AO$74),$AM$11:$AM$74,"")</f>
        <v/>
      </c>
      <c r="AZ2" s="65" t="str">
        <f t="array" ref="AZ2:AZ9">IF((AZ$48&gt;=$AN$11:$AN$74)*(AZ$48&lt;=$AO$11:$AO$74),$AM$11:$AM$74,"")</f>
        <v/>
      </c>
      <c r="BA2" s="64" t="str">
        <f t="array" ref="BA2:BA9">IF((BA$48&gt;=$AN$11:$AN$74)*(BA$48&lt;=$AO$11:$AO$74),$AM$11:$AM$74,"")</f>
        <v/>
      </c>
      <c r="BB2" s="64" t="str">
        <f t="array" ref="BB2:BB9">IF((BB$48&gt;=$AN$11:$AN$74)*(BB$48&lt;=$AO$11:$AO$74),$AM$11:$AM$74,"")</f>
        <v/>
      </c>
      <c r="BC2" s="64" t="str">
        <f t="array" ref="BC2:BC9">IF((BC$48&gt;=$AN$11:$AN$74)*(BC$48&lt;=$AO$11:$AO$74),$AM$11:$AM$74,"")</f>
        <v/>
      </c>
      <c r="BD2" s="64" t="str">
        <f t="array" ref="BD2:BD9">IF((BD$48&gt;=$AN$11:$AN$74)*(BD$48&lt;=$AO$11:$AO$74),$AM$11:$AM$74,"")</f>
        <v/>
      </c>
      <c r="BE2" s="64" t="str">
        <f t="array" ref="BE2:BE9">IF((BE$48&gt;=$AN$11:$AN$74)*(BE$48&lt;=$AO$11:$AO$74),$AM$11:$AM$74,"")</f>
        <v/>
      </c>
      <c r="BF2" s="64" t="str">
        <f t="array" ref="BF2:BF9">IF((BF$48&gt;=$AN$11:$AN$74)*(BF$48&lt;=$AO$11:$AO$74),$AM$11:$AM$74,"")</f>
        <v/>
      </c>
      <c r="BG2" s="64" t="str">
        <f t="array" ref="BG2:BG9">IF((BG$48&gt;=$AN$11:$AN$74)*(BG$48&lt;=$AO$11:$AO$74),$AM$11:$AM$74,"")</f>
        <v/>
      </c>
      <c r="BH2" s="64" t="str">
        <f t="array" ref="BH2:BH9">IF((BH$48&gt;=$AN$11:$AN$74)*(BH$48&lt;=$AO$11:$AO$74),$AM$11:$AM$74,"")</f>
        <v/>
      </c>
      <c r="BI2" s="64" t="str">
        <f t="array" ref="BI2:BI9">IF((BI$48&gt;=$AN$11:$AN$74)*(BI$48&lt;=$AO$11:$AO$74),$AM$11:$AM$74,"")</f>
        <v/>
      </c>
      <c r="BJ2" s="64" t="str">
        <f t="array" ref="BJ2:BJ9">IF((BJ$48&gt;=$AN$11:$AN$74)*(BJ$48&lt;=$AO$11:$AO$74),$AM$11:$AM$74,"")</f>
        <v/>
      </c>
      <c r="BK2" s="64" t="str">
        <f t="array" ref="BK2:BK9">IF((BK$48&gt;=$AN$11:$AN$74)*(BK$48&lt;=$AO$11:$AO$74),$AM$11:$AM$74,"")</f>
        <v/>
      </c>
      <c r="BL2" s="64" t="str">
        <f t="array" ref="BL2:BL9">IF((BL$48&gt;=$AN$11:$AN$74)*(BL$48&lt;=$AO$11:$AO$74),$AM$11:$AM$74,"")</f>
        <v/>
      </c>
      <c r="BM2" s="64" t="str">
        <f t="array" ref="BM2:BM9">IF((BM$48&gt;=$AN$11:$AN$74)*(BM$48&lt;=$AO$11:$AO$74),$AM$11:$AM$74,"")</f>
        <v/>
      </c>
      <c r="BN2" s="64" t="str">
        <f t="array" ref="BN2:BN9">IF((BN$48&gt;=$AN$11:$AN$74)*(BN$48&lt;=$AO$11:$AO$74),$AM$11:$AM$74,"")</f>
        <v/>
      </c>
      <c r="BO2" s="64" t="str">
        <f t="array" ref="BO2:BO9">IF((BO$48&gt;=$AN$11:$AN$74)*(BO$48&lt;=$AO$11:$AO$74),$AM$11:$AM$74,"")</f>
        <v/>
      </c>
      <c r="BP2" s="64" t="str">
        <f t="array" ref="BP2:BP9">IF((BP$48&gt;=$AN$11:$AN$74)*(BP$48&lt;=$AO$11:$AO$74),$AM$11:$AM$74,"")</f>
        <v/>
      </c>
      <c r="BQ2" s="64" t="str">
        <f t="array" ref="BQ2:BQ9">IF((BQ$48&gt;=$AN$11:$AN$74)*(BQ$48&lt;=$AO$11:$AO$74),$AM$11:$AM$74,"")</f>
        <v/>
      </c>
      <c r="BR2" s="64" t="str">
        <f t="array" ref="BR2:BR9">IF((BR$48&gt;=$AN$11:$AN$74)*(BR$48&lt;=$AO$11:$AO$74),$AM$11:$AM$74,"")</f>
        <v/>
      </c>
      <c r="BS2" s="64" t="str">
        <f t="array" ref="BS2:BS9">IF((BS$48&gt;=$AN$11:$AN$74)*(BS$48&lt;=$AO$11:$AO$74),$AM$11:$AM$74,"")</f>
        <v/>
      </c>
      <c r="BU2" s="59"/>
      <c r="BV2" s="60"/>
      <c r="BW2" s="64" t="str">
        <f t="array" ref="BW2:BW9">IF((BW$48&gt;=$AN$11:$AN$74)*(BW$48&lt;=$AO$11:$AO$74),$AM$11:$AM$74,"")</f>
        <v/>
      </c>
      <c r="BX2" s="64">
        <f t="array" ref="BX2:BX9">IF((BX$48&gt;=$AN$11:$AN$74)*(BX$48&lt;=$AO$11:$AO$74),$AM$11:$AM$74,"")</f>
        <v>46265</v>
      </c>
      <c r="BY2" s="64">
        <f t="array" ref="BY2:BY9">IF((BY$48&gt;=$AN$11:$AN$74)*(BY$48&lt;=$AO$11:$AO$74),$AM$11:$AM$74,"")</f>
        <v>46265</v>
      </c>
      <c r="BZ2" s="64" t="str">
        <f t="array" ref="BZ2:BZ9">IF((BZ$48&gt;=$AN$11:$AN$74)*(BZ$48&lt;=$AO$11:$AO$74),$AM$11:$AM$74,"")</f>
        <v/>
      </c>
      <c r="CA2" s="65" t="str">
        <f t="array" ref="CA2:CA9">IF((CA$48&gt;=$AN$11:$AN$74)*(CA$48&lt;=$AO$11:$AO$74),$AM$11:$AM$74,"")</f>
        <v/>
      </c>
      <c r="CB2" s="65" t="str">
        <f t="array" ref="CB2:CB9">IF((CB$48&gt;=$AN$11:$AN$74)*(CB$48&lt;=$AO$11:$AO$74),$AM$11:$AM$74,"")</f>
        <v/>
      </c>
      <c r="CC2" s="65" t="str">
        <f t="array" ref="CC2:CC9">IF((CC$48&gt;=$AN$11:$AN$74)*(CC$48&lt;=$AO$11:$AO$74),$AM$11:$AM$74,"")</f>
        <v/>
      </c>
      <c r="CD2" s="65" t="str">
        <f t="array" ref="CD2:CD9">IF((CD$48&gt;=$AN$11:$AN$74)*(CD$48&lt;=$AO$11:$AO$74),$AM$11:$AM$74,"")</f>
        <v/>
      </c>
      <c r="CE2" s="65" t="str">
        <f t="array" ref="CE2:CE9">IF((CE$48&gt;=$AN$11:$AN$74)*(CE$48&lt;=$AO$11:$AO$74),$AM$11:$AM$74,"")</f>
        <v/>
      </c>
      <c r="CF2" s="65" t="str">
        <f t="array" ref="CF2:CF9">IF((CF$48&gt;=$AN$11:$AN$74)*(CF$48&lt;=$AO$11:$AO$74),$AM$11:$AM$74,"")</f>
        <v/>
      </c>
      <c r="CG2" s="65" t="str">
        <f t="array" ref="CG2:CG9">IF((CG$48&gt;=$AN$11:$AN$74)*(CG$48&lt;=$AO$11:$AO$74),$AM$11:$AM$74,"")</f>
        <v/>
      </c>
      <c r="CH2" s="65" t="str">
        <f t="array" ref="CH2:CH9">IF((CH$48&gt;=$AN$11:$AN$74)*(CH$48&lt;=$AO$11:$AO$74),$AM$11:$AM$74,"")</f>
        <v/>
      </c>
      <c r="CI2" s="65" t="str">
        <f t="array" ref="CI2:CI9">IF((CI$48&gt;=$AN$11:$AN$74)*(CI$48&lt;=$AO$11:$AO$74),$AM$11:$AM$74,"")</f>
        <v/>
      </c>
      <c r="CJ2" s="65" t="str">
        <f t="array" ref="CJ2:CJ9">IF((CJ$48&gt;=$AN$11:$AN$74)*(CJ$48&lt;=$AO$11:$AO$74),$AM$11:$AM$74,"")</f>
        <v/>
      </c>
      <c r="CK2" s="64" t="str">
        <f t="array" ref="CK2:CK9">IF((CK$48&gt;=$AN$11:$AN$74)*(CK$48&lt;=$AO$11:$AO$74),$AM$11:$AM$74,"")</f>
        <v/>
      </c>
      <c r="CL2" s="64" t="str">
        <f t="array" ref="CL2:CL9">IF((CL$48&gt;=$AN$11:$AN$74)*(CL$48&lt;=$AO$11:$AO$74),$AM$11:$AM$74,"")</f>
        <v/>
      </c>
      <c r="CM2" s="64" t="str">
        <f t="array" ref="CM2:CM9">IF((CM$48&gt;=$AN$11:$AN$74)*(CM$48&lt;=$AO$11:$AO$74),$AM$11:$AM$74,"")</f>
        <v/>
      </c>
      <c r="CN2" s="64" t="str">
        <f t="array" ref="CN2:CN9">IF((CN$48&gt;=$AN$11:$AN$74)*(CN$48&lt;=$AO$11:$AO$74),$AM$11:$AM$74,"")</f>
        <v/>
      </c>
      <c r="CO2" s="64" t="str">
        <f t="array" ref="CO2:CO9">IF((CO$48&gt;=$AN$11:$AN$74)*(CO$48&lt;=$AO$11:$AO$74),$AM$11:$AM$74,"")</f>
        <v/>
      </c>
      <c r="CP2" s="64" t="str">
        <f t="array" ref="CP2:CP9">IF((CP$48&gt;=$AN$11:$AN$74)*(CP$48&lt;=$AO$11:$AO$74),$AM$11:$AM$74,"")</f>
        <v/>
      </c>
      <c r="CQ2" s="64" t="str">
        <f t="array" ref="CQ2:CQ9">IF((CQ$48&gt;=$AN$11:$AN$74)*(CQ$48&lt;=$AO$11:$AO$74),$AM$11:$AM$74,"")</f>
        <v/>
      </c>
      <c r="CR2" s="64" t="str">
        <f t="array" ref="CR2:CR9">IF((CR$48&gt;=$AN$11:$AN$74)*(CR$48&lt;=$AO$11:$AO$74),$AM$11:$AM$74,"")</f>
        <v/>
      </c>
      <c r="CS2" s="64" t="str">
        <f t="array" ref="CS2:CS9">IF((CS$48&gt;=$AN$11:$AN$74)*(CS$48&lt;=$AO$11:$AO$74),$AM$11:$AM$74,"")</f>
        <v/>
      </c>
      <c r="CT2" s="64" t="str">
        <f t="array" ref="CT2:CT9">IF((CT$48&gt;=$AN$11:$AN$74)*(CT$48&lt;=$AO$11:$AO$74),$AM$11:$AM$74,"")</f>
        <v/>
      </c>
      <c r="CU2" s="64" t="str">
        <f t="array" ref="CU2:CU9">IF((CU$48&gt;=$AN$11:$AN$74)*(CU$48&lt;=$AO$11:$AO$74),$AM$11:$AM$74,"")</f>
        <v/>
      </c>
      <c r="CV2" s="64" t="str">
        <f t="array" ref="CV2:CV9">IF((CV$48&gt;=$AN$11:$AN$74)*(CV$48&lt;=$AO$11:$AO$74),$AM$11:$AM$74,"")</f>
        <v/>
      </c>
      <c r="CW2" s="64" t="str">
        <f t="array" ref="CW2:CW9">IF((CW$48&gt;=$AN$11:$AN$74)*(CW$48&lt;=$AO$11:$AO$74),$AM$11:$AM$74,"")</f>
        <v/>
      </c>
      <c r="CX2" s="64" t="str">
        <f t="array" ref="CX2:CX9">IF((CX$48&gt;=$AN$11:$AN$74)*(CX$48&lt;=$AO$11:$AO$74),$AM$11:$AM$74,"")</f>
        <v/>
      </c>
      <c r="CY2" s="64" t="str">
        <f t="array" ref="CY2:CY9">IF((CY$48&gt;=$AN$11:$AN$74)*(CY$48&lt;=$AO$11:$AO$74),$AM$11:$AM$74,"")</f>
        <v/>
      </c>
      <c r="CZ2" s="64" t="str">
        <f t="array" ref="CZ2:CZ9">IF((CZ$48&gt;=$AN$11:$AN$74)*(CZ$48&lt;=$AO$11:$AO$74),$AM$11:$AM$74,"")</f>
        <v/>
      </c>
      <c r="DA2" s="64" t="str">
        <f t="array" ref="DA2:DA9">IF((DA$48&gt;=$AN$11:$AN$74)*(DA$48&lt;=$AO$11:$AO$74),$AM$11:$AM$74,"")</f>
        <v/>
      </c>
      <c r="DB2" s="64" t="str">
        <f t="array" ref="DB2:DB9">IF((DB$48&gt;=$AN$11:$AN$74)*(DB$48&lt;=$AO$11:$AO$74),$AM$11:$AM$74,"")</f>
        <v/>
      </c>
      <c r="DC2" s="64" t="str">
        <f t="array" ref="DC2:DC9">IF((DC$48&gt;=$AN$11:$AN$74)*(DC$48&lt;=$AO$11:$AO$74),$AM$11:$AM$74,"")</f>
        <v/>
      </c>
    </row>
    <row r="3" spans="1:107" ht="15" hidden="1" customHeight="1">
      <c r="A3" s="59"/>
      <c r="B3" s="60"/>
      <c r="C3" s="57" t="str">
        <v/>
      </c>
      <c r="D3" s="57" t="str">
        <v/>
      </c>
      <c r="E3" s="57" t="str">
        <v/>
      </c>
      <c r="F3" s="57" t="str">
        <v/>
      </c>
      <c r="G3" s="54" t="str">
        <v/>
      </c>
      <c r="H3" s="54" t="str">
        <v/>
      </c>
      <c r="I3" s="54" t="str">
        <v/>
      </c>
      <c r="J3" s="54" t="str">
        <v/>
      </c>
      <c r="K3" s="54" t="str">
        <v/>
      </c>
      <c r="L3" s="54" t="str">
        <v/>
      </c>
      <c r="M3" s="54" t="str">
        <v/>
      </c>
      <c r="N3" s="54" t="str">
        <v/>
      </c>
      <c r="O3" s="54" t="str">
        <v/>
      </c>
      <c r="P3" s="54" t="str">
        <v/>
      </c>
      <c r="Q3" s="57" t="str">
        <v/>
      </c>
      <c r="R3" s="57" t="str">
        <v/>
      </c>
      <c r="S3" s="57" t="str">
        <v/>
      </c>
      <c r="T3" s="57" t="str">
        <v/>
      </c>
      <c r="U3" s="57" t="str">
        <v/>
      </c>
      <c r="V3" s="57" t="str">
        <v/>
      </c>
      <c r="W3" s="57" t="str">
        <v/>
      </c>
      <c r="X3" s="57" t="str">
        <v/>
      </c>
      <c r="Y3" s="57" t="str">
        <v/>
      </c>
      <c r="Z3" s="57" t="str">
        <v/>
      </c>
      <c r="AA3" s="57" t="str">
        <v/>
      </c>
      <c r="AB3" s="57" t="str">
        <v/>
      </c>
      <c r="AC3" s="57" t="str">
        <v/>
      </c>
      <c r="AD3" s="57" t="str">
        <v/>
      </c>
      <c r="AE3" s="57" t="str">
        <v/>
      </c>
      <c r="AF3" s="57" t="str">
        <v/>
      </c>
      <c r="AG3" s="57" t="str">
        <v/>
      </c>
      <c r="AH3" s="57" t="str">
        <v/>
      </c>
      <c r="AI3" s="57" t="str">
        <v/>
      </c>
      <c r="AK3" s="59"/>
      <c r="AL3" s="60"/>
      <c r="AM3" s="57" t="str">
        <v/>
      </c>
      <c r="AN3" s="57" t="str">
        <v/>
      </c>
      <c r="AO3" s="57" t="str">
        <v/>
      </c>
      <c r="AP3" s="57" t="str">
        <v/>
      </c>
      <c r="AQ3" s="54" t="str">
        <v/>
      </c>
      <c r="AR3" s="54" t="str">
        <v/>
      </c>
      <c r="AS3" s="54" t="str">
        <v/>
      </c>
      <c r="AT3" s="54" t="str">
        <v/>
      </c>
      <c r="AU3" s="54" t="str">
        <v/>
      </c>
      <c r="AV3" s="54" t="str">
        <v/>
      </c>
      <c r="AW3" s="54" t="str">
        <v/>
      </c>
      <c r="AX3" s="54" t="str">
        <v/>
      </c>
      <c r="AY3" s="54" t="str">
        <v/>
      </c>
      <c r="AZ3" s="54" t="str">
        <v/>
      </c>
      <c r="BA3" s="57" t="str">
        <v/>
      </c>
      <c r="BB3" s="57" t="str">
        <v/>
      </c>
      <c r="BC3" s="57" t="str">
        <v/>
      </c>
      <c r="BD3" s="57" t="str">
        <v/>
      </c>
      <c r="BE3" s="57" t="str">
        <v/>
      </c>
      <c r="BF3" s="57" t="str">
        <v/>
      </c>
      <c r="BG3" s="57" t="str">
        <v/>
      </c>
      <c r="BH3" s="57" t="str">
        <v/>
      </c>
      <c r="BI3" s="57" t="str">
        <v/>
      </c>
      <c r="BJ3" s="57" t="str">
        <v/>
      </c>
      <c r="BK3" s="57" t="str">
        <v/>
      </c>
      <c r="BL3" s="57" t="str">
        <v/>
      </c>
      <c r="BM3" s="57" t="str">
        <v/>
      </c>
      <c r="BN3" s="57" t="str">
        <v/>
      </c>
      <c r="BO3" s="57" t="str">
        <v/>
      </c>
      <c r="BP3" s="57" t="str">
        <v/>
      </c>
      <c r="BQ3" s="57" t="str">
        <v/>
      </c>
      <c r="BR3" s="57" t="str">
        <v/>
      </c>
      <c r="BS3" s="57" t="str">
        <v/>
      </c>
      <c r="BU3" s="59"/>
      <c r="BV3" s="60"/>
      <c r="BW3" s="57" t="str">
        <v/>
      </c>
      <c r="BX3" s="57" t="str">
        <v/>
      </c>
      <c r="BY3" s="57" t="str">
        <v/>
      </c>
      <c r="BZ3" s="57" t="str">
        <v/>
      </c>
      <c r="CA3" s="54" t="str">
        <v/>
      </c>
      <c r="CB3" s="54" t="str">
        <v/>
      </c>
      <c r="CC3" s="54" t="str">
        <v/>
      </c>
      <c r="CD3" s="54" t="str">
        <v/>
      </c>
      <c r="CE3" s="54" t="str">
        <v/>
      </c>
      <c r="CF3" s="54" t="str">
        <v/>
      </c>
      <c r="CG3" s="54" t="str">
        <v/>
      </c>
      <c r="CH3" s="54" t="str">
        <v/>
      </c>
      <c r="CI3" s="54" t="str">
        <v/>
      </c>
      <c r="CJ3" s="54" t="str">
        <v/>
      </c>
      <c r="CK3" s="57" t="str">
        <v/>
      </c>
      <c r="CL3" s="57" t="str">
        <v/>
      </c>
      <c r="CM3" s="57" t="str">
        <v/>
      </c>
      <c r="CN3" s="57" t="str">
        <v/>
      </c>
      <c r="CO3" s="57" t="str">
        <v/>
      </c>
      <c r="CP3" s="57" t="str">
        <v/>
      </c>
      <c r="CQ3" s="57" t="str">
        <v/>
      </c>
      <c r="CR3" s="57" t="str">
        <v/>
      </c>
      <c r="CS3" s="57" t="str">
        <v/>
      </c>
      <c r="CT3" s="57" t="str">
        <v/>
      </c>
      <c r="CU3" s="57" t="str">
        <v/>
      </c>
      <c r="CV3" s="57" t="str">
        <v/>
      </c>
      <c r="CW3" s="57" t="str">
        <v/>
      </c>
      <c r="CX3" s="57" t="str">
        <v/>
      </c>
      <c r="CY3" s="57" t="str">
        <v/>
      </c>
      <c r="CZ3" s="57" t="str">
        <v/>
      </c>
      <c r="DA3" s="57" t="str">
        <v/>
      </c>
      <c r="DB3" s="57" t="str">
        <v/>
      </c>
      <c r="DC3" s="57" t="str">
        <v/>
      </c>
    </row>
    <row r="4" spans="1:107" ht="15" hidden="1" customHeight="1">
      <c r="A4" s="59"/>
      <c r="B4" s="60"/>
      <c r="C4" s="57" t="str">
        <v/>
      </c>
      <c r="D4" s="57" t="str">
        <v/>
      </c>
      <c r="E4" s="57" t="str">
        <v/>
      </c>
      <c r="F4" s="57" t="str">
        <v/>
      </c>
      <c r="G4" s="57" t="str">
        <v/>
      </c>
      <c r="H4" s="57" t="str">
        <v/>
      </c>
      <c r="I4" s="57" t="str">
        <v/>
      </c>
      <c r="J4" s="57" t="str">
        <v/>
      </c>
      <c r="K4" s="57" t="str">
        <v/>
      </c>
      <c r="L4" s="57" t="str">
        <v/>
      </c>
      <c r="M4" s="57" t="str">
        <v/>
      </c>
      <c r="N4" s="57" t="str">
        <v/>
      </c>
      <c r="O4" s="57" t="str">
        <v/>
      </c>
      <c r="P4" s="57" t="str">
        <v/>
      </c>
      <c r="Q4" s="57" t="str">
        <v/>
      </c>
      <c r="R4" s="57" t="str">
        <v/>
      </c>
      <c r="S4" s="57" t="str">
        <v/>
      </c>
      <c r="T4" s="57" t="str">
        <v/>
      </c>
      <c r="U4" s="57" t="str">
        <v/>
      </c>
      <c r="V4" s="57" t="str">
        <v/>
      </c>
      <c r="W4" s="57" t="str">
        <v/>
      </c>
      <c r="X4" s="57" t="str">
        <v/>
      </c>
      <c r="Y4" s="57" t="str">
        <v/>
      </c>
      <c r="Z4" s="57" t="str">
        <v/>
      </c>
      <c r="AA4" s="57" t="str">
        <v/>
      </c>
      <c r="AB4" s="57" t="str">
        <v/>
      </c>
      <c r="AC4" s="57" t="str">
        <v/>
      </c>
      <c r="AD4" s="57" t="str">
        <v/>
      </c>
      <c r="AE4" s="57" t="str">
        <v/>
      </c>
      <c r="AF4" s="57" t="str">
        <v/>
      </c>
      <c r="AG4" s="57" t="str">
        <v/>
      </c>
      <c r="AH4" s="57" t="str">
        <v/>
      </c>
      <c r="AI4" s="57" t="str">
        <v/>
      </c>
      <c r="AK4" s="59"/>
      <c r="AL4" s="60"/>
      <c r="AM4" s="57" t="str">
        <v/>
      </c>
      <c r="AN4" s="57" t="str">
        <v/>
      </c>
      <c r="AO4" s="57" t="str">
        <v/>
      </c>
      <c r="AP4" s="57" t="str">
        <v/>
      </c>
      <c r="AQ4" s="57" t="str">
        <v/>
      </c>
      <c r="AR4" s="57" t="str">
        <v/>
      </c>
      <c r="AS4" s="57" t="str">
        <v/>
      </c>
      <c r="AT4" s="57" t="str">
        <v/>
      </c>
      <c r="AU4" s="57" t="str">
        <v/>
      </c>
      <c r="AV4" s="57" t="str">
        <v/>
      </c>
      <c r="AW4" s="57" t="str">
        <v/>
      </c>
      <c r="AX4" s="57" t="str">
        <v/>
      </c>
      <c r="AY4" s="57" t="str">
        <v/>
      </c>
      <c r="AZ4" s="57" t="str">
        <v/>
      </c>
      <c r="BA4" s="57" t="str">
        <v/>
      </c>
      <c r="BB4" s="57" t="str">
        <v/>
      </c>
      <c r="BC4" s="57" t="str">
        <v/>
      </c>
      <c r="BD4" s="57" t="str">
        <v/>
      </c>
      <c r="BE4" s="57" t="str">
        <v/>
      </c>
      <c r="BF4" s="57" t="str">
        <v/>
      </c>
      <c r="BG4" s="57" t="str">
        <v/>
      </c>
      <c r="BH4" s="57" t="str">
        <v/>
      </c>
      <c r="BI4" s="57" t="str">
        <v/>
      </c>
      <c r="BJ4" s="57" t="str">
        <v/>
      </c>
      <c r="BK4" s="57" t="str">
        <v/>
      </c>
      <c r="BL4" s="57" t="str">
        <v/>
      </c>
      <c r="BM4" s="57" t="str">
        <v/>
      </c>
      <c r="BN4" s="57" t="str">
        <v/>
      </c>
      <c r="BO4" s="57" t="str">
        <v/>
      </c>
      <c r="BP4" s="57" t="str">
        <v/>
      </c>
      <c r="BQ4" s="57" t="str">
        <v/>
      </c>
      <c r="BR4" s="57" t="str">
        <v/>
      </c>
      <c r="BS4" s="57" t="str">
        <v/>
      </c>
      <c r="BU4" s="59"/>
      <c r="BV4" s="60"/>
      <c r="BW4" s="57" t="str">
        <v/>
      </c>
      <c r="BX4" s="57" t="str">
        <v/>
      </c>
      <c r="BY4" s="57" t="str">
        <v/>
      </c>
      <c r="BZ4" s="57" t="str">
        <v/>
      </c>
      <c r="CA4" s="57" t="str">
        <v/>
      </c>
      <c r="CB4" s="57" t="str">
        <v/>
      </c>
      <c r="CC4" s="57" t="str">
        <v/>
      </c>
      <c r="CD4" s="57" t="str">
        <v/>
      </c>
      <c r="CE4" s="57" t="str">
        <v/>
      </c>
      <c r="CF4" s="57" t="str">
        <v/>
      </c>
      <c r="CG4" s="57" t="str">
        <v/>
      </c>
      <c r="CH4" s="57" t="str">
        <v/>
      </c>
      <c r="CI4" s="57" t="str">
        <v/>
      </c>
      <c r="CJ4" s="57" t="str">
        <v/>
      </c>
      <c r="CK4" s="57" t="str">
        <v/>
      </c>
      <c r="CL4" s="57" t="str">
        <v/>
      </c>
      <c r="CM4" s="57" t="str">
        <v/>
      </c>
      <c r="CN4" s="57" t="str">
        <v/>
      </c>
      <c r="CO4" s="57" t="str">
        <v/>
      </c>
      <c r="CP4" s="57" t="str">
        <v/>
      </c>
      <c r="CQ4" s="57" t="str">
        <v/>
      </c>
      <c r="CR4" s="57" t="str">
        <v/>
      </c>
      <c r="CS4" s="57" t="str">
        <v/>
      </c>
      <c r="CT4" s="57" t="str">
        <v/>
      </c>
      <c r="CU4" s="57" t="str">
        <v/>
      </c>
      <c r="CV4" s="57" t="str">
        <v/>
      </c>
      <c r="CW4" s="57" t="str">
        <v/>
      </c>
      <c r="CX4" s="57" t="str">
        <v/>
      </c>
      <c r="CY4" s="57" t="str">
        <v/>
      </c>
      <c r="CZ4" s="57" t="str">
        <v/>
      </c>
      <c r="DA4" s="57" t="str">
        <v/>
      </c>
      <c r="DB4" s="57" t="str">
        <v/>
      </c>
      <c r="DC4" s="57" t="str">
        <v/>
      </c>
    </row>
    <row r="5" spans="1:107" ht="15" hidden="1" customHeight="1">
      <c r="A5" s="59"/>
      <c r="B5" s="60"/>
      <c r="C5" s="57" t="str">
        <v/>
      </c>
      <c r="D5" s="57" t="str">
        <v/>
      </c>
      <c r="E5" s="57" t="str">
        <v/>
      </c>
      <c r="F5" s="57" t="str">
        <v/>
      </c>
      <c r="G5" s="57" t="str">
        <v/>
      </c>
      <c r="H5" s="57" t="str">
        <v/>
      </c>
      <c r="I5" s="57" t="str">
        <v/>
      </c>
      <c r="J5" s="57" t="str">
        <v/>
      </c>
      <c r="K5" s="57" t="str">
        <v/>
      </c>
      <c r="L5" s="57" t="str">
        <v/>
      </c>
      <c r="M5" s="57" t="str">
        <v/>
      </c>
      <c r="N5" s="57" t="str">
        <v/>
      </c>
      <c r="O5" s="57" t="str">
        <v/>
      </c>
      <c r="P5" s="57" t="str">
        <v/>
      </c>
      <c r="Q5" s="57" t="str">
        <v/>
      </c>
      <c r="R5" s="57" t="str">
        <v/>
      </c>
      <c r="S5" s="57" t="str">
        <v/>
      </c>
      <c r="T5" s="57" t="str">
        <v/>
      </c>
      <c r="U5" s="57" t="str">
        <v/>
      </c>
      <c r="V5" s="57" t="str">
        <v/>
      </c>
      <c r="W5" s="57" t="str">
        <v/>
      </c>
      <c r="X5" s="57" t="str">
        <v/>
      </c>
      <c r="Y5" s="57" t="str">
        <v/>
      </c>
      <c r="Z5" s="57" t="str">
        <v/>
      </c>
      <c r="AA5" s="57" t="str">
        <v/>
      </c>
      <c r="AB5" s="57" t="str">
        <v/>
      </c>
      <c r="AC5" s="57" t="str">
        <v/>
      </c>
      <c r="AD5" s="57" t="str">
        <v/>
      </c>
      <c r="AE5" s="57" t="str">
        <v/>
      </c>
      <c r="AF5" s="57" t="str">
        <v/>
      </c>
      <c r="AG5" s="57" t="str">
        <v/>
      </c>
      <c r="AH5" s="57" t="str">
        <v/>
      </c>
      <c r="AI5" s="57" t="str">
        <v/>
      </c>
      <c r="AK5" s="59"/>
      <c r="AL5" s="60"/>
      <c r="AM5" s="57" t="str">
        <v/>
      </c>
      <c r="AN5" s="57" t="str">
        <v/>
      </c>
      <c r="AO5" s="57" t="str">
        <v/>
      </c>
      <c r="AP5" s="57" t="str">
        <v/>
      </c>
      <c r="AQ5" s="57" t="str">
        <v/>
      </c>
      <c r="AR5" s="57" t="str">
        <v/>
      </c>
      <c r="AS5" s="57" t="str">
        <v/>
      </c>
      <c r="AT5" s="57" t="str">
        <v/>
      </c>
      <c r="AU5" s="57" t="str">
        <v/>
      </c>
      <c r="AV5" s="57" t="str">
        <v/>
      </c>
      <c r="AW5" s="57" t="str">
        <v/>
      </c>
      <c r="AX5" s="57" t="str">
        <v/>
      </c>
      <c r="AY5" s="57" t="str">
        <v/>
      </c>
      <c r="AZ5" s="57" t="str">
        <v/>
      </c>
      <c r="BA5" s="57" t="str">
        <v/>
      </c>
      <c r="BB5" s="57" t="str">
        <v/>
      </c>
      <c r="BC5" s="57" t="str">
        <v/>
      </c>
      <c r="BD5" s="57" t="str">
        <v/>
      </c>
      <c r="BE5" s="57" t="str">
        <v/>
      </c>
      <c r="BF5" s="57" t="str">
        <v/>
      </c>
      <c r="BG5" s="57" t="str">
        <v/>
      </c>
      <c r="BH5" s="57" t="str">
        <v/>
      </c>
      <c r="BI5" s="57" t="str">
        <v/>
      </c>
      <c r="BJ5" s="57" t="str">
        <v/>
      </c>
      <c r="BK5" s="57" t="str">
        <v/>
      </c>
      <c r="BL5" s="57" t="str">
        <v/>
      </c>
      <c r="BM5" s="57" t="str">
        <v/>
      </c>
      <c r="BN5" s="57" t="str">
        <v/>
      </c>
      <c r="BO5" s="57" t="str">
        <v/>
      </c>
      <c r="BP5" s="57" t="str">
        <v/>
      </c>
      <c r="BQ5" s="57" t="str">
        <v/>
      </c>
      <c r="BR5" s="57" t="str">
        <v/>
      </c>
      <c r="BS5" s="57" t="str">
        <v/>
      </c>
      <c r="BU5" s="59"/>
      <c r="BV5" s="60"/>
      <c r="BW5" s="57" t="str">
        <v/>
      </c>
      <c r="BX5" s="57" t="str">
        <v/>
      </c>
      <c r="BY5" s="57" t="str">
        <v/>
      </c>
      <c r="BZ5" s="57" t="str">
        <v/>
      </c>
      <c r="CA5" s="57" t="str">
        <v/>
      </c>
      <c r="CB5" s="57" t="str">
        <v/>
      </c>
      <c r="CC5" s="57" t="str">
        <v/>
      </c>
      <c r="CD5" s="57" t="str">
        <v/>
      </c>
      <c r="CE5" s="57" t="str">
        <v/>
      </c>
      <c r="CF5" s="57" t="str">
        <v/>
      </c>
      <c r="CG5" s="57" t="str">
        <v/>
      </c>
      <c r="CH5" s="57" t="str">
        <v/>
      </c>
      <c r="CI5" s="57" t="str">
        <v/>
      </c>
      <c r="CJ5" s="57" t="str">
        <v/>
      </c>
      <c r="CK5" s="57" t="str">
        <v/>
      </c>
      <c r="CL5" s="57" t="str">
        <v/>
      </c>
      <c r="CM5" s="57" t="str">
        <v/>
      </c>
      <c r="CN5" s="57" t="str">
        <v/>
      </c>
      <c r="CO5" s="57" t="str">
        <v/>
      </c>
      <c r="CP5" s="57" t="str">
        <v/>
      </c>
      <c r="CQ5" s="57" t="str">
        <v/>
      </c>
      <c r="CR5" s="57" t="str">
        <v/>
      </c>
      <c r="CS5" s="57" t="str">
        <v/>
      </c>
      <c r="CT5" s="57" t="str">
        <v/>
      </c>
      <c r="CU5" s="57" t="str">
        <v/>
      </c>
      <c r="CV5" s="57" t="str">
        <v/>
      </c>
      <c r="CW5" s="57" t="str">
        <v/>
      </c>
      <c r="CX5" s="57" t="str">
        <v/>
      </c>
      <c r="CY5" s="57" t="str">
        <v/>
      </c>
      <c r="CZ5" s="57" t="str">
        <v/>
      </c>
      <c r="DA5" s="57" t="str">
        <v/>
      </c>
      <c r="DB5" s="57" t="str">
        <v/>
      </c>
      <c r="DC5" s="57" t="str">
        <v/>
      </c>
    </row>
    <row r="6" spans="1:107" ht="15" hidden="1" customHeight="1">
      <c r="A6" s="59"/>
      <c r="B6" s="60"/>
      <c r="C6" s="57" t="str">
        <v/>
      </c>
      <c r="D6" s="57" t="str">
        <v/>
      </c>
      <c r="E6" s="57" t="str">
        <v/>
      </c>
      <c r="F6" s="57" t="str">
        <v/>
      </c>
      <c r="G6" s="57" t="str">
        <v/>
      </c>
      <c r="H6" s="57" t="str">
        <v/>
      </c>
      <c r="I6" s="57" t="str">
        <v/>
      </c>
      <c r="J6" s="57" t="str">
        <v/>
      </c>
      <c r="K6" s="57" t="str">
        <v/>
      </c>
      <c r="L6" s="57" t="str">
        <v/>
      </c>
      <c r="M6" s="57" t="str">
        <v/>
      </c>
      <c r="N6" s="57" t="str">
        <v/>
      </c>
      <c r="O6" s="57" t="str">
        <v/>
      </c>
      <c r="P6" s="57" t="str">
        <v/>
      </c>
      <c r="Q6" s="57" t="str">
        <v/>
      </c>
      <c r="R6" s="57" t="str">
        <v/>
      </c>
      <c r="S6" s="57" t="str">
        <v/>
      </c>
      <c r="T6" s="57" t="str">
        <v/>
      </c>
      <c r="U6" s="57" t="str">
        <v/>
      </c>
      <c r="V6" s="57" t="str">
        <v/>
      </c>
      <c r="W6" s="57" t="str">
        <v/>
      </c>
      <c r="X6" s="57" t="str">
        <v/>
      </c>
      <c r="Y6" s="57" t="str">
        <v/>
      </c>
      <c r="Z6" s="57" t="str">
        <v/>
      </c>
      <c r="AA6" s="57" t="str">
        <v/>
      </c>
      <c r="AB6" s="57" t="str">
        <v/>
      </c>
      <c r="AC6" s="57" t="str">
        <v/>
      </c>
      <c r="AD6" s="57" t="str">
        <v/>
      </c>
      <c r="AE6" s="57" t="str">
        <v/>
      </c>
      <c r="AF6" s="57" t="str">
        <v/>
      </c>
      <c r="AG6" s="57" t="str">
        <v/>
      </c>
      <c r="AH6" s="57" t="str">
        <v/>
      </c>
      <c r="AI6" s="57" t="str">
        <v/>
      </c>
      <c r="AK6" s="59"/>
      <c r="AL6" s="60"/>
      <c r="AM6" s="57" t="str">
        <v/>
      </c>
      <c r="AN6" s="57" t="str">
        <v/>
      </c>
      <c r="AO6" s="57" t="str">
        <v/>
      </c>
      <c r="AP6" s="57" t="str">
        <v/>
      </c>
      <c r="AQ6" s="57" t="str">
        <v/>
      </c>
      <c r="AR6" s="57" t="str">
        <v/>
      </c>
      <c r="AS6" s="57" t="str">
        <v/>
      </c>
      <c r="AT6" s="57" t="str">
        <v/>
      </c>
      <c r="AU6" s="57" t="str">
        <v/>
      </c>
      <c r="AV6" s="57" t="str">
        <v/>
      </c>
      <c r="AW6" s="57" t="str">
        <v/>
      </c>
      <c r="AX6" s="57" t="str">
        <v/>
      </c>
      <c r="AY6" s="57" t="str">
        <v/>
      </c>
      <c r="AZ6" s="57" t="str">
        <v/>
      </c>
      <c r="BA6" s="57" t="str">
        <v/>
      </c>
      <c r="BB6" s="57" t="str">
        <v/>
      </c>
      <c r="BC6" s="57" t="str">
        <v/>
      </c>
      <c r="BD6" s="57" t="str">
        <v/>
      </c>
      <c r="BE6" s="57" t="str">
        <v/>
      </c>
      <c r="BF6" s="57" t="str">
        <v/>
      </c>
      <c r="BG6" s="57" t="str">
        <v/>
      </c>
      <c r="BH6" s="57" t="str">
        <v/>
      </c>
      <c r="BI6" s="57" t="str">
        <v/>
      </c>
      <c r="BJ6" s="57" t="str">
        <v/>
      </c>
      <c r="BK6" s="57" t="str">
        <v/>
      </c>
      <c r="BL6" s="57" t="str">
        <v/>
      </c>
      <c r="BM6" s="57" t="str">
        <v/>
      </c>
      <c r="BN6" s="57" t="str">
        <v/>
      </c>
      <c r="BO6" s="57" t="str">
        <v/>
      </c>
      <c r="BP6" s="57" t="str">
        <v/>
      </c>
      <c r="BQ6" s="57" t="str">
        <v/>
      </c>
      <c r="BR6" s="57" t="str">
        <v/>
      </c>
      <c r="BS6" s="57" t="str">
        <v/>
      </c>
      <c r="BU6" s="59"/>
      <c r="BV6" s="60"/>
      <c r="BW6" s="57" t="str">
        <v/>
      </c>
      <c r="BX6" s="57" t="str">
        <v/>
      </c>
      <c r="BY6" s="57" t="str">
        <v/>
      </c>
      <c r="BZ6" s="57" t="str">
        <v/>
      </c>
      <c r="CA6" s="57" t="str">
        <v/>
      </c>
      <c r="CB6" s="57" t="str">
        <v/>
      </c>
      <c r="CC6" s="57" t="str">
        <v/>
      </c>
      <c r="CD6" s="57" t="str">
        <v/>
      </c>
      <c r="CE6" s="57" t="str">
        <v/>
      </c>
      <c r="CF6" s="57" t="str">
        <v/>
      </c>
      <c r="CG6" s="57" t="str">
        <v/>
      </c>
      <c r="CH6" s="57" t="str">
        <v/>
      </c>
      <c r="CI6" s="57" t="str">
        <v/>
      </c>
      <c r="CJ6" s="57" t="str">
        <v/>
      </c>
      <c r="CK6" s="57" t="str">
        <v/>
      </c>
      <c r="CL6" s="57" t="str">
        <v/>
      </c>
      <c r="CM6" s="57" t="str">
        <v/>
      </c>
      <c r="CN6" s="57" t="str">
        <v/>
      </c>
      <c r="CO6" s="57" t="str">
        <v/>
      </c>
      <c r="CP6" s="57" t="str">
        <v/>
      </c>
      <c r="CQ6" s="57" t="str">
        <v/>
      </c>
      <c r="CR6" s="57" t="str">
        <v/>
      </c>
      <c r="CS6" s="57" t="str">
        <v/>
      </c>
      <c r="CT6" s="57" t="str">
        <v/>
      </c>
      <c r="CU6" s="57" t="str">
        <v/>
      </c>
      <c r="CV6" s="57" t="str">
        <v/>
      </c>
      <c r="CW6" s="57" t="str">
        <v/>
      </c>
      <c r="CX6" s="57" t="str">
        <v/>
      </c>
      <c r="CY6" s="57" t="str">
        <v/>
      </c>
      <c r="CZ6" s="57" t="str">
        <v/>
      </c>
      <c r="DA6" s="57" t="str">
        <v/>
      </c>
      <c r="DB6" s="57" t="str">
        <v/>
      </c>
      <c r="DC6" s="57" t="str">
        <v/>
      </c>
    </row>
    <row r="7" spans="1:107" ht="15" hidden="1" customHeight="1">
      <c r="A7" s="59"/>
      <c r="B7" s="60"/>
      <c r="C7" s="57" t="str">
        <v/>
      </c>
      <c r="D7" s="57" t="str">
        <v/>
      </c>
      <c r="E7" s="57" t="str">
        <v/>
      </c>
      <c r="F7" s="57" t="str">
        <v/>
      </c>
      <c r="G7" s="57" t="str">
        <v/>
      </c>
      <c r="H7" s="57" t="str">
        <v/>
      </c>
      <c r="I7" s="57" t="str">
        <v/>
      </c>
      <c r="J7" s="57" t="str">
        <v/>
      </c>
      <c r="K7" s="57" t="str">
        <v/>
      </c>
      <c r="L7" s="57" t="str">
        <v/>
      </c>
      <c r="M7" s="57" t="str">
        <v/>
      </c>
      <c r="N7" s="57" t="str">
        <v/>
      </c>
      <c r="O7" s="57" t="str">
        <v/>
      </c>
      <c r="P7" s="57" t="str">
        <v/>
      </c>
      <c r="Q7" s="57" t="str">
        <v/>
      </c>
      <c r="R7" s="57" t="str">
        <v/>
      </c>
      <c r="S7" s="57" t="str">
        <v/>
      </c>
      <c r="T7" s="57" t="str">
        <v/>
      </c>
      <c r="U7" s="57" t="str">
        <v/>
      </c>
      <c r="V7" s="57" t="str">
        <v/>
      </c>
      <c r="W7" s="57" t="str">
        <v/>
      </c>
      <c r="X7" s="57" t="str">
        <v/>
      </c>
      <c r="Y7" s="57" t="str">
        <v/>
      </c>
      <c r="Z7" s="57" t="str">
        <v/>
      </c>
      <c r="AA7" s="57" t="str">
        <v/>
      </c>
      <c r="AB7" s="57" t="str">
        <v/>
      </c>
      <c r="AC7" s="57" t="str">
        <v/>
      </c>
      <c r="AD7" s="57" t="str">
        <v/>
      </c>
      <c r="AE7" s="57" t="str">
        <v/>
      </c>
      <c r="AF7" s="57" t="str">
        <v/>
      </c>
      <c r="AG7" s="57" t="str">
        <v/>
      </c>
      <c r="AH7" s="57" t="str">
        <v/>
      </c>
      <c r="AI7" s="57" t="str">
        <v/>
      </c>
      <c r="AK7" s="59"/>
      <c r="AL7" s="60"/>
      <c r="AM7" s="57" t="str">
        <v/>
      </c>
      <c r="AN7" s="57" t="str">
        <v/>
      </c>
      <c r="AO7" s="57" t="str">
        <v/>
      </c>
      <c r="AP7" s="57" t="str">
        <v/>
      </c>
      <c r="AQ7" s="57" t="str">
        <v/>
      </c>
      <c r="AR7" s="57" t="str">
        <v/>
      </c>
      <c r="AS7" s="57" t="str">
        <v/>
      </c>
      <c r="AT7" s="57" t="str">
        <v/>
      </c>
      <c r="AU7" s="57" t="str">
        <v/>
      </c>
      <c r="AV7" s="57" t="str">
        <v/>
      </c>
      <c r="AW7" s="57" t="str">
        <v/>
      </c>
      <c r="AX7" s="57" t="str">
        <v/>
      </c>
      <c r="AY7" s="57" t="str">
        <v/>
      </c>
      <c r="AZ7" s="57" t="str">
        <v/>
      </c>
      <c r="BA7" s="57" t="str">
        <v/>
      </c>
      <c r="BB7" s="57" t="str">
        <v/>
      </c>
      <c r="BC7" s="57" t="str">
        <v/>
      </c>
      <c r="BD7" s="57" t="str">
        <v/>
      </c>
      <c r="BE7" s="57" t="str">
        <v/>
      </c>
      <c r="BF7" s="57" t="str">
        <v/>
      </c>
      <c r="BG7" s="57" t="str">
        <v/>
      </c>
      <c r="BH7" s="57" t="str">
        <v/>
      </c>
      <c r="BI7" s="57" t="str">
        <v/>
      </c>
      <c r="BJ7" s="57" t="str">
        <v/>
      </c>
      <c r="BK7" s="57" t="str">
        <v/>
      </c>
      <c r="BL7" s="57" t="str">
        <v/>
      </c>
      <c r="BM7" s="57" t="str">
        <v/>
      </c>
      <c r="BN7" s="57" t="str">
        <v/>
      </c>
      <c r="BO7" s="57" t="str">
        <v/>
      </c>
      <c r="BP7" s="57" t="str">
        <v/>
      </c>
      <c r="BQ7" s="57" t="str">
        <v/>
      </c>
      <c r="BR7" s="57" t="str">
        <v/>
      </c>
      <c r="BS7" s="57" t="str">
        <v/>
      </c>
      <c r="BU7" s="59"/>
      <c r="BV7" s="60"/>
      <c r="BW7" s="57" t="str">
        <v/>
      </c>
      <c r="BX7" s="57" t="str">
        <v/>
      </c>
      <c r="BY7" s="57" t="str">
        <v/>
      </c>
      <c r="BZ7" s="57" t="str">
        <v/>
      </c>
      <c r="CA7" s="57" t="str">
        <v/>
      </c>
      <c r="CB7" s="57" t="str">
        <v/>
      </c>
      <c r="CC7" s="57" t="str">
        <v/>
      </c>
      <c r="CD7" s="57" t="str">
        <v/>
      </c>
      <c r="CE7" s="57" t="str">
        <v/>
      </c>
      <c r="CF7" s="57" t="str">
        <v/>
      </c>
      <c r="CG7" s="57" t="str">
        <v/>
      </c>
      <c r="CH7" s="57" t="str">
        <v/>
      </c>
      <c r="CI7" s="57" t="str">
        <v/>
      </c>
      <c r="CJ7" s="57" t="str">
        <v/>
      </c>
      <c r="CK7" s="57" t="str">
        <v/>
      </c>
      <c r="CL7" s="57" t="str">
        <v/>
      </c>
      <c r="CM7" s="57" t="str">
        <v/>
      </c>
      <c r="CN7" s="57" t="str">
        <v/>
      </c>
      <c r="CO7" s="57" t="str">
        <v/>
      </c>
      <c r="CP7" s="57" t="str">
        <v/>
      </c>
      <c r="CQ7" s="57" t="str">
        <v/>
      </c>
      <c r="CR7" s="57" t="str">
        <v/>
      </c>
      <c r="CS7" s="57" t="str">
        <v/>
      </c>
      <c r="CT7" s="57" t="str">
        <v/>
      </c>
      <c r="CU7" s="57" t="str">
        <v/>
      </c>
      <c r="CV7" s="57" t="str">
        <v/>
      </c>
      <c r="CW7" s="57" t="str">
        <v/>
      </c>
      <c r="CX7" s="57" t="str">
        <v/>
      </c>
      <c r="CY7" s="57" t="str">
        <v/>
      </c>
      <c r="CZ7" s="57" t="str">
        <v/>
      </c>
      <c r="DA7" s="57" t="str">
        <v/>
      </c>
      <c r="DB7" s="57" t="str">
        <v/>
      </c>
      <c r="DC7" s="57" t="str">
        <v/>
      </c>
    </row>
    <row r="8" spans="1:107" ht="15" hidden="1" customHeight="1">
      <c r="A8" s="61"/>
      <c r="B8" s="62"/>
      <c r="C8" s="57" t="str">
        <v/>
      </c>
      <c r="D8" s="57" t="str">
        <v/>
      </c>
      <c r="E8" s="57" t="str">
        <v/>
      </c>
      <c r="F8" s="57" t="str">
        <v/>
      </c>
      <c r="G8" s="57" t="str">
        <v/>
      </c>
      <c r="H8" s="57" t="str">
        <v/>
      </c>
      <c r="I8" s="57" t="str">
        <v/>
      </c>
      <c r="J8" s="57" t="str">
        <v/>
      </c>
      <c r="K8" s="57" t="str">
        <v/>
      </c>
      <c r="L8" s="57" t="str">
        <v/>
      </c>
      <c r="M8" s="57" t="str">
        <v/>
      </c>
      <c r="N8" s="57" t="str">
        <v/>
      </c>
      <c r="O8" s="57" t="str">
        <v/>
      </c>
      <c r="P8" s="57" t="str">
        <v/>
      </c>
      <c r="Q8" s="57" t="str">
        <v/>
      </c>
      <c r="R8" s="57" t="str">
        <v/>
      </c>
      <c r="S8" s="57" t="str">
        <v/>
      </c>
      <c r="T8" s="57" t="str">
        <v/>
      </c>
      <c r="U8" s="57" t="str">
        <v/>
      </c>
      <c r="V8" s="57" t="str">
        <v/>
      </c>
      <c r="W8" s="57" t="str">
        <v/>
      </c>
      <c r="X8" s="57" t="str">
        <v/>
      </c>
      <c r="Y8" s="57" t="str">
        <v/>
      </c>
      <c r="Z8" s="57" t="str">
        <v/>
      </c>
      <c r="AA8" s="57" t="str">
        <v/>
      </c>
      <c r="AB8" s="57" t="str">
        <v/>
      </c>
      <c r="AC8" s="57" t="str">
        <v/>
      </c>
      <c r="AD8" s="57" t="str">
        <v/>
      </c>
      <c r="AE8" s="57" t="str">
        <v/>
      </c>
      <c r="AF8" s="57" t="str">
        <v/>
      </c>
      <c r="AG8" s="57" t="str">
        <v/>
      </c>
      <c r="AH8" s="57" t="str">
        <v/>
      </c>
      <c r="AI8" s="57" t="str">
        <v/>
      </c>
      <c r="AK8" s="61"/>
      <c r="AL8" s="62"/>
      <c r="AM8" s="57" t="str">
        <v/>
      </c>
      <c r="AN8" s="57" t="str">
        <v/>
      </c>
      <c r="AO8" s="57" t="str">
        <v/>
      </c>
      <c r="AP8" s="57" t="str">
        <v/>
      </c>
      <c r="AQ8" s="57" t="str">
        <v/>
      </c>
      <c r="AR8" s="57" t="str">
        <v/>
      </c>
      <c r="AS8" s="57" t="str">
        <v/>
      </c>
      <c r="AT8" s="57" t="str">
        <v/>
      </c>
      <c r="AU8" s="57" t="str">
        <v/>
      </c>
      <c r="AV8" s="57" t="str">
        <v/>
      </c>
      <c r="AW8" s="57" t="str">
        <v/>
      </c>
      <c r="AX8" s="57" t="str">
        <v/>
      </c>
      <c r="AY8" s="57" t="str">
        <v/>
      </c>
      <c r="AZ8" s="57" t="str">
        <v/>
      </c>
      <c r="BA8" s="57" t="str">
        <v/>
      </c>
      <c r="BB8" s="57" t="str">
        <v/>
      </c>
      <c r="BC8" s="57" t="str">
        <v/>
      </c>
      <c r="BD8" s="57" t="str">
        <v/>
      </c>
      <c r="BE8" s="57" t="str">
        <v/>
      </c>
      <c r="BF8" s="57" t="str">
        <v/>
      </c>
      <c r="BG8" s="57" t="str">
        <v/>
      </c>
      <c r="BH8" s="57" t="str">
        <v/>
      </c>
      <c r="BI8" s="57" t="str">
        <v/>
      </c>
      <c r="BJ8" s="57" t="str">
        <v/>
      </c>
      <c r="BK8" s="57" t="str">
        <v/>
      </c>
      <c r="BL8" s="57" t="str">
        <v/>
      </c>
      <c r="BM8" s="57" t="str">
        <v/>
      </c>
      <c r="BN8" s="57" t="str">
        <v/>
      </c>
      <c r="BO8" s="57" t="str">
        <v/>
      </c>
      <c r="BP8" s="57" t="str">
        <v/>
      </c>
      <c r="BQ8" s="57" t="str">
        <v/>
      </c>
      <c r="BR8" s="57" t="str">
        <v/>
      </c>
      <c r="BS8" s="57" t="str">
        <v/>
      </c>
      <c r="BU8" s="61"/>
      <c r="BV8" s="62"/>
      <c r="BW8" s="57" t="str">
        <v/>
      </c>
      <c r="BX8" s="57" t="str">
        <v/>
      </c>
      <c r="BY8" s="57" t="str">
        <v/>
      </c>
      <c r="BZ8" s="57" t="str">
        <v/>
      </c>
      <c r="CA8" s="57" t="str">
        <v/>
      </c>
      <c r="CB8" s="57" t="str">
        <v/>
      </c>
      <c r="CC8" s="57" t="str">
        <v/>
      </c>
      <c r="CD8" s="57" t="str">
        <v/>
      </c>
      <c r="CE8" s="57" t="str">
        <v/>
      </c>
      <c r="CF8" s="57" t="str">
        <v/>
      </c>
      <c r="CG8" s="57" t="str">
        <v/>
      </c>
      <c r="CH8" s="57" t="str">
        <v/>
      </c>
      <c r="CI8" s="57" t="str">
        <v/>
      </c>
      <c r="CJ8" s="57" t="str">
        <v/>
      </c>
      <c r="CK8" s="57" t="str">
        <v/>
      </c>
      <c r="CL8" s="57" t="str">
        <v/>
      </c>
      <c r="CM8" s="57" t="str">
        <v/>
      </c>
      <c r="CN8" s="57" t="str">
        <v/>
      </c>
      <c r="CO8" s="57" t="str">
        <v/>
      </c>
      <c r="CP8" s="57" t="str">
        <v/>
      </c>
      <c r="CQ8" s="57" t="str">
        <v/>
      </c>
      <c r="CR8" s="57" t="str">
        <v/>
      </c>
      <c r="CS8" s="57" t="str">
        <v/>
      </c>
      <c r="CT8" s="57" t="str">
        <v/>
      </c>
      <c r="CU8" s="57" t="str">
        <v/>
      </c>
      <c r="CV8" s="57" t="str">
        <v/>
      </c>
      <c r="CW8" s="57" t="str">
        <v/>
      </c>
      <c r="CX8" s="57" t="str">
        <v/>
      </c>
      <c r="CY8" s="57" t="str">
        <v/>
      </c>
      <c r="CZ8" s="57" t="str">
        <v/>
      </c>
      <c r="DA8" s="57" t="str">
        <v/>
      </c>
      <c r="DB8" s="57" t="str">
        <v/>
      </c>
      <c r="DC8" s="57" t="str">
        <v/>
      </c>
    </row>
    <row r="9" spans="1:107">
      <c r="A9" s="55"/>
      <c r="B9" s="56"/>
      <c r="C9" s="66" t="str">
        <v/>
      </c>
      <c r="D9" s="66" t="str">
        <v/>
      </c>
      <c r="E9" s="66" t="str">
        <v/>
      </c>
      <c r="F9" s="66" t="str">
        <v/>
      </c>
      <c r="G9" s="66" t="str">
        <v/>
      </c>
      <c r="H9" s="66" t="str">
        <v/>
      </c>
      <c r="I9" s="66" t="str">
        <v/>
      </c>
      <c r="J9" s="66" t="str">
        <v/>
      </c>
      <c r="K9" s="66" t="str">
        <v/>
      </c>
      <c r="L9" s="66" t="str">
        <v/>
      </c>
      <c r="M9" s="66" t="str">
        <v/>
      </c>
      <c r="N9" s="66" t="str">
        <v/>
      </c>
      <c r="O9" s="66" t="str">
        <v/>
      </c>
      <c r="P9" s="66" t="str">
        <v/>
      </c>
      <c r="Q9" s="66" t="str">
        <v/>
      </c>
      <c r="R9" s="66" t="str">
        <v/>
      </c>
      <c r="S9" s="66" t="str">
        <v/>
      </c>
      <c r="T9" s="66" t="str">
        <v/>
      </c>
      <c r="U9" s="66" t="str">
        <v/>
      </c>
      <c r="V9" s="66" t="str">
        <v/>
      </c>
      <c r="W9" s="66" t="str">
        <v/>
      </c>
      <c r="X9" s="66" t="str">
        <v/>
      </c>
      <c r="Y9" s="66" t="str">
        <v/>
      </c>
      <c r="Z9" s="66" t="str">
        <v/>
      </c>
      <c r="AA9" s="66" t="str">
        <v/>
      </c>
      <c r="AB9" s="66" t="str">
        <v/>
      </c>
      <c r="AC9" s="66" t="str">
        <v/>
      </c>
      <c r="AD9" s="66" t="str">
        <v/>
      </c>
      <c r="AE9" s="66" t="str">
        <v/>
      </c>
      <c r="AF9" s="66" t="str">
        <v/>
      </c>
      <c r="AG9" s="66" t="str">
        <v/>
      </c>
      <c r="AH9" s="66" t="str">
        <v/>
      </c>
      <c r="AI9" s="66" t="str">
        <v/>
      </c>
      <c r="AK9" s="55"/>
      <c r="AL9" s="56"/>
      <c r="AM9" s="66" t="str">
        <v/>
      </c>
      <c r="AN9" s="66" t="str">
        <v/>
      </c>
      <c r="AO9" s="66" t="str">
        <v/>
      </c>
      <c r="AP9" s="66" t="str">
        <v/>
      </c>
      <c r="AQ9" s="66" t="str">
        <v/>
      </c>
      <c r="AR9" s="66" t="str">
        <v/>
      </c>
      <c r="AS9" s="66" t="str">
        <v/>
      </c>
      <c r="AT9" s="66" t="str">
        <v/>
      </c>
      <c r="AU9" s="66" t="str">
        <v/>
      </c>
      <c r="AV9" s="66" t="str">
        <v/>
      </c>
      <c r="AW9" s="66" t="str">
        <v/>
      </c>
      <c r="AX9" s="66" t="str">
        <v/>
      </c>
      <c r="AY9" s="66" t="str">
        <v/>
      </c>
      <c r="AZ9" s="66" t="str">
        <v/>
      </c>
      <c r="BA9" s="66" t="str">
        <v/>
      </c>
      <c r="BB9" s="66" t="str">
        <v/>
      </c>
      <c r="BC9" s="66" t="str">
        <v/>
      </c>
      <c r="BD9" s="66" t="str">
        <v/>
      </c>
      <c r="BE9" s="66" t="str">
        <v/>
      </c>
      <c r="BF9" s="66" t="str">
        <v/>
      </c>
      <c r="BG9" s="66" t="str">
        <v/>
      </c>
      <c r="BH9" s="66" t="str">
        <v/>
      </c>
      <c r="BI9" s="66" t="str">
        <v/>
      </c>
      <c r="BJ9" s="66" t="str">
        <v/>
      </c>
      <c r="BK9" s="66" t="str">
        <v/>
      </c>
      <c r="BL9" s="66" t="str">
        <v/>
      </c>
      <c r="BM9" s="66" t="str">
        <v/>
      </c>
      <c r="BN9" s="66" t="str">
        <v/>
      </c>
      <c r="BO9" s="66" t="str">
        <v/>
      </c>
      <c r="BP9" s="66" t="str">
        <v/>
      </c>
      <c r="BQ9" s="66" t="str">
        <v/>
      </c>
      <c r="BR9" s="66" t="str">
        <v/>
      </c>
      <c r="BS9" s="66" t="str">
        <v/>
      </c>
      <c r="BU9" s="55"/>
      <c r="BV9" s="56"/>
      <c r="BW9" s="66" t="str">
        <v/>
      </c>
      <c r="BX9" s="66" t="str">
        <v/>
      </c>
      <c r="BY9" s="66" t="str">
        <v/>
      </c>
      <c r="BZ9" s="66" t="str">
        <v/>
      </c>
      <c r="CA9" s="66" t="str">
        <v/>
      </c>
      <c r="CB9" s="66" t="str">
        <v/>
      </c>
      <c r="CC9" s="66" t="str">
        <v/>
      </c>
      <c r="CD9" s="66" t="str">
        <v/>
      </c>
      <c r="CE9" s="66" t="str">
        <v/>
      </c>
      <c r="CF9" s="66" t="str">
        <v/>
      </c>
      <c r="CG9" s="66" t="str">
        <v/>
      </c>
      <c r="CH9" s="66" t="str">
        <v/>
      </c>
      <c r="CI9" s="66" t="str">
        <v/>
      </c>
      <c r="CJ9" s="66" t="str">
        <v/>
      </c>
      <c r="CK9" s="66" t="str">
        <v/>
      </c>
      <c r="CL9" s="66" t="str">
        <v/>
      </c>
      <c r="CM9" s="66" t="str">
        <v/>
      </c>
      <c r="CN9" s="66" t="str">
        <v/>
      </c>
      <c r="CO9" s="66" t="str">
        <v/>
      </c>
      <c r="CP9" s="66" t="str">
        <v/>
      </c>
      <c r="CQ9" s="66" t="str">
        <v/>
      </c>
      <c r="CR9" s="66" t="str">
        <v/>
      </c>
      <c r="CS9" s="66" t="str">
        <v/>
      </c>
      <c r="CT9" s="66" t="str">
        <v/>
      </c>
      <c r="CU9" s="66" t="str">
        <v/>
      </c>
      <c r="CV9" s="66" t="str">
        <v/>
      </c>
      <c r="CW9" s="66" t="str">
        <v/>
      </c>
      <c r="CX9" s="66" t="str">
        <v/>
      </c>
      <c r="CY9" s="66" t="str">
        <v/>
      </c>
      <c r="CZ9" s="66" t="str">
        <v/>
      </c>
      <c r="DA9" s="66" t="str">
        <v/>
      </c>
      <c r="DB9" s="66" t="str">
        <v/>
      </c>
      <c r="DC9" s="66" t="str">
        <v/>
      </c>
    </row>
    <row r="10" spans="1:107">
      <c r="A10" s="7" t="s">
        <v>3</v>
      </c>
      <c r="B10" s="1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K10" s="7" t="s">
        <v>3</v>
      </c>
      <c r="AL10" s="1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80"/>
      <c r="BL10" s="80"/>
      <c r="BM10" s="80"/>
      <c r="BN10" s="80"/>
      <c r="BO10" s="80"/>
      <c r="BP10" s="80"/>
      <c r="BQ10" s="80"/>
      <c r="BR10" s="80"/>
      <c r="BS10" s="80"/>
      <c r="BU10" s="7" t="s">
        <v>3</v>
      </c>
      <c r="BV10" s="10"/>
      <c r="BW10" s="80"/>
      <c r="BX10" s="80"/>
      <c r="BY10" s="80"/>
      <c r="BZ10" s="80"/>
      <c r="CA10" s="80"/>
      <c r="CB10" s="80"/>
      <c r="CC10" s="80"/>
      <c r="CD10" s="80"/>
      <c r="CE10" s="80"/>
      <c r="CF10" s="80"/>
      <c r="CG10" s="80"/>
      <c r="CH10" s="80"/>
      <c r="CI10" s="80"/>
      <c r="CJ10" s="80"/>
      <c r="CK10" s="80"/>
      <c r="CL10" s="80"/>
      <c r="CM10" s="80"/>
      <c r="CN10" s="80"/>
      <c r="CO10" s="80"/>
      <c r="CP10" s="80"/>
      <c r="CQ10" s="80"/>
      <c r="CR10" s="80"/>
      <c r="CS10" s="80"/>
      <c r="CT10" s="80"/>
      <c r="CU10" s="80"/>
      <c r="CV10" s="80"/>
      <c r="CW10" s="80"/>
      <c r="CX10" s="80"/>
      <c r="CY10" s="80"/>
      <c r="CZ10" s="80"/>
      <c r="DA10" s="80"/>
      <c r="DB10" s="80"/>
      <c r="DC10" s="80"/>
    </row>
    <row r="11" spans="1:107">
      <c r="A11" s="75"/>
      <c r="B11" s="11" t="s">
        <v>154</v>
      </c>
      <c r="C11" s="112">
        <f>EOMONTH($A$1,-1)</f>
        <v>46265</v>
      </c>
      <c r="D11" s="112">
        <f t="shared" ref="D11:AI11" si="0">C11+1</f>
        <v>46266</v>
      </c>
      <c r="E11" s="112">
        <f t="shared" si="0"/>
        <v>46267</v>
      </c>
      <c r="F11" s="112">
        <f t="shared" si="0"/>
        <v>46268</v>
      </c>
      <c r="G11" s="112">
        <f t="shared" si="0"/>
        <v>46269</v>
      </c>
      <c r="H11" s="112">
        <f t="shared" si="0"/>
        <v>46270</v>
      </c>
      <c r="I11" s="112">
        <f t="shared" si="0"/>
        <v>46271</v>
      </c>
      <c r="J11" s="112">
        <f t="shared" si="0"/>
        <v>46272</v>
      </c>
      <c r="K11" s="112">
        <f t="shared" si="0"/>
        <v>46273</v>
      </c>
      <c r="L11" s="112">
        <f t="shared" si="0"/>
        <v>46274</v>
      </c>
      <c r="M11" s="112">
        <f t="shared" si="0"/>
        <v>46275</v>
      </c>
      <c r="N11" s="112">
        <f t="shared" si="0"/>
        <v>46276</v>
      </c>
      <c r="O11" s="112">
        <f t="shared" si="0"/>
        <v>46277</v>
      </c>
      <c r="P11" s="112">
        <f t="shared" si="0"/>
        <v>46278</v>
      </c>
      <c r="Q11" s="112">
        <f t="shared" si="0"/>
        <v>46279</v>
      </c>
      <c r="R11" s="112">
        <f t="shared" si="0"/>
        <v>46280</v>
      </c>
      <c r="S11" s="112">
        <f t="shared" si="0"/>
        <v>46281</v>
      </c>
      <c r="T11" s="112">
        <f t="shared" si="0"/>
        <v>46282</v>
      </c>
      <c r="U11" s="112">
        <f t="shared" si="0"/>
        <v>46283</v>
      </c>
      <c r="V11" s="112">
        <f t="shared" si="0"/>
        <v>46284</v>
      </c>
      <c r="W11" s="112">
        <f t="shared" si="0"/>
        <v>46285</v>
      </c>
      <c r="X11" s="112">
        <f t="shared" si="0"/>
        <v>46286</v>
      </c>
      <c r="Y11" s="112">
        <f t="shared" si="0"/>
        <v>46287</v>
      </c>
      <c r="Z11" s="112">
        <f t="shared" si="0"/>
        <v>46288</v>
      </c>
      <c r="AA11" s="112">
        <f t="shared" si="0"/>
        <v>46289</v>
      </c>
      <c r="AB11" s="112">
        <f t="shared" si="0"/>
        <v>46290</v>
      </c>
      <c r="AC11" s="112">
        <f t="shared" si="0"/>
        <v>46291</v>
      </c>
      <c r="AD11" s="112">
        <f t="shared" si="0"/>
        <v>46292</v>
      </c>
      <c r="AE11" s="112">
        <f t="shared" si="0"/>
        <v>46293</v>
      </c>
      <c r="AF11" s="112">
        <f t="shared" si="0"/>
        <v>46294</v>
      </c>
      <c r="AG11" s="112">
        <f t="shared" si="0"/>
        <v>46295</v>
      </c>
      <c r="AH11" s="112">
        <f t="shared" si="0"/>
        <v>46296</v>
      </c>
      <c r="AI11" s="112">
        <f t="shared" si="0"/>
        <v>46297</v>
      </c>
      <c r="AK11" s="75"/>
      <c r="AL11" s="11" t="s">
        <v>154</v>
      </c>
      <c r="AM11" s="112">
        <f>EOMONTH($A$1,-1)</f>
        <v>46265</v>
      </c>
      <c r="AN11" s="112">
        <f t="shared" ref="AN11" si="1">AM11+1</f>
        <v>46266</v>
      </c>
      <c r="AO11" s="112">
        <f t="shared" ref="AO11" si="2">AN11+1</f>
        <v>46267</v>
      </c>
      <c r="AP11" s="112">
        <f t="shared" ref="AP11" si="3">AO11+1</f>
        <v>46268</v>
      </c>
      <c r="AQ11" s="112">
        <f t="shared" ref="AQ11" si="4">AP11+1</f>
        <v>46269</v>
      </c>
      <c r="AR11" s="112">
        <f t="shared" ref="AR11" si="5">AQ11+1</f>
        <v>46270</v>
      </c>
      <c r="AS11" s="112">
        <f t="shared" ref="AS11" si="6">AR11+1</f>
        <v>46271</v>
      </c>
      <c r="AT11" s="112">
        <f t="shared" ref="AT11" si="7">AS11+1</f>
        <v>46272</v>
      </c>
      <c r="AU11" s="112">
        <f t="shared" ref="AU11" si="8">AT11+1</f>
        <v>46273</v>
      </c>
      <c r="AV11" s="112">
        <f t="shared" ref="AV11" si="9">AU11+1</f>
        <v>46274</v>
      </c>
      <c r="AW11" s="112">
        <f t="shared" ref="AW11" si="10">AV11+1</f>
        <v>46275</v>
      </c>
      <c r="AX11" s="112">
        <f t="shared" ref="AX11" si="11">AW11+1</f>
        <v>46276</v>
      </c>
      <c r="AY11" s="112">
        <f t="shared" ref="AY11" si="12">AX11+1</f>
        <v>46277</v>
      </c>
      <c r="AZ11" s="112">
        <f t="shared" ref="AZ11" si="13">AY11+1</f>
        <v>46278</v>
      </c>
      <c r="BA11" s="112">
        <f t="shared" ref="BA11" si="14">AZ11+1</f>
        <v>46279</v>
      </c>
      <c r="BB11" s="112">
        <f t="shared" ref="BB11" si="15">BA11+1</f>
        <v>46280</v>
      </c>
      <c r="BC11" s="112">
        <f t="shared" ref="BC11" si="16">BB11+1</f>
        <v>46281</v>
      </c>
      <c r="BD11" s="112">
        <f t="shared" ref="BD11" si="17">BC11+1</f>
        <v>46282</v>
      </c>
      <c r="BE11" s="112">
        <f t="shared" ref="BE11" si="18">BD11+1</f>
        <v>46283</v>
      </c>
      <c r="BF11" s="112">
        <f t="shared" ref="BF11" si="19">BE11+1</f>
        <v>46284</v>
      </c>
      <c r="BG11" s="112">
        <f t="shared" ref="BG11" si="20">BF11+1</f>
        <v>46285</v>
      </c>
      <c r="BH11" s="112">
        <f t="shared" ref="BH11" si="21">BG11+1</f>
        <v>46286</v>
      </c>
      <c r="BI11" s="112">
        <f t="shared" ref="BI11" si="22">BH11+1</f>
        <v>46287</v>
      </c>
      <c r="BJ11" s="112">
        <f t="shared" ref="BJ11" si="23">BI11+1</f>
        <v>46288</v>
      </c>
      <c r="BK11" s="112">
        <f t="shared" ref="BK11" si="24">BJ11+1</f>
        <v>46289</v>
      </c>
      <c r="BL11" s="112">
        <f t="shared" ref="BL11" si="25">BK11+1</f>
        <v>46290</v>
      </c>
      <c r="BM11" s="112">
        <f t="shared" ref="BM11" si="26">BL11+1</f>
        <v>46291</v>
      </c>
      <c r="BN11" s="112">
        <f t="shared" ref="BN11" si="27">BM11+1</f>
        <v>46292</v>
      </c>
      <c r="BO11" s="112">
        <f t="shared" ref="BO11" si="28">BN11+1</f>
        <v>46293</v>
      </c>
      <c r="BP11" s="112">
        <f t="shared" ref="BP11" si="29">BO11+1</f>
        <v>46294</v>
      </c>
      <c r="BQ11" s="112">
        <f t="shared" ref="BQ11" si="30">BP11+1</f>
        <v>46295</v>
      </c>
      <c r="BR11" s="112">
        <f t="shared" ref="BR11" si="31">BQ11+1</f>
        <v>46296</v>
      </c>
      <c r="BS11" s="112">
        <f t="shared" ref="BS11" si="32">BR11+1</f>
        <v>46297</v>
      </c>
      <c r="BU11" s="75"/>
      <c r="BV11" s="11" t="s">
        <v>154</v>
      </c>
      <c r="BW11" s="112">
        <f>EOMONTH($A$1,-1)</f>
        <v>46265</v>
      </c>
      <c r="BX11" s="112">
        <f t="shared" ref="BX11" si="33">BW11+1</f>
        <v>46266</v>
      </c>
      <c r="BY11" s="112">
        <f t="shared" ref="BY11" si="34">BX11+1</f>
        <v>46267</v>
      </c>
      <c r="BZ11" s="112">
        <f t="shared" ref="BZ11" si="35">BY11+1</f>
        <v>46268</v>
      </c>
      <c r="CA11" s="112">
        <f t="shared" ref="CA11" si="36">BZ11+1</f>
        <v>46269</v>
      </c>
      <c r="CB11" s="112">
        <f t="shared" ref="CB11" si="37">CA11+1</f>
        <v>46270</v>
      </c>
      <c r="CC11" s="112">
        <f t="shared" ref="CC11" si="38">CB11+1</f>
        <v>46271</v>
      </c>
      <c r="CD11" s="112">
        <f t="shared" ref="CD11" si="39">CC11+1</f>
        <v>46272</v>
      </c>
      <c r="CE11" s="112">
        <f t="shared" ref="CE11" si="40">CD11+1</f>
        <v>46273</v>
      </c>
      <c r="CF11" s="112">
        <f t="shared" ref="CF11" si="41">CE11+1</f>
        <v>46274</v>
      </c>
      <c r="CG11" s="112">
        <f t="shared" ref="CG11" si="42">CF11+1</f>
        <v>46275</v>
      </c>
      <c r="CH11" s="112">
        <f t="shared" ref="CH11" si="43">CG11+1</f>
        <v>46276</v>
      </c>
      <c r="CI11" s="112">
        <f t="shared" ref="CI11" si="44">CH11+1</f>
        <v>46277</v>
      </c>
      <c r="CJ11" s="112">
        <f t="shared" ref="CJ11" si="45">CI11+1</f>
        <v>46278</v>
      </c>
      <c r="CK11" s="112">
        <f t="shared" ref="CK11" si="46">CJ11+1</f>
        <v>46279</v>
      </c>
      <c r="CL11" s="112">
        <f t="shared" ref="CL11" si="47">CK11+1</f>
        <v>46280</v>
      </c>
      <c r="CM11" s="112">
        <f t="shared" ref="CM11" si="48">CL11+1</f>
        <v>46281</v>
      </c>
      <c r="CN11" s="112">
        <f t="shared" ref="CN11" si="49">CM11+1</f>
        <v>46282</v>
      </c>
      <c r="CO11" s="112">
        <f t="shared" ref="CO11" si="50">CN11+1</f>
        <v>46283</v>
      </c>
      <c r="CP11" s="112">
        <f t="shared" ref="CP11" si="51">CO11+1</f>
        <v>46284</v>
      </c>
      <c r="CQ11" s="112">
        <f t="shared" ref="CQ11" si="52">CP11+1</f>
        <v>46285</v>
      </c>
      <c r="CR11" s="112">
        <f t="shared" ref="CR11" si="53">CQ11+1</f>
        <v>46286</v>
      </c>
      <c r="CS11" s="112">
        <f t="shared" ref="CS11" si="54">CR11+1</f>
        <v>46287</v>
      </c>
      <c r="CT11" s="112">
        <f t="shared" ref="CT11" si="55">CS11+1</f>
        <v>46288</v>
      </c>
      <c r="CU11" s="112">
        <f t="shared" ref="CU11" si="56">CT11+1</f>
        <v>46289</v>
      </c>
      <c r="CV11" s="112">
        <f t="shared" ref="CV11" si="57">CU11+1</f>
        <v>46290</v>
      </c>
      <c r="CW11" s="112">
        <f t="shared" ref="CW11" si="58">CV11+1</f>
        <v>46291</v>
      </c>
      <c r="CX11" s="112">
        <f t="shared" ref="CX11" si="59">CW11+1</f>
        <v>46292</v>
      </c>
      <c r="CY11" s="112">
        <f t="shared" ref="CY11" si="60">CX11+1</f>
        <v>46293</v>
      </c>
      <c r="CZ11" s="112">
        <f t="shared" ref="CZ11" si="61">CY11+1</f>
        <v>46294</v>
      </c>
      <c r="DA11" s="112">
        <f t="shared" ref="DA11" si="62">CZ11+1</f>
        <v>46295</v>
      </c>
      <c r="DB11" s="112">
        <f t="shared" ref="DB11" si="63">DA11+1</f>
        <v>46296</v>
      </c>
      <c r="DC11" s="112">
        <f t="shared" ref="DC11" si="64">DB11+1</f>
        <v>46297</v>
      </c>
    </row>
    <row r="12" spans="1:107">
      <c r="A12" s="75" t="s">
        <v>38</v>
      </c>
      <c r="B12" s="188"/>
      <c r="C12" s="78"/>
      <c r="D12" s="78"/>
      <c r="E12" s="78"/>
      <c r="F12" s="76"/>
      <c r="G12" s="77"/>
      <c r="H12" s="77"/>
      <c r="I12" s="76"/>
      <c r="J12" s="78"/>
      <c r="K12" s="78"/>
      <c r="L12" s="18"/>
      <c r="M12" s="80"/>
      <c r="N12" s="77"/>
      <c r="O12" s="77"/>
      <c r="P12" s="76"/>
      <c r="Q12" s="78"/>
      <c r="R12" s="78"/>
      <c r="S12" s="18"/>
      <c r="T12" s="80"/>
      <c r="U12" s="77"/>
      <c r="V12" s="77"/>
      <c r="W12" s="78"/>
      <c r="X12" s="78"/>
      <c r="Y12" s="78"/>
      <c r="Z12" s="18"/>
      <c r="AA12" s="80"/>
      <c r="AB12" s="77"/>
      <c r="AC12" s="77"/>
      <c r="AD12" s="78"/>
      <c r="AE12" s="78"/>
      <c r="AF12" s="78"/>
      <c r="AG12" s="18"/>
      <c r="AH12" s="80"/>
      <c r="AI12" s="77"/>
      <c r="AK12" s="75" t="s">
        <v>38</v>
      </c>
      <c r="AL12" s="188"/>
      <c r="AM12" s="78"/>
      <c r="AN12" s="78"/>
      <c r="AO12" s="78"/>
      <c r="AP12" s="76"/>
      <c r="AQ12" s="77"/>
      <c r="AR12" s="77"/>
      <c r="AS12" s="76"/>
      <c r="AT12" s="78"/>
      <c r="AU12" s="78"/>
      <c r="AV12" s="18"/>
      <c r="AW12" s="80"/>
      <c r="AX12" s="77"/>
      <c r="AY12" s="77"/>
      <c r="AZ12" s="76"/>
      <c r="BA12" s="78"/>
      <c r="BB12" s="78"/>
      <c r="BC12" s="18"/>
      <c r="BD12" s="80"/>
      <c r="BE12" s="77"/>
      <c r="BF12" s="77"/>
      <c r="BG12" s="78"/>
      <c r="BH12" s="78"/>
      <c r="BI12" s="78"/>
      <c r="BJ12" s="18"/>
      <c r="BK12" s="80"/>
      <c r="BL12" s="77"/>
      <c r="BM12" s="77"/>
      <c r="BN12" s="78"/>
      <c r="BO12" s="78"/>
      <c r="BP12" s="78"/>
      <c r="BQ12" s="18"/>
      <c r="BR12" s="80"/>
      <c r="BS12" s="77"/>
      <c r="BU12" s="75" t="s">
        <v>38</v>
      </c>
      <c r="BV12" s="188"/>
      <c r="BW12" s="78"/>
      <c r="BX12" s="78"/>
      <c r="BY12" s="78"/>
      <c r="BZ12" s="76"/>
      <c r="CA12" s="77"/>
      <c r="CB12" s="77"/>
      <c r="CC12" s="76"/>
      <c r="CD12" s="78"/>
      <c r="CE12" s="78"/>
      <c r="CF12" s="18"/>
      <c r="CG12" s="80"/>
      <c r="CH12" s="77"/>
      <c r="CI12" s="77"/>
      <c r="CJ12" s="76"/>
      <c r="CK12" s="78"/>
      <c r="CL12" s="78"/>
      <c r="CM12" s="18"/>
      <c r="CN12" s="80"/>
      <c r="CO12" s="77"/>
      <c r="CP12" s="77"/>
      <c r="CQ12" s="78"/>
      <c r="CR12" s="78"/>
      <c r="CS12" s="78"/>
      <c r="CT12" s="18"/>
      <c r="CU12" s="80"/>
      <c r="CV12" s="77"/>
      <c r="CW12" s="77"/>
      <c r="CX12" s="78"/>
      <c r="CY12" s="78"/>
      <c r="CZ12" s="78"/>
      <c r="DA12" s="18"/>
      <c r="DB12" s="80"/>
      <c r="DC12" s="77"/>
    </row>
    <row r="13" spans="1:107">
      <c r="A13" s="75" t="s">
        <v>39</v>
      </c>
      <c r="B13" s="189"/>
      <c r="C13" s="78"/>
      <c r="D13" s="78"/>
      <c r="E13" s="78"/>
      <c r="F13" s="78"/>
      <c r="G13" s="77"/>
      <c r="H13" s="77"/>
      <c r="I13" s="78"/>
      <c r="J13" s="78"/>
      <c r="K13" s="78"/>
      <c r="L13" s="78"/>
      <c r="M13" s="78"/>
      <c r="N13" s="77"/>
      <c r="O13" s="77"/>
      <c r="P13" s="78"/>
      <c r="Q13" s="78"/>
      <c r="R13" s="78"/>
      <c r="S13" s="78"/>
      <c r="T13" s="78"/>
      <c r="U13" s="77"/>
      <c r="V13" s="77"/>
      <c r="W13" s="84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K13" s="75" t="s">
        <v>39</v>
      </c>
      <c r="AL13" s="189"/>
      <c r="AM13" s="78"/>
      <c r="AN13" s="78"/>
      <c r="AO13" s="78"/>
      <c r="AP13" s="78"/>
      <c r="AQ13" s="77"/>
      <c r="AR13" s="77"/>
      <c r="AS13" s="78"/>
      <c r="AT13" s="78"/>
      <c r="AU13" s="78"/>
      <c r="AV13" s="78"/>
      <c r="AW13" s="78"/>
      <c r="AX13" s="77"/>
      <c r="AY13" s="77"/>
      <c r="AZ13" s="78"/>
      <c r="BA13" s="78"/>
      <c r="BB13" s="78"/>
      <c r="BC13" s="78"/>
      <c r="BD13" s="78"/>
      <c r="BE13" s="77"/>
      <c r="BF13" s="77"/>
      <c r="BG13" s="84"/>
      <c r="BH13" s="86"/>
      <c r="BI13" s="86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U13" s="75" t="s">
        <v>39</v>
      </c>
      <c r="BV13" s="189"/>
      <c r="BW13" s="78"/>
      <c r="BX13" s="78"/>
      <c r="BY13" s="78"/>
      <c r="BZ13" s="78"/>
      <c r="CA13" s="77"/>
      <c r="CB13" s="77"/>
      <c r="CC13" s="78"/>
      <c r="CD13" s="78"/>
      <c r="CE13" s="78"/>
      <c r="CF13" s="78"/>
      <c r="CG13" s="78"/>
      <c r="CH13" s="77"/>
      <c r="CI13" s="77"/>
      <c r="CJ13" s="78"/>
      <c r="CK13" s="78"/>
      <c r="CL13" s="78"/>
      <c r="CM13" s="78"/>
      <c r="CN13" s="78"/>
      <c r="CO13" s="77"/>
      <c r="CP13" s="77"/>
      <c r="CQ13" s="84"/>
      <c r="CR13" s="86"/>
      <c r="CS13" s="86"/>
      <c r="CT13" s="86"/>
      <c r="CU13" s="86"/>
      <c r="CV13" s="86"/>
      <c r="CW13" s="86"/>
      <c r="CX13" s="86"/>
      <c r="CY13" s="86"/>
      <c r="CZ13" s="86"/>
      <c r="DA13" s="86"/>
      <c r="DB13" s="86"/>
      <c r="DC13" s="86"/>
    </row>
    <row r="14" spans="1:107">
      <c r="A14" s="75" t="s">
        <v>40</v>
      </c>
      <c r="B14" s="189"/>
      <c r="C14" s="78"/>
      <c r="D14" s="78"/>
      <c r="E14" s="78"/>
      <c r="F14" s="78"/>
      <c r="G14" s="77"/>
      <c r="H14" s="77"/>
      <c r="I14" s="78"/>
      <c r="J14" s="78"/>
      <c r="K14" s="78"/>
      <c r="L14" s="78"/>
      <c r="M14" s="78"/>
      <c r="N14" s="77"/>
      <c r="O14" s="77"/>
      <c r="P14" s="78"/>
      <c r="Q14" s="78"/>
      <c r="R14" s="78"/>
      <c r="S14" s="78"/>
      <c r="T14" s="78"/>
      <c r="U14" s="77"/>
      <c r="V14" s="77"/>
      <c r="W14" s="78"/>
      <c r="X14" s="78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K14" s="75" t="s">
        <v>40</v>
      </c>
      <c r="AL14" s="189"/>
      <c r="AM14" s="78"/>
      <c r="AN14" s="78"/>
      <c r="AO14" s="78"/>
      <c r="AP14" s="78"/>
      <c r="AQ14" s="77"/>
      <c r="AR14" s="77"/>
      <c r="AS14" s="78"/>
      <c r="AT14" s="78"/>
      <c r="AU14" s="78"/>
      <c r="AV14" s="78"/>
      <c r="AW14" s="78"/>
      <c r="AX14" s="77"/>
      <c r="AY14" s="77"/>
      <c r="AZ14" s="78"/>
      <c r="BA14" s="78"/>
      <c r="BB14" s="78"/>
      <c r="BC14" s="78"/>
      <c r="BD14" s="78"/>
      <c r="BE14" s="77"/>
      <c r="BF14" s="77"/>
      <c r="BG14" s="78"/>
      <c r="BH14" s="78"/>
      <c r="BI14" s="86"/>
      <c r="BJ14" s="86"/>
      <c r="BK14" s="86"/>
      <c r="BL14" s="86"/>
      <c r="BM14" s="86"/>
      <c r="BN14" s="86"/>
      <c r="BO14" s="86"/>
      <c r="BP14" s="86"/>
      <c r="BQ14" s="86"/>
      <c r="BR14" s="86"/>
      <c r="BS14" s="86"/>
      <c r="BU14" s="75" t="s">
        <v>40</v>
      </c>
      <c r="BV14" s="189"/>
      <c r="BW14" s="78"/>
      <c r="BX14" s="78"/>
      <c r="BY14" s="78"/>
      <c r="BZ14" s="78"/>
      <c r="CA14" s="77"/>
      <c r="CB14" s="77"/>
      <c r="CC14" s="78"/>
      <c r="CD14" s="78"/>
      <c r="CE14" s="78"/>
      <c r="CF14" s="78"/>
      <c r="CG14" s="78"/>
      <c r="CH14" s="77"/>
      <c r="CI14" s="77"/>
      <c r="CJ14" s="78"/>
      <c r="CK14" s="78"/>
      <c r="CL14" s="78"/>
      <c r="CM14" s="78"/>
      <c r="CN14" s="78"/>
      <c r="CO14" s="77"/>
      <c r="CP14" s="77"/>
      <c r="CQ14" s="78"/>
      <c r="CR14" s="78"/>
      <c r="CS14" s="86"/>
      <c r="CT14" s="86"/>
      <c r="CU14" s="86"/>
      <c r="CV14" s="86"/>
      <c r="CW14" s="86"/>
      <c r="CX14" s="86"/>
      <c r="CY14" s="86"/>
      <c r="CZ14" s="86"/>
      <c r="DA14" s="86"/>
      <c r="DB14" s="86"/>
      <c r="DC14" s="86"/>
    </row>
    <row r="15" spans="1:107">
      <c r="A15" s="75" t="s">
        <v>41</v>
      </c>
      <c r="B15" s="189"/>
      <c r="C15" s="78"/>
      <c r="D15" s="78"/>
      <c r="E15" s="78"/>
      <c r="F15" s="78"/>
      <c r="G15" s="77"/>
      <c r="H15" s="77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4"/>
      <c r="AC15" s="86"/>
      <c r="AD15" s="86"/>
      <c r="AE15" s="84"/>
      <c r="AF15" s="86"/>
      <c r="AG15" s="86"/>
      <c r="AH15" s="84"/>
      <c r="AI15" s="86"/>
      <c r="AK15" s="75" t="s">
        <v>41</v>
      </c>
      <c r="AL15" s="189"/>
      <c r="AM15" s="78"/>
      <c r="AN15" s="78"/>
      <c r="AO15" s="78"/>
      <c r="AP15" s="78"/>
      <c r="AQ15" s="77"/>
      <c r="AR15" s="77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6"/>
      <c r="BF15" s="86"/>
      <c r="BG15" s="86"/>
      <c r="BH15" s="86"/>
      <c r="BI15" s="86"/>
      <c r="BJ15" s="86"/>
      <c r="BK15" s="86"/>
      <c r="BL15" s="84"/>
      <c r="BM15" s="86"/>
      <c r="BN15" s="86"/>
      <c r="BO15" s="84"/>
      <c r="BP15" s="86"/>
      <c r="BQ15" s="86"/>
      <c r="BR15" s="84"/>
      <c r="BS15" s="86"/>
      <c r="BU15" s="75" t="s">
        <v>41</v>
      </c>
      <c r="BV15" s="189"/>
      <c r="BW15" s="78"/>
      <c r="BX15" s="78"/>
      <c r="BY15" s="78"/>
      <c r="BZ15" s="78"/>
      <c r="CA15" s="77"/>
      <c r="CB15" s="77"/>
      <c r="CC15" s="86"/>
      <c r="CD15" s="86"/>
      <c r="CE15" s="86"/>
      <c r="CF15" s="86"/>
      <c r="CG15" s="86"/>
      <c r="CH15" s="86"/>
      <c r="CI15" s="86"/>
      <c r="CJ15" s="86"/>
      <c r="CK15" s="86"/>
      <c r="CL15" s="86"/>
      <c r="CM15" s="86"/>
      <c r="CN15" s="86"/>
      <c r="CO15" s="86"/>
      <c r="CP15" s="86"/>
      <c r="CQ15" s="86"/>
      <c r="CR15" s="86"/>
      <c r="CS15" s="86"/>
      <c r="CT15" s="86"/>
      <c r="CU15" s="86"/>
      <c r="CV15" s="84"/>
      <c r="CW15" s="86"/>
      <c r="CX15" s="86"/>
      <c r="CY15" s="84"/>
      <c r="CZ15" s="86"/>
      <c r="DA15" s="86"/>
      <c r="DB15" s="84"/>
      <c r="DC15" s="86"/>
    </row>
    <row r="16" spans="1:107">
      <c r="A16" s="75" t="s">
        <v>42</v>
      </c>
      <c r="B16" s="189"/>
      <c r="C16" s="78"/>
      <c r="D16" s="78"/>
      <c r="E16" s="78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K16" s="75" t="s">
        <v>42</v>
      </c>
      <c r="AL16" s="189"/>
      <c r="AM16" s="78"/>
      <c r="AN16" s="78"/>
      <c r="AO16" s="78"/>
      <c r="AP16" s="86"/>
      <c r="AQ16" s="86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6"/>
      <c r="BF16" s="86"/>
      <c r="BG16" s="86"/>
      <c r="BH16" s="86"/>
      <c r="BI16" s="86"/>
      <c r="BJ16" s="86"/>
      <c r="BK16" s="86"/>
      <c r="BL16" s="86"/>
      <c r="BM16" s="86"/>
      <c r="BN16" s="86"/>
      <c r="BO16" s="86"/>
      <c r="BP16" s="86"/>
      <c r="BQ16" s="86"/>
      <c r="BR16" s="86"/>
      <c r="BS16" s="86"/>
      <c r="BU16" s="75" t="s">
        <v>42</v>
      </c>
      <c r="BV16" s="189"/>
      <c r="BW16" s="78"/>
      <c r="BX16" s="78"/>
      <c r="BY16" s="78"/>
      <c r="BZ16" s="86"/>
      <c r="CA16" s="86"/>
      <c r="CB16" s="86"/>
      <c r="CC16" s="86"/>
      <c r="CD16" s="86"/>
      <c r="CE16" s="86"/>
      <c r="CF16" s="86"/>
      <c r="CG16" s="86"/>
      <c r="CH16" s="86"/>
      <c r="CI16" s="86"/>
      <c r="CJ16" s="86"/>
      <c r="CK16" s="86"/>
      <c r="CL16" s="86"/>
      <c r="CM16" s="86"/>
      <c r="CN16" s="86"/>
      <c r="CO16" s="86"/>
      <c r="CP16" s="86"/>
      <c r="CQ16" s="86"/>
      <c r="CR16" s="86"/>
      <c r="CS16" s="86"/>
      <c r="CT16" s="86"/>
      <c r="CU16" s="86"/>
      <c r="CV16" s="86"/>
      <c r="CW16" s="86"/>
      <c r="CX16" s="86"/>
      <c r="CY16" s="86"/>
      <c r="CZ16" s="86"/>
      <c r="DA16" s="86"/>
      <c r="DB16" s="86"/>
      <c r="DC16" s="86"/>
    </row>
    <row r="17" spans="1:107">
      <c r="A17" s="75" t="s">
        <v>43</v>
      </c>
      <c r="B17" s="189"/>
      <c r="C17" s="78"/>
      <c r="D17" s="78"/>
      <c r="E17" s="78"/>
      <c r="F17" s="86"/>
      <c r="G17" s="86"/>
      <c r="H17" s="86"/>
      <c r="I17" s="86"/>
      <c r="J17" s="86"/>
      <c r="K17" s="86"/>
      <c r="L17" s="86"/>
      <c r="M17" s="84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4"/>
      <c r="AB17" s="84"/>
      <c r="AC17" s="86"/>
      <c r="AD17" s="86"/>
      <c r="AE17" s="86"/>
      <c r="AF17" s="86"/>
      <c r="AG17" s="86"/>
      <c r="AH17" s="86"/>
      <c r="AI17" s="86"/>
      <c r="AK17" s="75" t="s">
        <v>43</v>
      </c>
      <c r="AL17" s="189"/>
      <c r="AM17" s="78"/>
      <c r="AN17" s="78"/>
      <c r="AO17" s="78"/>
      <c r="AP17" s="86"/>
      <c r="AQ17" s="86"/>
      <c r="AR17" s="86"/>
      <c r="AS17" s="86"/>
      <c r="AT17" s="86"/>
      <c r="AU17" s="86"/>
      <c r="AV17" s="86"/>
      <c r="AW17" s="84"/>
      <c r="AX17" s="86"/>
      <c r="AY17" s="86"/>
      <c r="AZ17" s="86"/>
      <c r="BA17" s="86"/>
      <c r="BB17" s="86"/>
      <c r="BC17" s="86"/>
      <c r="BD17" s="86"/>
      <c r="BE17" s="86"/>
      <c r="BF17" s="86"/>
      <c r="BG17" s="86"/>
      <c r="BH17" s="86"/>
      <c r="BI17" s="86"/>
      <c r="BJ17" s="86"/>
      <c r="BK17" s="84"/>
      <c r="BL17" s="84"/>
      <c r="BM17" s="86"/>
      <c r="BN17" s="86"/>
      <c r="BO17" s="86"/>
      <c r="BP17" s="86"/>
      <c r="BQ17" s="86"/>
      <c r="BR17" s="86"/>
      <c r="BS17" s="86"/>
      <c r="BU17" s="75" t="s">
        <v>43</v>
      </c>
      <c r="BV17" s="189"/>
      <c r="BW17" s="78"/>
      <c r="BX17" s="78"/>
      <c r="BY17" s="78"/>
      <c r="BZ17" s="86"/>
      <c r="CA17" s="86"/>
      <c r="CB17" s="86"/>
      <c r="CC17" s="86"/>
      <c r="CD17" s="86"/>
      <c r="CE17" s="86"/>
      <c r="CF17" s="86"/>
      <c r="CG17" s="84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4"/>
      <c r="CV17" s="84"/>
      <c r="CW17" s="86"/>
      <c r="CX17" s="86"/>
      <c r="CY17" s="86"/>
      <c r="CZ17" s="86"/>
      <c r="DA17" s="86"/>
      <c r="DB17" s="86"/>
      <c r="DC17" s="86"/>
    </row>
    <row r="18" spans="1:107">
      <c r="A18" s="75" t="s">
        <v>44</v>
      </c>
      <c r="B18" s="189"/>
      <c r="C18" s="78"/>
      <c r="D18" s="78"/>
      <c r="E18" s="78"/>
      <c r="F18" s="86"/>
      <c r="G18" s="86"/>
      <c r="H18" s="86"/>
      <c r="I18" s="86"/>
      <c r="J18" s="86"/>
      <c r="K18" s="86"/>
      <c r="L18" s="86"/>
      <c r="M18" s="84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K18" s="75" t="s">
        <v>44</v>
      </c>
      <c r="AL18" s="189"/>
      <c r="AM18" s="78"/>
      <c r="AN18" s="78"/>
      <c r="AO18" s="78"/>
      <c r="AP18" s="86"/>
      <c r="AQ18" s="86"/>
      <c r="AR18" s="86"/>
      <c r="AS18" s="86"/>
      <c r="AT18" s="86"/>
      <c r="AU18" s="86"/>
      <c r="AV18" s="86"/>
      <c r="AW18" s="84"/>
      <c r="AX18" s="86"/>
      <c r="AY18" s="86"/>
      <c r="AZ18" s="86"/>
      <c r="BA18" s="86"/>
      <c r="BB18" s="86"/>
      <c r="BC18" s="86"/>
      <c r="BD18" s="86"/>
      <c r="BE18" s="86"/>
      <c r="BF18" s="86"/>
      <c r="BG18" s="86"/>
      <c r="BH18" s="86"/>
      <c r="BI18" s="86"/>
      <c r="BJ18" s="86"/>
      <c r="BK18" s="86"/>
      <c r="BL18" s="86"/>
      <c r="BM18" s="86"/>
      <c r="BN18" s="86"/>
      <c r="BO18" s="86"/>
      <c r="BP18" s="86"/>
      <c r="BQ18" s="86"/>
      <c r="BR18" s="86"/>
      <c r="BS18" s="86"/>
      <c r="BU18" s="75" t="s">
        <v>44</v>
      </c>
      <c r="BV18" s="189"/>
      <c r="BW18" s="78"/>
      <c r="BX18" s="78"/>
      <c r="BY18" s="78"/>
      <c r="BZ18" s="86"/>
      <c r="CA18" s="86"/>
      <c r="CB18" s="86"/>
      <c r="CC18" s="86"/>
      <c r="CD18" s="86"/>
      <c r="CE18" s="86"/>
      <c r="CF18" s="86"/>
      <c r="CG18" s="84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  <c r="DA18" s="86"/>
      <c r="DB18" s="86"/>
      <c r="DC18" s="86"/>
    </row>
    <row r="19" spans="1:107">
      <c r="A19" s="75" t="s">
        <v>45</v>
      </c>
      <c r="B19" s="189"/>
      <c r="C19" s="78"/>
      <c r="D19" s="78"/>
      <c r="E19" s="78"/>
      <c r="F19" s="86"/>
      <c r="G19" s="86"/>
      <c r="H19" s="86"/>
      <c r="I19" s="86"/>
      <c r="J19" s="86"/>
      <c r="K19" s="86"/>
      <c r="L19" s="86"/>
      <c r="M19" s="84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K19" s="75" t="s">
        <v>45</v>
      </c>
      <c r="AL19" s="189"/>
      <c r="AM19" s="78"/>
      <c r="AN19" s="78"/>
      <c r="AO19" s="78"/>
      <c r="AP19" s="86"/>
      <c r="AQ19" s="86"/>
      <c r="AR19" s="86"/>
      <c r="AS19" s="86"/>
      <c r="AT19" s="86"/>
      <c r="AU19" s="86"/>
      <c r="AV19" s="86"/>
      <c r="AW19" s="84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86"/>
      <c r="BO19" s="86"/>
      <c r="BP19" s="86"/>
      <c r="BQ19" s="86"/>
      <c r="BR19" s="86"/>
      <c r="BS19" s="86"/>
      <c r="BU19" s="75" t="s">
        <v>45</v>
      </c>
      <c r="BV19" s="189"/>
      <c r="BW19" s="78"/>
      <c r="BX19" s="78"/>
      <c r="BY19" s="78"/>
      <c r="BZ19" s="86"/>
      <c r="CA19" s="86"/>
      <c r="CB19" s="86"/>
      <c r="CC19" s="86"/>
      <c r="CD19" s="86"/>
      <c r="CE19" s="86"/>
      <c r="CF19" s="86"/>
      <c r="CG19" s="84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</row>
    <row r="20" spans="1:107">
      <c r="A20" s="75" t="s">
        <v>46</v>
      </c>
      <c r="B20" s="189"/>
      <c r="C20" s="78"/>
      <c r="D20" s="78"/>
      <c r="E20" s="78"/>
      <c r="F20" s="86"/>
      <c r="G20" s="86"/>
      <c r="H20" s="86"/>
      <c r="I20" s="86"/>
      <c r="J20" s="86"/>
      <c r="K20" s="86"/>
      <c r="L20" s="86"/>
      <c r="M20" s="84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K20" s="75" t="s">
        <v>46</v>
      </c>
      <c r="AL20" s="189"/>
      <c r="AM20" s="78"/>
      <c r="AN20" s="78"/>
      <c r="AO20" s="78"/>
      <c r="AP20" s="86"/>
      <c r="AQ20" s="86"/>
      <c r="AR20" s="86"/>
      <c r="AS20" s="86"/>
      <c r="AT20" s="86"/>
      <c r="AU20" s="86"/>
      <c r="AV20" s="86"/>
      <c r="AW20" s="84"/>
      <c r="AX20" s="86"/>
      <c r="AY20" s="86"/>
      <c r="AZ20" s="86"/>
      <c r="BA20" s="86"/>
      <c r="BB20" s="86"/>
      <c r="BC20" s="86"/>
      <c r="BD20" s="86"/>
      <c r="BE20" s="86"/>
      <c r="BF20" s="86"/>
      <c r="BG20" s="86"/>
      <c r="BH20" s="86"/>
      <c r="BI20" s="86"/>
      <c r="BJ20" s="86"/>
      <c r="BK20" s="86"/>
      <c r="BL20" s="86"/>
      <c r="BM20" s="86"/>
      <c r="BN20" s="86"/>
      <c r="BO20" s="86"/>
      <c r="BP20" s="86"/>
      <c r="BQ20" s="86"/>
      <c r="BR20" s="86"/>
      <c r="BS20" s="86"/>
      <c r="BU20" s="75" t="s">
        <v>46</v>
      </c>
      <c r="BV20" s="189"/>
      <c r="BW20" s="78"/>
      <c r="BX20" s="78"/>
      <c r="BY20" s="78"/>
      <c r="BZ20" s="86"/>
      <c r="CA20" s="86"/>
      <c r="CB20" s="86"/>
      <c r="CC20" s="86"/>
      <c r="CD20" s="86"/>
      <c r="CE20" s="86"/>
      <c r="CF20" s="86"/>
      <c r="CG20" s="84"/>
      <c r="CH20" s="86"/>
      <c r="CI20" s="86"/>
      <c r="CJ20" s="86"/>
      <c r="CK20" s="86"/>
      <c r="CL20" s="86"/>
      <c r="CM20" s="86"/>
      <c r="CN20" s="86"/>
      <c r="CO20" s="86"/>
      <c r="CP20" s="86"/>
      <c r="CQ20" s="86"/>
      <c r="CR20" s="86"/>
      <c r="CS20" s="86"/>
      <c r="CT20" s="86"/>
      <c r="CU20" s="86"/>
      <c r="CV20" s="86"/>
      <c r="CW20" s="86"/>
      <c r="CX20" s="86"/>
      <c r="CY20" s="86"/>
      <c r="CZ20" s="86"/>
      <c r="DA20" s="86"/>
      <c r="DB20" s="86"/>
      <c r="DC20" s="86"/>
    </row>
    <row r="21" spans="1:107">
      <c r="A21" s="75" t="s">
        <v>155</v>
      </c>
      <c r="B21" s="148"/>
      <c r="C21" s="78"/>
      <c r="D21" s="78"/>
      <c r="E21" s="78"/>
      <c r="F21" s="86"/>
      <c r="G21" s="86"/>
      <c r="H21" s="86"/>
      <c r="I21" s="86"/>
      <c r="J21" s="86"/>
      <c r="K21" s="86"/>
      <c r="L21" s="86"/>
      <c r="M21" s="84"/>
      <c r="N21" s="86"/>
      <c r="O21" s="86"/>
      <c r="P21" s="86"/>
      <c r="Q21" s="84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K21" s="75" t="s">
        <v>155</v>
      </c>
      <c r="AL21" s="148"/>
      <c r="AM21" s="78"/>
      <c r="AN21" s="78"/>
      <c r="AO21" s="78"/>
      <c r="AP21" s="86"/>
      <c r="AQ21" s="86"/>
      <c r="AR21" s="86"/>
      <c r="AS21" s="86"/>
      <c r="AT21" s="86"/>
      <c r="AU21" s="86"/>
      <c r="AV21" s="86"/>
      <c r="AW21" s="84"/>
      <c r="AX21" s="86"/>
      <c r="AY21" s="86"/>
      <c r="AZ21" s="86"/>
      <c r="BA21" s="84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86"/>
      <c r="BO21" s="86"/>
      <c r="BP21" s="86"/>
      <c r="BQ21" s="86"/>
      <c r="BR21" s="86"/>
      <c r="BS21" s="86"/>
      <c r="BU21" s="75" t="s">
        <v>155</v>
      </c>
      <c r="BV21" s="148"/>
      <c r="BW21" s="78"/>
      <c r="BX21" s="78"/>
      <c r="BY21" s="78"/>
      <c r="BZ21" s="86"/>
      <c r="CA21" s="86"/>
      <c r="CB21" s="86"/>
      <c r="CC21" s="86"/>
      <c r="CD21" s="86"/>
      <c r="CE21" s="86"/>
      <c r="CF21" s="86"/>
      <c r="CG21" s="84"/>
      <c r="CH21" s="86"/>
      <c r="CI21" s="86"/>
      <c r="CJ21" s="86"/>
      <c r="CK21" s="84"/>
      <c r="CL21" s="86"/>
      <c r="CM21" s="86"/>
      <c r="CN21" s="86"/>
      <c r="CO21" s="86"/>
      <c r="CP21" s="86"/>
      <c r="CQ21" s="86"/>
      <c r="CR21" s="86"/>
      <c r="CS21" s="86"/>
      <c r="CT21" s="86"/>
      <c r="CU21" s="86"/>
      <c r="CV21" s="86"/>
      <c r="CW21" s="86"/>
      <c r="CX21" s="86"/>
      <c r="CY21" s="86"/>
      <c r="CZ21" s="86"/>
      <c r="DA21" s="86"/>
      <c r="DB21" s="86"/>
      <c r="DC21" s="86"/>
    </row>
    <row r="22" spans="1:107">
      <c r="A22" s="8"/>
      <c r="B22" s="12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K22" s="8"/>
      <c r="AL22" s="12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U22" s="8"/>
      <c r="BV22" s="12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</row>
    <row r="23" spans="1:107" ht="15" customHeight="1"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M23" s="133"/>
      <c r="AN23" s="133"/>
      <c r="AO23" s="133"/>
      <c r="AP23" s="133"/>
      <c r="AQ23" s="133"/>
      <c r="AR23" s="133"/>
      <c r="AS23" s="133"/>
      <c r="AT23" s="133"/>
      <c r="AU23" s="133"/>
      <c r="AV23" s="133"/>
      <c r="AW23" s="133"/>
      <c r="AX23" s="133"/>
      <c r="AY23" s="133"/>
      <c r="AZ23" s="133"/>
      <c r="BA23" s="133"/>
      <c r="BB23" s="133"/>
      <c r="BC23" s="133"/>
      <c r="BD23" s="133"/>
      <c r="BE23" s="133"/>
      <c r="BF23" s="133"/>
      <c r="BG23" s="133"/>
      <c r="BH23" s="133"/>
      <c r="BI23" s="133"/>
      <c r="BJ23" s="133"/>
      <c r="BK23" s="133"/>
      <c r="BL23" s="133"/>
      <c r="BM23" s="133"/>
      <c r="BN23" s="133"/>
      <c r="BO23" s="133"/>
      <c r="BP23" s="133"/>
      <c r="BQ23" s="133"/>
      <c r="BR23" s="133"/>
      <c r="BS23" s="133"/>
      <c r="BW23" s="133"/>
      <c r="BX23" s="133"/>
      <c r="BY23" s="133"/>
      <c r="BZ23" s="133"/>
      <c r="CA23" s="133"/>
      <c r="CB23" s="133"/>
      <c r="CC23" s="133"/>
      <c r="CD23" s="133"/>
      <c r="CE23" s="133"/>
      <c r="CF23" s="133"/>
      <c r="CG23" s="133"/>
      <c r="CH23" s="133"/>
      <c r="CI23" s="133"/>
      <c r="CJ23" s="133"/>
      <c r="CK23" s="133"/>
      <c r="CL23" s="133"/>
      <c r="CM23" s="133"/>
      <c r="CN23" s="133"/>
      <c r="CO23" s="133"/>
      <c r="CP23" s="133"/>
      <c r="CQ23" s="133"/>
      <c r="CR23" s="133"/>
      <c r="CS23" s="133"/>
      <c r="CT23" s="133"/>
      <c r="CU23" s="133"/>
      <c r="CV23" s="133"/>
      <c r="CW23" s="133"/>
      <c r="CX23" s="133"/>
      <c r="CY23" s="133"/>
      <c r="CZ23" s="133"/>
      <c r="DA23" s="133"/>
      <c r="DB23" s="133"/>
      <c r="DC23" s="133"/>
    </row>
    <row r="24" spans="1:107" ht="15" customHeight="1"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33"/>
      <c r="BF24" s="133"/>
      <c r="BG24" s="133"/>
      <c r="BH24" s="133"/>
      <c r="BI24" s="133"/>
      <c r="BJ24" s="133"/>
      <c r="BK24" s="133"/>
      <c r="BL24" s="133"/>
      <c r="BM24" s="133"/>
      <c r="BN24" s="133"/>
      <c r="BO24" s="133"/>
      <c r="BP24" s="133"/>
      <c r="BQ24" s="133"/>
      <c r="BR24" s="133"/>
      <c r="BS24" s="133"/>
      <c r="BW24" s="133"/>
      <c r="BX24" s="133"/>
      <c r="BY24" s="133"/>
      <c r="BZ24" s="133"/>
      <c r="CA24" s="133"/>
      <c r="CB24" s="133"/>
      <c r="CC24" s="133"/>
      <c r="CD24" s="133"/>
      <c r="CE24" s="133"/>
      <c r="CF24" s="133"/>
      <c r="CG24" s="133"/>
      <c r="CH24" s="133"/>
      <c r="CI24" s="133"/>
      <c r="CJ24" s="133"/>
      <c r="CK24" s="133"/>
      <c r="CL24" s="133"/>
      <c r="CM24" s="133"/>
      <c r="CN24" s="133"/>
      <c r="CO24" s="133"/>
      <c r="CP24" s="133"/>
      <c r="CQ24" s="133"/>
      <c r="CR24" s="133"/>
      <c r="CS24" s="133"/>
      <c r="CT24" s="133"/>
      <c r="CU24" s="133"/>
      <c r="CV24" s="133"/>
      <c r="CW24" s="133"/>
      <c r="CX24" s="133"/>
      <c r="CY24" s="133"/>
      <c r="CZ24" s="133"/>
      <c r="DA24" s="133"/>
      <c r="DB24" s="133"/>
      <c r="DC24" s="133"/>
    </row>
    <row r="25" spans="1:107" ht="15" customHeight="1"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M25" s="133"/>
      <c r="AN25" s="133"/>
      <c r="AO25" s="133"/>
      <c r="AP25" s="133"/>
      <c r="AQ25" s="133"/>
      <c r="AR25" s="133"/>
      <c r="AS25" s="133"/>
      <c r="AT25" s="133"/>
      <c r="AU25" s="133"/>
      <c r="AV25" s="133"/>
      <c r="AW25" s="133"/>
      <c r="AX25" s="133"/>
      <c r="AY25" s="133"/>
      <c r="AZ25" s="133"/>
      <c r="BA25" s="133"/>
      <c r="BB25" s="133"/>
      <c r="BC25" s="133"/>
      <c r="BD25" s="133"/>
      <c r="BE25" s="133"/>
      <c r="BF25" s="133"/>
      <c r="BG25" s="133"/>
      <c r="BH25" s="133"/>
      <c r="BI25" s="133"/>
      <c r="BJ25" s="133"/>
      <c r="BK25" s="133"/>
      <c r="BL25" s="133"/>
      <c r="BM25" s="133"/>
      <c r="BN25" s="133"/>
      <c r="BO25" s="133"/>
      <c r="BP25" s="133"/>
      <c r="BQ25" s="133"/>
      <c r="BR25" s="133"/>
      <c r="BS25" s="133"/>
      <c r="BW25" s="133"/>
      <c r="BX25" s="133"/>
      <c r="BY25" s="133"/>
      <c r="BZ25" s="133"/>
      <c r="CA25" s="133"/>
      <c r="CB25" s="133"/>
      <c r="CC25" s="133"/>
      <c r="CD25" s="133"/>
      <c r="CE25" s="133"/>
      <c r="CF25" s="133"/>
      <c r="CG25" s="133"/>
      <c r="CH25" s="133"/>
      <c r="CI25" s="133"/>
      <c r="CJ25" s="133"/>
      <c r="CK25" s="133"/>
      <c r="CL25" s="133"/>
      <c r="CM25" s="133"/>
      <c r="CN25" s="133"/>
      <c r="CO25" s="133"/>
      <c r="CP25" s="133"/>
      <c r="CQ25" s="133"/>
      <c r="CR25" s="133"/>
      <c r="CS25" s="133"/>
      <c r="CT25" s="133"/>
      <c r="CU25" s="133"/>
      <c r="CV25" s="133"/>
      <c r="CW25" s="133"/>
      <c r="CX25" s="133"/>
      <c r="CY25" s="133"/>
      <c r="CZ25" s="133"/>
      <c r="DA25" s="133"/>
      <c r="DB25" s="133"/>
      <c r="DC25" s="133"/>
    </row>
    <row r="26" spans="1:107" ht="15" customHeight="1"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133"/>
      <c r="BB26" s="133"/>
      <c r="BC26" s="133"/>
      <c r="BD26" s="133"/>
      <c r="BE26" s="133"/>
      <c r="BF26" s="133"/>
      <c r="BG26" s="133"/>
      <c r="BH26" s="133"/>
      <c r="BI26" s="133"/>
      <c r="BJ26" s="133"/>
      <c r="BK26" s="133"/>
      <c r="BL26" s="133"/>
      <c r="BM26" s="133"/>
      <c r="BN26" s="133"/>
      <c r="BO26" s="133"/>
      <c r="BP26" s="133"/>
      <c r="BQ26" s="133"/>
      <c r="BR26" s="133"/>
      <c r="BS26" s="133"/>
      <c r="BW26" s="133"/>
      <c r="BX26" s="133"/>
      <c r="BY26" s="133"/>
      <c r="BZ26" s="133"/>
      <c r="CA26" s="133"/>
      <c r="CB26" s="133"/>
      <c r="CC26" s="133"/>
      <c r="CD26" s="133"/>
      <c r="CE26" s="133"/>
      <c r="CF26" s="133"/>
      <c r="CG26" s="133"/>
      <c r="CH26" s="133"/>
      <c r="CI26" s="133"/>
      <c r="CJ26" s="133"/>
      <c r="CK26" s="133"/>
      <c r="CL26" s="133"/>
      <c r="CM26" s="133"/>
      <c r="CN26" s="133"/>
      <c r="CO26" s="133"/>
      <c r="CP26" s="133"/>
      <c r="CQ26" s="133"/>
      <c r="CR26" s="133"/>
      <c r="CS26" s="133"/>
      <c r="CT26" s="133"/>
      <c r="CU26" s="133"/>
      <c r="CV26" s="133"/>
      <c r="CW26" s="133"/>
      <c r="CX26" s="133"/>
      <c r="CY26" s="133"/>
      <c r="CZ26" s="133"/>
      <c r="DA26" s="133"/>
      <c r="DB26" s="133"/>
      <c r="DC26" s="133"/>
    </row>
    <row r="27" spans="1:107" ht="15" customHeight="1"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133"/>
      <c r="BB27" s="133"/>
      <c r="BC27" s="133"/>
      <c r="BD27" s="133"/>
      <c r="BE27" s="133"/>
      <c r="BF27" s="133"/>
      <c r="BG27" s="133"/>
      <c r="BH27" s="133"/>
      <c r="BI27" s="133"/>
      <c r="BJ27" s="133"/>
      <c r="BK27" s="133"/>
      <c r="BL27" s="133"/>
      <c r="BM27" s="133"/>
      <c r="BN27" s="133"/>
      <c r="BO27" s="133"/>
      <c r="BP27" s="133"/>
      <c r="BQ27" s="133"/>
      <c r="BR27" s="133"/>
      <c r="BS27" s="133"/>
      <c r="BW27" s="133"/>
      <c r="BX27" s="133"/>
      <c r="BY27" s="133"/>
      <c r="BZ27" s="133"/>
      <c r="CA27" s="133"/>
      <c r="CB27" s="133"/>
      <c r="CC27" s="133"/>
      <c r="CD27" s="133"/>
      <c r="CE27" s="133"/>
      <c r="CF27" s="133"/>
      <c r="CG27" s="133"/>
      <c r="CH27" s="133"/>
      <c r="CI27" s="133"/>
      <c r="CJ27" s="133"/>
      <c r="CK27" s="133"/>
      <c r="CL27" s="133"/>
      <c r="CM27" s="133"/>
      <c r="CN27" s="133"/>
      <c r="CO27" s="133"/>
      <c r="CP27" s="133"/>
      <c r="CQ27" s="133"/>
      <c r="CR27" s="133"/>
      <c r="CS27" s="133"/>
      <c r="CT27" s="133"/>
      <c r="CU27" s="133"/>
      <c r="CV27" s="133"/>
      <c r="CW27" s="133"/>
      <c r="CX27" s="133"/>
      <c r="CY27" s="133"/>
      <c r="CZ27" s="133"/>
      <c r="DA27" s="133"/>
      <c r="DB27" s="133"/>
      <c r="DC27" s="133"/>
    </row>
    <row r="28" spans="1:107" ht="15" customHeight="1"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133"/>
      <c r="BB28" s="133"/>
      <c r="BC28" s="133"/>
      <c r="BD28" s="133"/>
      <c r="BE28" s="133"/>
      <c r="BF28" s="133"/>
      <c r="BG28" s="133"/>
      <c r="BH28" s="133"/>
      <c r="BI28" s="133"/>
      <c r="BJ28" s="133"/>
      <c r="BK28" s="133"/>
      <c r="BL28" s="133"/>
      <c r="BM28" s="133"/>
      <c r="BN28" s="133"/>
      <c r="BO28" s="133"/>
      <c r="BP28" s="133"/>
      <c r="BQ28" s="133"/>
      <c r="BR28" s="133"/>
      <c r="BS28" s="133"/>
      <c r="BW28" s="133"/>
      <c r="BX28" s="133"/>
      <c r="BY28" s="133"/>
      <c r="BZ28" s="133"/>
      <c r="CA28" s="133"/>
      <c r="CB28" s="133"/>
      <c r="CC28" s="133"/>
      <c r="CD28" s="133"/>
      <c r="CE28" s="133"/>
      <c r="CF28" s="133"/>
      <c r="CG28" s="133"/>
      <c r="CH28" s="133"/>
      <c r="CI28" s="133"/>
      <c r="CJ28" s="133"/>
      <c r="CK28" s="133"/>
      <c r="CL28" s="133"/>
      <c r="CM28" s="133"/>
      <c r="CN28" s="133"/>
      <c r="CO28" s="133"/>
      <c r="CP28" s="133"/>
      <c r="CQ28" s="133"/>
      <c r="CR28" s="133"/>
      <c r="CS28" s="133"/>
      <c r="CT28" s="133"/>
      <c r="CU28" s="133"/>
      <c r="CV28" s="133"/>
      <c r="CW28" s="133"/>
      <c r="CX28" s="133"/>
      <c r="CY28" s="133"/>
      <c r="CZ28" s="133"/>
      <c r="DA28" s="133"/>
      <c r="DB28" s="133"/>
      <c r="DC28" s="133"/>
    </row>
    <row r="29" spans="1:107" ht="15" customHeight="1"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  <c r="BD29" s="133"/>
      <c r="BE29" s="133"/>
      <c r="BF29" s="133"/>
      <c r="BG29" s="133"/>
      <c r="BH29" s="133"/>
      <c r="BI29" s="133"/>
      <c r="BJ29" s="133"/>
      <c r="BK29" s="133"/>
      <c r="BL29" s="133"/>
      <c r="BM29" s="133"/>
      <c r="BN29" s="133"/>
      <c r="BO29" s="133"/>
      <c r="BP29" s="133"/>
      <c r="BQ29" s="133"/>
      <c r="BR29" s="133"/>
      <c r="BS29" s="133"/>
      <c r="BW29" s="133"/>
      <c r="BX29" s="133"/>
      <c r="BY29" s="133"/>
      <c r="BZ29" s="133"/>
      <c r="CA29" s="133"/>
      <c r="CB29" s="133"/>
      <c r="CC29" s="133"/>
      <c r="CD29" s="133"/>
      <c r="CE29" s="133"/>
      <c r="CF29" s="133"/>
      <c r="CG29" s="133"/>
      <c r="CH29" s="133"/>
      <c r="CI29" s="133"/>
      <c r="CJ29" s="133"/>
      <c r="CK29" s="133"/>
      <c r="CL29" s="133"/>
      <c r="CM29" s="133"/>
      <c r="CN29" s="133"/>
      <c r="CO29" s="133"/>
      <c r="CP29" s="133"/>
      <c r="CQ29" s="133"/>
      <c r="CR29" s="133"/>
      <c r="CS29" s="133"/>
      <c r="CT29" s="133"/>
      <c r="CU29" s="133"/>
      <c r="CV29" s="133"/>
      <c r="CW29" s="133"/>
      <c r="CX29" s="133"/>
      <c r="CY29" s="133"/>
      <c r="CZ29" s="133"/>
      <c r="DA29" s="133"/>
      <c r="DB29" s="133"/>
      <c r="DC29" s="133"/>
    </row>
    <row r="30" spans="1:107" ht="15" customHeight="1"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M30" s="133"/>
      <c r="AN30" s="133"/>
      <c r="AO30" s="133"/>
      <c r="AP30" s="133"/>
      <c r="AQ30" s="133"/>
      <c r="AR30" s="133"/>
      <c r="AS30" s="133"/>
      <c r="AT30" s="133"/>
      <c r="AU30" s="133"/>
      <c r="AV30" s="133"/>
      <c r="AW30" s="133"/>
      <c r="AX30" s="133"/>
      <c r="AY30" s="133"/>
      <c r="AZ30" s="133"/>
      <c r="BA30" s="133"/>
      <c r="BB30" s="133"/>
      <c r="BC30" s="133"/>
      <c r="BD30" s="133"/>
      <c r="BE30" s="133"/>
      <c r="BF30" s="133"/>
      <c r="BG30" s="133"/>
      <c r="BH30" s="133"/>
      <c r="BI30" s="133"/>
      <c r="BJ30" s="133"/>
      <c r="BK30" s="133"/>
      <c r="BL30" s="133"/>
      <c r="BM30" s="133"/>
      <c r="BN30" s="133"/>
      <c r="BO30" s="133"/>
      <c r="BP30" s="133"/>
      <c r="BQ30" s="133"/>
      <c r="BR30" s="133"/>
      <c r="BS30" s="133"/>
      <c r="BW30" s="133"/>
      <c r="BX30" s="133"/>
      <c r="BY30" s="133"/>
      <c r="BZ30" s="133"/>
      <c r="CA30" s="133"/>
      <c r="CB30" s="133"/>
      <c r="CC30" s="133"/>
      <c r="CD30" s="133"/>
      <c r="CE30" s="133"/>
      <c r="CF30" s="133"/>
      <c r="CG30" s="133"/>
      <c r="CH30" s="133"/>
      <c r="CI30" s="133"/>
      <c r="CJ30" s="133"/>
      <c r="CK30" s="133"/>
      <c r="CL30" s="133"/>
      <c r="CM30" s="133"/>
      <c r="CN30" s="133"/>
      <c r="CO30" s="133"/>
      <c r="CP30" s="133"/>
      <c r="CQ30" s="133"/>
      <c r="CR30" s="133"/>
      <c r="CS30" s="133"/>
      <c r="CT30" s="133"/>
      <c r="CU30" s="133"/>
      <c r="CV30" s="133"/>
      <c r="CW30" s="133"/>
      <c r="CX30" s="133"/>
      <c r="CY30" s="133"/>
      <c r="CZ30" s="133"/>
      <c r="DA30" s="133"/>
      <c r="DB30" s="133"/>
      <c r="DC30" s="133"/>
    </row>
    <row r="31" spans="1:107">
      <c r="A31" s="7" t="s">
        <v>60</v>
      </c>
      <c r="B31" s="1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K31" s="7" t="s">
        <v>60</v>
      </c>
      <c r="AL31" s="1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0"/>
      <c r="BF31" s="80"/>
      <c r="BG31" s="80"/>
      <c r="BH31" s="80"/>
      <c r="BI31" s="80"/>
      <c r="BJ31" s="80"/>
      <c r="BK31" s="80"/>
      <c r="BL31" s="80"/>
      <c r="BM31" s="80"/>
      <c r="BN31" s="80"/>
      <c r="BO31" s="80"/>
      <c r="BP31" s="80"/>
      <c r="BQ31" s="80"/>
      <c r="BR31" s="80"/>
      <c r="BS31" s="80"/>
      <c r="BU31" s="7" t="s">
        <v>60</v>
      </c>
      <c r="BV31" s="10"/>
      <c r="BW31" s="80"/>
      <c r="BX31" s="80"/>
      <c r="BY31" s="80"/>
      <c r="BZ31" s="80"/>
      <c r="CA31" s="80"/>
      <c r="CB31" s="80"/>
      <c r="CC31" s="80"/>
      <c r="CD31" s="80"/>
      <c r="CE31" s="80"/>
      <c r="CF31" s="80"/>
      <c r="CG31" s="80"/>
      <c r="CH31" s="80"/>
      <c r="CI31" s="80"/>
      <c r="CJ31" s="80"/>
      <c r="CK31" s="80"/>
      <c r="CL31" s="80"/>
      <c r="CM31" s="80"/>
      <c r="CN31" s="80"/>
      <c r="CO31" s="80"/>
      <c r="CP31" s="80"/>
      <c r="CQ31" s="80"/>
      <c r="CR31" s="80"/>
      <c r="CS31" s="80"/>
      <c r="CT31" s="80"/>
      <c r="CU31" s="80"/>
      <c r="CV31" s="80"/>
      <c r="CW31" s="80"/>
      <c r="CX31" s="80"/>
      <c r="CY31" s="80"/>
      <c r="CZ31" s="80"/>
      <c r="DA31" s="80"/>
      <c r="DB31" s="80"/>
      <c r="DC31" s="80"/>
    </row>
    <row r="32" spans="1:107">
      <c r="A32" s="75"/>
      <c r="B32" s="11" t="s">
        <v>154</v>
      </c>
      <c r="C32" s="112">
        <f>EOMONTH($A$1,-1)</f>
        <v>46265</v>
      </c>
      <c r="D32" s="112">
        <f t="shared" ref="D32:AI32" si="65">C32+1</f>
        <v>46266</v>
      </c>
      <c r="E32" s="112">
        <f t="shared" si="65"/>
        <v>46267</v>
      </c>
      <c r="F32" s="112">
        <f t="shared" si="65"/>
        <v>46268</v>
      </c>
      <c r="G32" s="112">
        <f t="shared" si="65"/>
        <v>46269</v>
      </c>
      <c r="H32" s="112">
        <f t="shared" si="65"/>
        <v>46270</v>
      </c>
      <c r="I32" s="112">
        <f t="shared" si="65"/>
        <v>46271</v>
      </c>
      <c r="J32" s="112">
        <f t="shared" si="65"/>
        <v>46272</v>
      </c>
      <c r="K32" s="112">
        <f t="shared" si="65"/>
        <v>46273</v>
      </c>
      <c r="L32" s="112">
        <f t="shared" si="65"/>
        <v>46274</v>
      </c>
      <c r="M32" s="112">
        <f t="shared" si="65"/>
        <v>46275</v>
      </c>
      <c r="N32" s="112">
        <f t="shared" si="65"/>
        <v>46276</v>
      </c>
      <c r="O32" s="112">
        <f t="shared" si="65"/>
        <v>46277</v>
      </c>
      <c r="P32" s="112">
        <f t="shared" si="65"/>
        <v>46278</v>
      </c>
      <c r="Q32" s="112">
        <f t="shared" si="65"/>
        <v>46279</v>
      </c>
      <c r="R32" s="112">
        <f t="shared" si="65"/>
        <v>46280</v>
      </c>
      <c r="S32" s="112">
        <f t="shared" si="65"/>
        <v>46281</v>
      </c>
      <c r="T32" s="112">
        <f t="shared" si="65"/>
        <v>46282</v>
      </c>
      <c r="U32" s="112">
        <f t="shared" si="65"/>
        <v>46283</v>
      </c>
      <c r="V32" s="112">
        <f t="shared" si="65"/>
        <v>46284</v>
      </c>
      <c r="W32" s="112">
        <f t="shared" si="65"/>
        <v>46285</v>
      </c>
      <c r="X32" s="112">
        <f t="shared" si="65"/>
        <v>46286</v>
      </c>
      <c r="Y32" s="112">
        <f t="shared" si="65"/>
        <v>46287</v>
      </c>
      <c r="Z32" s="112">
        <f t="shared" si="65"/>
        <v>46288</v>
      </c>
      <c r="AA32" s="112">
        <f t="shared" si="65"/>
        <v>46289</v>
      </c>
      <c r="AB32" s="112">
        <f t="shared" si="65"/>
        <v>46290</v>
      </c>
      <c r="AC32" s="112">
        <f t="shared" si="65"/>
        <v>46291</v>
      </c>
      <c r="AD32" s="112">
        <f t="shared" si="65"/>
        <v>46292</v>
      </c>
      <c r="AE32" s="112">
        <f t="shared" si="65"/>
        <v>46293</v>
      </c>
      <c r="AF32" s="112">
        <f t="shared" si="65"/>
        <v>46294</v>
      </c>
      <c r="AG32" s="112">
        <f t="shared" si="65"/>
        <v>46295</v>
      </c>
      <c r="AH32" s="112">
        <f t="shared" si="65"/>
        <v>46296</v>
      </c>
      <c r="AI32" s="112">
        <f t="shared" si="65"/>
        <v>46297</v>
      </c>
      <c r="AK32" s="75"/>
      <c r="AL32" s="11" t="s">
        <v>154</v>
      </c>
      <c r="AM32" s="112">
        <f>EOMONTH($A$1,-1)</f>
        <v>46265</v>
      </c>
      <c r="AN32" s="112">
        <f t="shared" ref="AN32" si="66">AM32+1</f>
        <v>46266</v>
      </c>
      <c r="AO32" s="112">
        <f t="shared" ref="AO32" si="67">AN32+1</f>
        <v>46267</v>
      </c>
      <c r="AP32" s="112">
        <f t="shared" ref="AP32" si="68">AO32+1</f>
        <v>46268</v>
      </c>
      <c r="AQ32" s="112">
        <f t="shared" ref="AQ32" si="69">AP32+1</f>
        <v>46269</v>
      </c>
      <c r="AR32" s="112">
        <f t="shared" ref="AR32" si="70">AQ32+1</f>
        <v>46270</v>
      </c>
      <c r="AS32" s="112">
        <f t="shared" ref="AS32" si="71">AR32+1</f>
        <v>46271</v>
      </c>
      <c r="AT32" s="112">
        <f t="shared" ref="AT32" si="72">AS32+1</f>
        <v>46272</v>
      </c>
      <c r="AU32" s="112">
        <f t="shared" ref="AU32" si="73">AT32+1</f>
        <v>46273</v>
      </c>
      <c r="AV32" s="112">
        <f t="shared" ref="AV32" si="74">AU32+1</f>
        <v>46274</v>
      </c>
      <c r="AW32" s="112">
        <f t="shared" ref="AW32" si="75">AV32+1</f>
        <v>46275</v>
      </c>
      <c r="AX32" s="112">
        <f t="shared" ref="AX32" si="76">AW32+1</f>
        <v>46276</v>
      </c>
      <c r="AY32" s="112">
        <f t="shared" ref="AY32" si="77">AX32+1</f>
        <v>46277</v>
      </c>
      <c r="AZ32" s="112">
        <f t="shared" ref="AZ32" si="78">AY32+1</f>
        <v>46278</v>
      </c>
      <c r="BA32" s="112">
        <f t="shared" ref="BA32" si="79">AZ32+1</f>
        <v>46279</v>
      </c>
      <c r="BB32" s="112">
        <f t="shared" ref="BB32" si="80">BA32+1</f>
        <v>46280</v>
      </c>
      <c r="BC32" s="112">
        <f t="shared" ref="BC32" si="81">BB32+1</f>
        <v>46281</v>
      </c>
      <c r="BD32" s="112">
        <f t="shared" ref="BD32" si="82">BC32+1</f>
        <v>46282</v>
      </c>
      <c r="BE32" s="112">
        <f t="shared" ref="BE32" si="83">BD32+1</f>
        <v>46283</v>
      </c>
      <c r="BF32" s="112">
        <f t="shared" ref="BF32" si="84">BE32+1</f>
        <v>46284</v>
      </c>
      <c r="BG32" s="112">
        <f t="shared" ref="BG32" si="85">BF32+1</f>
        <v>46285</v>
      </c>
      <c r="BH32" s="112">
        <f t="shared" ref="BH32" si="86">BG32+1</f>
        <v>46286</v>
      </c>
      <c r="BI32" s="112">
        <f t="shared" ref="BI32" si="87">BH32+1</f>
        <v>46287</v>
      </c>
      <c r="BJ32" s="112">
        <f t="shared" ref="BJ32" si="88">BI32+1</f>
        <v>46288</v>
      </c>
      <c r="BK32" s="112">
        <f t="shared" ref="BK32" si="89">BJ32+1</f>
        <v>46289</v>
      </c>
      <c r="BL32" s="112">
        <f t="shared" ref="BL32" si="90">BK32+1</f>
        <v>46290</v>
      </c>
      <c r="BM32" s="112">
        <f t="shared" ref="BM32" si="91">BL32+1</f>
        <v>46291</v>
      </c>
      <c r="BN32" s="112">
        <f t="shared" ref="BN32" si="92">BM32+1</f>
        <v>46292</v>
      </c>
      <c r="BO32" s="112">
        <f t="shared" ref="BO32" si="93">BN32+1</f>
        <v>46293</v>
      </c>
      <c r="BP32" s="112">
        <f t="shared" ref="BP32" si="94">BO32+1</f>
        <v>46294</v>
      </c>
      <c r="BQ32" s="112">
        <f t="shared" ref="BQ32" si="95">BP32+1</f>
        <v>46295</v>
      </c>
      <c r="BR32" s="112">
        <f t="shared" ref="BR32" si="96">BQ32+1</f>
        <v>46296</v>
      </c>
      <c r="BS32" s="112">
        <f t="shared" ref="BS32" si="97">BR32+1</f>
        <v>46297</v>
      </c>
      <c r="BU32" s="75"/>
      <c r="BV32" s="11" t="s">
        <v>154</v>
      </c>
      <c r="BW32" s="112">
        <f>EOMONTH($A$1,-1)</f>
        <v>46265</v>
      </c>
      <c r="BX32" s="112">
        <f t="shared" ref="BX32" si="98">BW32+1</f>
        <v>46266</v>
      </c>
      <c r="BY32" s="112">
        <f t="shared" ref="BY32" si="99">BX32+1</f>
        <v>46267</v>
      </c>
      <c r="BZ32" s="112">
        <f t="shared" ref="BZ32" si="100">BY32+1</f>
        <v>46268</v>
      </c>
      <c r="CA32" s="112">
        <f t="shared" ref="CA32" si="101">BZ32+1</f>
        <v>46269</v>
      </c>
      <c r="CB32" s="112">
        <f t="shared" ref="CB32" si="102">CA32+1</f>
        <v>46270</v>
      </c>
      <c r="CC32" s="112">
        <f t="shared" ref="CC32" si="103">CB32+1</f>
        <v>46271</v>
      </c>
      <c r="CD32" s="112">
        <f t="shared" ref="CD32" si="104">CC32+1</f>
        <v>46272</v>
      </c>
      <c r="CE32" s="112">
        <f t="shared" ref="CE32" si="105">CD32+1</f>
        <v>46273</v>
      </c>
      <c r="CF32" s="112">
        <f t="shared" ref="CF32" si="106">CE32+1</f>
        <v>46274</v>
      </c>
      <c r="CG32" s="112">
        <f t="shared" ref="CG32" si="107">CF32+1</f>
        <v>46275</v>
      </c>
      <c r="CH32" s="112">
        <f t="shared" ref="CH32" si="108">CG32+1</f>
        <v>46276</v>
      </c>
      <c r="CI32" s="112">
        <f t="shared" ref="CI32" si="109">CH32+1</f>
        <v>46277</v>
      </c>
      <c r="CJ32" s="112">
        <f t="shared" ref="CJ32" si="110">CI32+1</f>
        <v>46278</v>
      </c>
      <c r="CK32" s="112">
        <f t="shared" ref="CK32" si="111">CJ32+1</f>
        <v>46279</v>
      </c>
      <c r="CL32" s="112">
        <f t="shared" ref="CL32" si="112">CK32+1</f>
        <v>46280</v>
      </c>
      <c r="CM32" s="112">
        <f t="shared" ref="CM32" si="113">CL32+1</f>
        <v>46281</v>
      </c>
      <c r="CN32" s="112">
        <f t="shared" ref="CN32" si="114">CM32+1</f>
        <v>46282</v>
      </c>
      <c r="CO32" s="112">
        <f t="shared" ref="CO32" si="115">CN32+1</f>
        <v>46283</v>
      </c>
      <c r="CP32" s="112">
        <f t="shared" ref="CP32" si="116">CO32+1</f>
        <v>46284</v>
      </c>
      <c r="CQ32" s="112">
        <f t="shared" ref="CQ32" si="117">CP32+1</f>
        <v>46285</v>
      </c>
      <c r="CR32" s="112">
        <f t="shared" ref="CR32" si="118">CQ32+1</f>
        <v>46286</v>
      </c>
      <c r="CS32" s="112">
        <f t="shared" ref="CS32" si="119">CR32+1</f>
        <v>46287</v>
      </c>
      <c r="CT32" s="112">
        <f t="shared" ref="CT32" si="120">CS32+1</f>
        <v>46288</v>
      </c>
      <c r="CU32" s="112">
        <f t="shared" ref="CU32" si="121">CT32+1</f>
        <v>46289</v>
      </c>
      <c r="CV32" s="112">
        <f t="shared" ref="CV32" si="122">CU32+1</f>
        <v>46290</v>
      </c>
      <c r="CW32" s="112">
        <f t="shared" ref="CW32" si="123">CV32+1</f>
        <v>46291</v>
      </c>
      <c r="CX32" s="112">
        <f t="shared" ref="CX32" si="124">CW32+1</f>
        <v>46292</v>
      </c>
      <c r="CY32" s="112">
        <f t="shared" ref="CY32" si="125">CX32+1</f>
        <v>46293</v>
      </c>
      <c r="CZ32" s="112">
        <f t="shared" ref="CZ32" si="126">CY32+1</f>
        <v>46294</v>
      </c>
      <c r="DA32" s="112">
        <f t="shared" ref="DA32" si="127">CZ32+1</f>
        <v>46295</v>
      </c>
      <c r="DB32" s="112">
        <f t="shared" ref="DB32" si="128">DA32+1</f>
        <v>46296</v>
      </c>
      <c r="DC32" s="112">
        <f t="shared" ref="DC32" si="129">DB32+1</f>
        <v>46297</v>
      </c>
    </row>
    <row r="33" spans="1:107">
      <c r="A33" s="75" t="s">
        <v>48</v>
      </c>
      <c r="B33" s="188"/>
      <c r="C33" s="7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4"/>
      <c r="R33" s="84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K33" s="75" t="s">
        <v>48</v>
      </c>
      <c r="AL33" s="188"/>
      <c r="AM33" s="76"/>
      <c r="AN33" s="86"/>
      <c r="AO33" s="86"/>
      <c r="AP33" s="86"/>
      <c r="AQ33" s="86"/>
      <c r="AR33" s="86"/>
      <c r="AS33" s="86"/>
      <c r="AT33" s="86"/>
      <c r="AU33" s="86"/>
      <c r="AV33" s="86"/>
      <c r="AW33" s="86"/>
      <c r="AX33" s="86"/>
      <c r="AY33" s="86"/>
      <c r="AZ33" s="86"/>
      <c r="BA33" s="84"/>
      <c r="BB33" s="84"/>
      <c r="BC33" s="86"/>
      <c r="BD33" s="86"/>
      <c r="BE33" s="86"/>
      <c r="BF33" s="86"/>
      <c r="BG33" s="86"/>
      <c r="BH33" s="86"/>
      <c r="BI33" s="86"/>
      <c r="BJ33" s="86"/>
      <c r="BK33" s="86"/>
      <c r="BL33" s="86"/>
      <c r="BM33" s="86"/>
      <c r="BN33" s="86"/>
      <c r="BO33" s="86"/>
      <c r="BP33" s="86"/>
      <c r="BQ33" s="86"/>
      <c r="BR33" s="86"/>
      <c r="BS33" s="86"/>
      <c r="BU33" s="75" t="s">
        <v>48</v>
      </c>
      <c r="BV33" s="188"/>
      <c r="BW33" s="76"/>
      <c r="BX33" s="86"/>
      <c r="BY33" s="86"/>
      <c r="BZ33" s="86"/>
      <c r="CA33" s="86"/>
      <c r="CB33" s="86"/>
      <c r="CC33" s="86"/>
      <c r="CD33" s="86"/>
      <c r="CE33" s="86"/>
      <c r="CF33" s="86"/>
      <c r="CG33" s="86"/>
      <c r="CH33" s="86"/>
      <c r="CI33" s="86"/>
      <c r="CJ33" s="86"/>
      <c r="CK33" s="84"/>
      <c r="CL33" s="84"/>
      <c r="CM33" s="86"/>
      <c r="CN33" s="86"/>
      <c r="CO33" s="86"/>
      <c r="CP33" s="86"/>
      <c r="CQ33" s="86"/>
      <c r="CR33" s="86"/>
      <c r="CS33" s="86"/>
      <c r="CT33" s="86"/>
      <c r="CU33" s="86"/>
      <c r="CV33" s="86"/>
      <c r="CW33" s="86"/>
      <c r="CX33" s="86"/>
      <c r="CY33" s="86"/>
      <c r="CZ33" s="86"/>
      <c r="DA33" s="86"/>
      <c r="DB33" s="86"/>
      <c r="DC33" s="86"/>
    </row>
    <row r="34" spans="1:107">
      <c r="A34" s="75" t="s">
        <v>49</v>
      </c>
      <c r="B34" s="189"/>
      <c r="C34" s="7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4"/>
      <c r="R34" s="84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K34" s="75" t="s">
        <v>49</v>
      </c>
      <c r="AL34" s="189"/>
      <c r="AM34" s="76"/>
      <c r="AN34" s="86"/>
      <c r="AO34" s="86"/>
      <c r="AP34" s="86"/>
      <c r="AQ34" s="86"/>
      <c r="AR34" s="86"/>
      <c r="AS34" s="86"/>
      <c r="AT34" s="86"/>
      <c r="AU34" s="86"/>
      <c r="AV34" s="86"/>
      <c r="AW34" s="86"/>
      <c r="AX34" s="86"/>
      <c r="AY34" s="86"/>
      <c r="AZ34" s="86"/>
      <c r="BA34" s="84"/>
      <c r="BB34" s="84"/>
      <c r="BC34" s="86"/>
      <c r="BD34" s="86"/>
      <c r="BE34" s="86"/>
      <c r="BF34" s="86"/>
      <c r="BG34" s="86"/>
      <c r="BH34" s="86"/>
      <c r="BI34" s="86"/>
      <c r="BJ34" s="86"/>
      <c r="BK34" s="86"/>
      <c r="BL34" s="86"/>
      <c r="BM34" s="86"/>
      <c r="BN34" s="86"/>
      <c r="BO34" s="86"/>
      <c r="BP34" s="86"/>
      <c r="BQ34" s="86"/>
      <c r="BR34" s="86"/>
      <c r="BS34" s="86"/>
      <c r="BU34" s="75" t="s">
        <v>49</v>
      </c>
      <c r="BV34" s="189"/>
      <c r="BW34" s="76"/>
      <c r="BX34" s="86"/>
      <c r="BY34" s="86"/>
      <c r="BZ34" s="86"/>
      <c r="CA34" s="86"/>
      <c r="CB34" s="86"/>
      <c r="CC34" s="86"/>
      <c r="CD34" s="86"/>
      <c r="CE34" s="86"/>
      <c r="CF34" s="86"/>
      <c r="CG34" s="86"/>
      <c r="CH34" s="86"/>
      <c r="CI34" s="86"/>
      <c r="CJ34" s="86"/>
      <c r="CK34" s="84"/>
      <c r="CL34" s="84"/>
      <c r="CM34" s="86"/>
      <c r="CN34" s="86"/>
      <c r="CO34" s="86"/>
      <c r="CP34" s="86"/>
      <c r="CQ34" s="86"/>
      <c r="CR34" s="86"/>
      <c r="CS34" s="86"/>
      <c r="CT34" s="86"/>
      <c r="CU34" s="86"/>
      <c r="CV34" s="86"/>
      <c r="CW34" s="86"/>
      <c r="CX34" s="86"/>
      <c r="CY34" s="86"/>
      <c r="CZ34" s="86"/>
      <c r="DA34" s="86"/>
      <c r="DB34" s="86"/>
      <c r="DC34" s="86"/>
    </row>
    <row r="35" spans="1:107">
      <c r="A35" s="75" t="s">
        <v>50</v>
      </c>
      <c r="B35" s="189"/>
      <c r="C35" s="7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4"/>
      <c r="R35" s="84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K35" s="75" t="s">
        <v>50</v>
      </c>
      <c r="AL35" s="189"/>
      <c r="AM35" s="7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  <c r="BA35" s="84"/>
      <c r="BB35" s="84"/>
      <c r="BC35" s="86"/>
      <c r="BD35" s="86"/>
      <c r="BE35" s="86"/>
      <c r="BF35" s="86"/>
      <c r="BG35" s="86"/>
      <c r="BH35" s="86"/>
      <c r="BI35" s="86"/>
      <c r="BJ35" s="86"/>
      <c r="BK35" s="86"/>
      <c r="BL35" s="86"/>
      <c r="BM35" s="86"/>
      <c r="BN35" s="86"/>
      <c r="BO35" s="86"/>
      <c r="BP35" s="86"/>
      <c r="BQ35" s="86"/>
      <c r="BR35" s="86"/>
      <c r="BS35" s="86"/>
      <c r="BU35" s="75" t="s">
        <v>50</v>
      </c>
      <c r="BV35" s="189"/>
      <c r="BW35" s="76"/>
      <c r="BX35" s="86"/>
      <c r="BY35" s="86"/>
      <c r="BZ35" s="86"/>
      <c r="CA35" s="86"/>
      <c r="CB35" s="86"/>
      <c r="CC35" s="86"/>
      <c r="CD35" s="86"/>
      <c r="CE35" s="86"/>
      <c r="CF35" s="86"/>
      <c r="CG35" s="86"/>
      <c r="CH35" s="86"/>
      <c r="CI35" s="86"/>
      <c r="CJ35" s="86"/>
      <c r="CK35" s="84"/>
      <c r="CL35" s="84"/>
      <c r="CM35" s="86"/>
      <c r="CN35" s="86"/>
      <c r="CO35" s="86"/>
      <c r="CP35" s="86"/>
      <c r="CQ35" s="86"/>
      <c r="CR35" s="86"/>
      <c r="CS35" s="86"/>
      <c r="CT35" s="86"/>
      <c r="CU35" s="86"/>
      <c r="CV35" s="86"/>
      <c r="CW35" s="86"/>
      <c r="CX35" s="86"/>
      <c r="CY35" s="86"/>
      <c r="CZ35" s="86"/>
      <c r="DA35" s="86"/>
      <c r="DB35" s="86"/>
      <c r="DC35" s="86"/>
    </row>
    <row r="36" spans="1:107">
      <c r="A36" s="75" t="s">
        <v>51</v>
      </c>
      <c r="B36" s="189"/>
      <c r="C36" s="76"/>
      <c r="D36" s="78"/>
      <c r="E36" s="78"/>
      <c r="F36" s="86"/>
      <c r="G36" s="86"/>
      <c r="H36" s="86"/>
      <c r="I36" s="86"/>
      <c r="J36" s="78"/>
      <c r="K36" s="78"/>
      <c r="L36" s="78"/>
      <c r="M36" s="76"/>
      <c r="N36" s="86"/>
      <c r="O36" s="86"/>
      <c r="P36" s="86"/>
      <c r="Q36" s="84"/>
      <c r="R36" s="78"/>
      <c r="S36" s="78"/>
      <c r="T36" s="76"/>
      <c r="U36" s="79"/>
      <c r="V36" s="86"/>
      <c r="W36" s="86"/>
      <c r="X36" s="86"/>
      <c r="Y36" s="78"/>
      <c r="Z36" s="78"/>
      <c r="AA36" s="76"/>
      <c r="AB36" s="79"/>
      <c r="AC36" s="86"/>
      <c r="AD36" s="86"/>
      <c r="AE36" s="86"/>
      <c r="AF36" s="78"/>
      <c r="AG36" s="78"/>
      <c r="AH36" s="86"/>
      <c r="AI36" s="86"/>
      <c r="AK36" s="75" t="s">
        <v>51</v>
      </c>
      <c r="AL36" s="189"/>
      <c r="AM36" s="76"/>
      <c r="AN36" s="78"/>
      <c r="AO36" s="78"/>
      <c r="AP36" s="86"/>
      <c r="AQ36" s="86"/>
      <c r="AR36" s="86"/>
      <c r="AS36" s="86"/>
      <c r="AT36" s="78"/>
      <c r="AU36" s="78"/>
      <c r="AV36" s="78"/>
      <c r="AW36" s="76"/>
      <c r="AX36" s="86"/>
      <c r="AY36" s="86"/>
      <c r="AZ36" s="86"/>
      <c r="BA36" s="84"/>
      <c r="BB36" s="78"/>
      <c r="BC36" s="78"/>
      <c r="BD36" s="76"/>
      <c r="BE36" s="79"/>
      <c r="BF36" s="86"/>
      <c r="BG36" s="86"/>
      <c r="BH36" s="86"/>
      <c r="BI36" s="78"/>
      <c r="BJ36" s="78"/>
      <c r="BK36" s="76"/>
      <c r="BL36" s="79"/>
      <c r="BM36" s="86"/>
      <c r="BN36" s="86"/>
      <c r="BO36" s="86"/>
      <c r="BP36" s="78"/>
      <c r="BQ36" s="78"/>
      <c r="BR36" s="86"/>
      <c r="BS36" s="86"/>
      <c r="BU36" s="75" t="s">
        <v>51</v>
      </c>
      <c r="BV36" s="189"/>
      <c r="BW36" s="76"/>
      <c r="BX36" s="78"/>
      <c r="BY36" s="78"/>
      <c r="BZ36" s="86"/>
      <c r="CA36" s="86"/>
      <c r="CB36" s="86"/>
      <c r="CC36" s="86"/>
      <c r="CD36" s="78"/>
      <c r="CE36" s="78"/>
      <c r="CF36" s="78"/>
      <c r="CG36" s="76"/>
      <c r="CH36" s="86"/>
      <c r="CI36" s="86"/>
      <c r="CJ36" s="86"/>
      <c r="CK36" s="84"/>
      <c r="CL36" s="78"/>
      <c r="CM36" s="78"/>
      <c r="CN36" s="76"/>
      <c r="CO36" s="79"/>
      <c r="CP36" s="86"/>
      <c r="CQ36" s="86"/>
      <c r="CR36" s="86"/>
      <c r="CS36" s="78"/>
      <c r="CT36" s="78"/>
      <c r="CU36" s="76"/>
      <c r="CV36" s="79"/>
      <c r="CW36" s="86"/>
      <c r="CX36" s="86"/>
      <c r="CY36" s="86"/>
      <c r="CZ36" s="78"/>
      <c r="DA36" s="78"/>
      <c r="DB36" s="86"/>
      <c r="DC36" s="86"/>
    </row>
    <row r="37" spans="1:107">
      <c r="A37" s="75" t="s">
        <v>52</v>
      </c>
      <c r="B37" s="189"/>
      <c r="C37" s="7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4"/>
      <c r="R37" s="86"/>
      <c r="S37" s="86"/>
      <c r="T37" s="84"/>
      <c r="U37" s="79"/>
      <c r="V37" s="86"/>
      <c r="W37" s="86"/>
      <c r="X37" s="86"/>
      <c r="Y37" s="86"/>
      <c r="Z37" s="86"/>
      <c r="AA37" s="84"/>
      <c r="AB37" s="79"/>
      <c r="AC37" s="86"/>
      <c r="AD37" s="86"/>
      <c r="AE37" s="86"/>
      <c r="AF37" s="86"/>
      <c r="AG37" s="86"/>
      <c r="AH37" s="86"/>
      <c r="AI37" s="86"/>
      <c r="AK37" s="75" t="s">
        <v>52</v>
      </c>
      <c r="AL37" s="189"/>
      <c r="AM37" s="7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86"/>
      <c r="AY37" s="86"/>
      <c r="AZ37" s="86"/>
      <c r="BA37" s="84"/>
      <c r="BB37" s="86"/>
      <c r="BC37" s="86"/>
      <c r="BD37" s="84"/>
      <c r="BE37" s="79"/>
      <c r="BF37" s="86"/>
      <c r="BG37" s="86"/>
      <c r="BH37" s="86"/>
      <c r="BI37" s="86"/>
      <c r="BJ37" s="86"/>
      <c r="BK37" s="84"/>
      <c r="BL37" s="79"/>
      <c r="BM37" s="86"/>
      <c r="BN37" s="86"/>
      <c r="BO37" s="86"/>
      <c r="BP37" s="86"/>
      <c r="BQ37" s="86"/>
      <c r="BR37" s="86"/>
      <c r="BS37" s="86"/>
      <c r="BU37" s="75" t="s">
        <v>52</v>
      </c>
      <c r="BV37" s="189"/>
      <c r="BW37" s="76"/>
      <c r="BX37" s="86"/>
      <c r="BY37" s="86"/>
      <c r="BZ37" s="86"/>
      <c r="CA37" s="86"/>
      <c r="CB37" s="86"/>
      <c r="CC37" s="86"/>
      <c r="CD37" s="86"/>
      <c r="CE37" s="86"/>
      <c r="CF37" s="86"/>
      <c r="CG37" s="86"/>
      <c r="CH37" s="86"/>
      <c r="CI37" s="86"/>
      <c r="CJ37" s="86"/>
      <c r="CK37" s="84"/>
      <c r="CL37" s="86"/>
      <c r="CM37" s="86"/>
      <c r="CN37" s="84"/>
      <c r="CO37" s="79"/>
      <c r="CP37" s="86"/>
      <c r="CQ37" s="86"/>
      <c r="CR37" s="86"/>
      <c r="CS37" s="86"/>
      <c r="CT37" s="86"/>
      <c r="CU37" s="84"/>
      <c r="CV37" s="79"/>
      <c r="CW37" s="86"/>
      <c r="CX37" s="86"/>
      <c r="CY37" s="86"/>
      <c r="CZ37" s="86"/>
      <c r="DA37" s="86"/>
      <c r="DB37" s="86"/>
      <c r="DC37" s="86"/>
    </row>
    <row r="38" spans="1:107">
      <c r="A38" s="75" t="s">
        <v>53</v>
      </c>
      <c r="B38" s="189"/>
      <c r="C38" s="7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4"/>
      <c r="R38" s="86"/>
      <c r="S38" s="86"/>
      <c r="T38" s="84"/>
      <c r="U38" s="86"/>
      <c r="V38" s="86"/>
      <c r="W38" s="86"/>
      <c r="X38" s="86"/>
      <c r="Y38" s="86"/>
      <c r="Z38" s="86"/>
      <c r="AA38" s="84"/>
      <c r="AB38" s="79"/>
      <c r="AC38" s="86"/>
      <c r="AD38" s="86"/>
      <c r="AE38" s="86"/>
      <c r="AF38" s="86"/>
      <c r="AG38" s="86"/>
      <c r="AH38" s="86"/>
      <c r="AI38" s="86"/>
      <c r="AK38" s="75" t="s">
        <v>53</v>
      </c>
      <c r="AL38" s="189"/>
      <c r="AM38" s="7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4"/>
      <c r="BB38" s="86"/>
      <c r="BC38" s="86"/>
      <c r="BD38" s="84"/>
      <c r="BE38" s="86"/>
      <c r="BF38" s="86"/>
      <c r="BG38" s="86"/>
      <c r="BH38" s="86"/>
      <c r="BI38" s="86"/>
      <c r="BJ38" s="86"/>
      <c r="BK38" s="84"/>
      <c r="BL38" s="79"/>
      <c r="BM38" s="86"/>
      <c r="BN38" s="86"/>
      <c r="BO38" s="86"/>
      <c r="BP38" s="86"/>
      <c r="BQ38" s="86"/>
      <c r="BR38" s="86"/>
      <c r="BS38" s="86"/>
      <c r="BU38" s="75" t="s">
        <v>53</v>
      </c>
      <c r="BV38" s="189"/>
      <c r="BW38" s="76"/>
      <c r="BX38" s="86"/>
      <c r="BY38" s="86"/>
      <c r="BZ38" s="86"/>
      <c r="CA38" s="86"/>
      <c r="CB38" s="86"/>
      <c r="CC38" s="86"/>
      <c r="CD38" s="86"/>
      <c r="CE38" s="86"/>
      <c r="CF38" s="86"/>
      <c r="CG38" s="86"/>
      <c r="CH38" s="86"/>
      <c r="CI38" s="86"/>
      <c r="CJ38" s="86"/>
      <c r="CK38" s="84"/>
      <c r="CL38" s="86"/>
      <c r="CM38" s="86"/>
      <c r="CN38" s="84"/>
      <c r="CO38" s="86"/>
      <c r="CP38" s="86"/>
      <c r="CQ38" s="86"/>
      <c r="CR38" s="86"/>
      <c r="CS38" s="86"/>
      <c r="CT38" s="86"/>
      <c r="CU38" s="84"/>
      <c r="CV38" s="79"/>
      <c r="CW38" s="86"/>
      <c r="CX38" s="86"/>
      <c r="CY38" s="86"/>
      <c r="CZ38" s="86"/>
      <c r="DA38" s="86"/>
      <c r="DB38" s="86"/>
      <c r="DC38" s="86"/>
    </row>
    <row r="39" spans="1:107">
      <c r="A39" s="75" t="s">
        <v>156</v>
      </c>
      <c r="B39" s="189"/>
      <c r="C39" s="76"/>
      <c r="D39" s="86"/>
      <c r="E39" s="86"/>
      <c r="F39" s="84"/>
      <c r="G39" s="79"/>
      <c r="H39" s="86"/>
      <c r="I39" s="86"/>
      <c r="J39" s="86"/>
      <c r="K39" s="86"/>
      <c r="L39" s="86"/>
      <c r="M39" s="86"/>
      <c r="N39" s="86"/>
      <c r="O39" s="86"/>
      <c r="P39" s="86"/>
      <c r="Q39" s="84"/>
      <c r="R39" s="86"/>
      <c r="S39" s="86"/>
      <c r="T39" s="84"/>
      <c r="U39" s="86"/>
      <c r="V39" s="86"/>
      <c r="W39" s="86"/>
      <c r="X39" s="86"/>
      <c r="Y39" s="86"/>
      <c r="Z39" s="86"/>
      <c r="AA39" s="84"/>
      <c r="AB39" s="86"/>
      <c r="AC39" s="86"/>
      <c r="AD39" s="86"/>
      <c r="AE39" s="86"/>
      <c r="AF39" s="86"/>
      <c r="AG39" s="86"/>
      <c r="AH39" s="84"/>
      <c r="AI39" s="79"/>
      <c r="AK39" s="75" t="s">
        <v>156</v>
      </c>
      <c r="AL39" s="189"/>
      <c r="AM39" s="76"/>
      <c r="AN39" s="86"/>
      <c r="AO39" s="86"/>
      <c r="AP39" s="84"/>
      <c r="AQ39" s="79"/>
      <c r="AR39" s="86"/>
      <c r="AS39" s="86"/>
      <c r="AT39" s="86"/>
      <c r="AU39" s="86"/>
      <c r="AV39" s="86"/>
      <c r="AW39" s="86"/>
      <c r="AX39" s="86"/>
      <c r="AY39" s="86"/>
      <c r="AZ39" s="86"/>
      <c r="BA39" s="84"/>
      <c r="BB39" s="86"/>
      <c r="BC39" s="86"/>
      <c r="BD39" s="84"/>
      <c r="BE39" s="86"/>
      <c r="BF39" s="86"/>
      <c r="BG39" s="86"/>
      <c r="BH39" s="86"/>
      <c r="BI39" s="86"/>
      <c r="BJ39" s="86"/>
      <c r="BK39" s="84"/>
      <c r="BL39" s="86"/>
      <c r="BM39" s="86"/>
      <c r="BN39" s="86"/>
      <c r="BO39" s="86"/>
      <c r="BP39" s="86"/>
      <c r="BQ39" s="86"/>
      <c r="BR39" s="84"/>
      <c r="BS39" s="79"/>
      <c r="BU39" s="75" t="s">
        <v>156</v>
      </c>
      <c r="BV39" s="189"/>
      <c r="BW39" s="76"/>
      <c r="BX39" s="86"/>
      <c r="BY39" s="86"/>
      <c r="BZ39" s="84"/>
      <c r="CA39" s="79"/>
      <c r="CB39" s="86"/>
      <c r="CC39" s="86"/>
      <c r="CD39" s="86"/>
      <c r="CE39" s="86"/>
      <c r="CF39" s="86"/>
      <c r="CG39" s="86"/>
      <c r="CH39" s="86"/>
      <c r="CI39" s="86"/>
      <c r="CJ39" s="86"/>
      <c r="CK39" s="84"/>
      <c r="CL39" s="86"/>
      <c r="CM39" s="86"/>
      <c r="CN39" s="84"/>
      <c r="CO39" s="86"/>
      <c r="CP39" s="86"/>
      <c r="CQ39" s="86"/>
      <c r="CR39" s="86"/>
      <c r="CS39" s="86"/>
      <c r="CT39" s="86"/>
      <c r="CU39" s="84"/>
      <c r="CV39" s="86"/>
      <c r="CW39" s="86"/>
      <c r="CX39" s="86"/>
      <c r="CY39" s="86"/>
      <c r="CZ39" s="86"/>
      <c r="DA39" s="86"/>
      <c r="DB39" s="84"/>
      <c r="DC39" s="79"/>
    </row>
    <row r="40" spans="1:107" ht="13.95" customHeight="1">
      <c r="A40" s="75" t="s">
        <v>55</v>
      </c>
      <c r="B40" s="189"/>
      <c r="C40" s="76"/>
      <c r="D40" s="76"/>
      <c r="E40" s="76"/>
      <c r="F40" s="76"/>
      <c r="G40" s="77"/>
      <c r="H40" s="77"/>
      <c r="I40" s="76"/>
      <c r="J40" s="76"/>
      <c r="K40" s="76"/>
      <c r="L40" s="78"/>
      <c r="M40" s="78"/>
      <c r="N40" s="86"/>
      <c r="O40" s="86"/>
      <c r="P40" s="78"/>
      <c r="Q40" s="78"/>
      <c r="R40" s="78"/>
      <c r="S40" s="78"/>
      <c r="T40" s="78"/>
      <c r="U40" s="86"/>
      <c r="V40" s="86"/>
      <c r="W40" s="78"/>
      <c r="X40" s="78"/>
      <c r="Y40" s="78"/>
      <c r="Z40" s="86"/>
      <c r="AA40" s="86"/>
      <c r="AB40" s="86"/>
      <c r="AC40" s="86"/>
      <c r="AD40" s="78"/>
      <c r="AE40" s="78"/>
      <c r="AF40" s="78"/>
      <c r="AG40" s="86"/>
      <c r="AH40" s="84"/>
      <c r="AI40" s="86"/>
      <c r="AK40" s="75" t="s">
        <v>55</v>
      </c>
      <c r="AL40" s="189"/>
      <c r="AM40" s="76"/>
      <c r="AN40" s="76"/>
      <c r="AO40" s="76"/>
      <c r="AP40" s="76"/>
      <c r="AQ40" s="77"/>
      <c r="AR40" s="77"/>
      <c r="AS40" s="76"/>
      <c r="AT40" s="76"/>
      <c r="AU40" s="76"/>
      <c r="AV40" s="78"/>
      <c r="AW40" s="78"/>
      <c r="AX40" s="86"/>
      <c r="AY40" s="86"/>
      <c r="AZ40" s="78"/>
      <c r="BA40" s="78"/>
      <c r="BB40" s="78"/>
      <c r="BC40" s="78"/>
      <c r="BD40" s="78"/>
      <c r="BE40" s="86"/>
      <c r="BF40" s="86"/>
      <c r="BG40" s="78"/>
      <c r="BH40" s="78"/>
      <c r="BI40" s="78"/>
      <c r="BJ40" s="86"/>
      <c r="BK40" s="86"/>
      <c r="BL40" s="86"/>
      <c r="BM40" s="86"/>
      <c r="BN40" s="78"/>
      <c r="BO40" s="78"/>
      <c r="BP40" s="78"/>
      <c r="BQ40" s="86"/>
      <c r="BR40" s="84"/>
      <c r="BS40" s="86"/>
      <c r="BU40" s="75" t="s">
        <v>55</v>
      </c>
      <c r="BV40" s="189"/>
      <c r="BW40" s="76"/>
      <c r="BX40" s="76"/>
      <c r="BY40" s="76"/>
      <c r="BZ40" s="76"/>
      <c r="CA40" s="77"/>
      <c r="CB40" s="77"/>
      <c r="CC40" s="76"/>
      <c r="CD40" s="76"/>
      <c r="CE40" s="76"/>
      <c r="CF40" s="78"/>
      <c r="CG40" s="78"/>
      <c r="CH40" s="86"/>
      <c r="CI40" s="86"/>
      <c r="CJ40" s="78"/>
      <c r="CK40" s="78"/>
      <c r="CL40" s="78"/>
      <c r="CM40" s="78"/>
      <c r="CN40" s="78"/>
      <c r="CO40" s="86"/>
      <c r="CP40" s="86"/>
      <c r="CQ40" s="78"/>
      <c r="CR40" s="78"/>
      <c r="CS40" s="78"/>
      <c r="CT40" s="86"/>
      <c r="CU40" s="86"/>
      <c r="CV40" s="86"/>
      <c r="CW40" s="86"/>
      <c r="CX40" s="78"/>
      <c r="CY40" s="78"/>
      <c r="CZ40" s="78"/>
      <c r="DA40" s="86"/>
      <c r="DB40" s="84"/>
      <c r="DC40" s="86"/>
    </row>
    <row r="41" spans="1:107">
      <c r="A41" s="75" t="s">
        <v>56</v>
      </c>
      <c r="B41" s="189"/>
      <c r="C41" s="76"/>
      <c r="D41" s="76"/>
      <c r="E41" s="76"/>
      <c r="F41" s="76"/>
      <c r="G41" s="77"/>
      <c r="H41" s="77"/>
      <c r="I41" s="76"/>
      <c r="J41" s="76"/>
      <c r="K41" s="76"/>
      <c r="L41" s="78"/>
      <c r="M41" s="78"/>
      <c r="N41" s="86"/>
      <c r="O41" s="86"/>
      <c r="P41" s="78"/>
      <c r="Q41" s="78"/>
      <c r="R41" s="78"/>
      <c r="S41" s="78"/>
      <c r="T41" s="78"/>
      <c r="U41" s="86"/>
      <c r="V41" s="86"/>
      <c r="W41" s="78"/>
      <c r="X41" s="78"/>
      <c r="Y41" s="78"/>
      <c r="Z41" s="78"/>
      <c r="AA41" s="78"/>
      <c r="AB41" s="86"/>
      <c r="AC41" s="86"/>
      <c r="AD41" s="78"/>
      <c r="AE41" s="78"/>
      <c r="AF41" s="78"/>
      <c r="AG41" s="78"/>
      <c r="AH41" s="78"/>
      <c r="AI41" s="79"/>
      <c r="AK41" s="75" t="s">
        <v>56</v>
      </c>
      <c r="AL41" s="189"/>
      <c r="AM41" s="76"/>
      <c r="AN41" s="76"/>
      <c r="AO41" s="76"/>
      <c r="AP41" s="76"/>
      <c r="AQ41" s="77"/>
      <c r="AR41" s="77"/>
      <c r="AS41" s="76"/>
      <c r="AT41" s="76"/>
      <c r="AU41" s="76"/>
      <c r="AV41" s="78"/>
      <c r="AW41" s="78"/>
      <c r="AX41" s="86"/>
      <c r="AY41" s="86"/>
      <c r="AZ41" s="78"/>
      <c r="BA41" s="78"/>
      <c r="BB41" s="78"/>
      <c r="BC41" s="78"/>
      <c r="BD41" s="78"/>
      <c r="BE41" s="86"/>
      <c r="BF41" s="86"/>
      <c r="BG41" s="78"/>
      <c r="BH41" s="78"/>
      <c r="BI41" s="78"/>
      <c r="BJ41" s="78"/>
      <c r="BK41" s="78"/>
      <c r="BL41" s="86"/>
      <c r="BM41" s="86"/>
      <c r="BN41" s="78"/>
      <c r="BO41" s="78"/>
      <c r="BP41" s="78"/>
      <c r="BQ41" s="78"/>
      <c r="BR41" s="78"/>
      <c r="BS41" s="79"/>
      <c r="BU41" s="75" t="s">
        <v>56</v>
      </c>
      <c r="BV41" s="189"/>
      <c r="BW41" s="76"/>
      <c r="BX41" s="76"/>
      <c r="BY41" s="76"/>
      <c r="BZ41" s="76"/>
      <c r="CA41" s="77"/>
      <c r="CB41" s="77"/>
      <c r="CC41" s="76"/>
      <c r="CD41" s="76"/>
      <c r="CE41" s="76"/>
      <c r="CF41" s="78"/>
      <c r="CG41" s="78"/>
      <c r="CH41" s="86"/>
      <c r="CI41" s="86"/>
      <c r="CJ41" s="78"/>
      <c r="CK41" s="78"/>
      <c r="CL41" s="78"/>
      <c r="CM41" s="78"/>
      <c r="CN41" s="78"/>
      <c r="CO41" s="86"/>
      <c r="CP41" s="86"/>
      <c r="CQ41" s="78"/>
      <c r="CR41" s="78"/>
      <c r="CS41" s="78"/>
      <c r="CT41" s="78"/>
      <c r="CU41" s="78"/>
      <c r="CV41" s="86"/>
      <c r="CW41" s="86"/>
      <c r="CX41" s="78"/>
      <c r="CY41" s="78"/>
      <c r="CZ41" s="78"/>
      <c r="DA41" s="78"/>
      <c r="DB41" s="78"/>
      <c r="DC41" s="79"/>
    </row>
    <row r="42" spans="1:107">
      <c r="A42" s="75" t="s">
        <v>57</v>
      </c>
      <c r="B42" s="189"/>
      <c r="C42" s="76"/>
      <c r="D42" s="86"/>
      <c r="E42" s="86"/>
      <c r="F42" s="84"/>
      <c r="G42" s="79"/>
      <c r="H42" s="86"/>
      <c r="I42" s="86"/>
      <c r="J42" s="86"/>
      <c r="K42" s="86"/>
      <c r="L42" s="86"/>
      <c r="M42" s="86"/>
      <c r="N42" s="86"/>
      <c r="O42" s="86"/>
      <c r="P42" s="86"/>
      <c r="Q42" s="84"/>
      <c r="R42" s="86"/>
      <c r="S42" s="78"/>
      <c r="T42" s="76"/>
      <c r="U42" s="86"/>
      <c r="V42" s="86"/>
      <c r="W42" s="78"/>
      <c r="X42" s="78"/>
      <c r="Y42" s="78"/>
      <c r="Z42" s="78"/>
      <c r="AA42" s="76"/>
      <c r="AB42" s="86"/>
      <c r="AC42" s="86"/>
      <c r="AD42" s="78"/>
      <c r="AE42" s="78"/>
      <c r="AF42" s="78"/>
      <c r="AG42" s="78"/>
      <c r="AH42" s="76"/>
      <c r="AI42" s="77"/>
      <c r="AK42" s="75" t="s">
        <v>57</v>
      </c>
      <c r="AL42" s="189"/>
      <c r="AM42" s="76"/>
      <c r="AN42" s="86"/>
      <c r="AO42" s="86"/>
      <c r="AP42" s="84"/>
      <c r="AQ42" s="79"/>
      <c r="AR42" s="86"/>
      <c r="AS42" s="86"/>
      <c r="AT42" s="86"/>
      <c r="AU42" s="86"/>
      <c r="AV42" s="86"/>
      <c r="AW42" s="86"/>
      <c r="AX42" s="86"/>
      <c r="AY42" s="86"/>
      <c r="AZ42" s="86"/>
      <c r="BA42" s="84"/>
      <c r="BB42" s="86"/>
      <c r="BC42" s="78"/>
      <c r="BD42" s="76"/>
      <c r="BE42" s="86"/>
      <c r="BF42" s="86"/>
      <c r="BG42" s="78"/>
      <c r="BH42" s="78"/>
      <c r="BI42" s="78"/>
      <c r="BJ42" s="78"/>
      <c r="BK42" s="76"/>
      <c r="BL42" s="86"/>
      <c r="BM42" s="86"/>
      <c r="BN42" s="78"/>
      <c r="BO42" s="78"/>
      <c r="BP42" s="78"/>
      <c r="BQ42" s="78"/>
      <c r="BR42" s="76"/>
      <c r="BS42" s="77"/>
      <c r="BU42" s="75" t="s">
        <v>57</v>
      </c>
      <c r="BV42" s="189"/>
      <c r="BW42" s="76"/>
      <c r="BX42" s="86"/>
      <c r="BY42" s="86"/>
      <c r="BZ42" s="84"/>
      <c r="CA42" s="79"/>
      <c r="CB42" s="86"/>
      <c r="CC42" s="86"/>
      <c r="CD42" s="86"/>
      <c r="CE42" s="86"/>
      <c r="CF42" s="86"/>
      <c r="CG42" s="86"/>
      <c r="CH42" s="86"/>
      <c r="CI42" s="86"/>
      <c r="CJ42" s="86"/>
      <c r="CK42" s="84"/>
      <c r="CL42" s="86"/>
      <c r="CM42" s="78"/>
      <c r="CN42" s="76"/>
      <c r="CO42" s="86"/>
      <c r="CP42" s="86"/>
      <c r="CQ42" s="78"/>
      <c r="CR42" s="78"/>
      <c r="CS42" s="78"/>
      <c r="CT42" s="78"/>
      <c r="CU42" s="76"/>
      <c r="CV42" s="86"/>
      <c r="CW42" s="86"/>
      <c r="CX42" s="78"/>
      <c r="CY42" s="78"/>
      <c r="CZ42" s="78"/>
      <c r="DA42" s="78"/>
      <c r="DB42" s="76"/>
      <c r="DC42" s="77"/>
    </row>
    <row r="43" spans="1:107">
      <c r="A43" s="75" t="s">
        <v>59</v>
      </c>
      <c r="B43" s="189"/>
      <c r="C43" s="7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4"/>
      <c r="R43" s="84"/>
      <c r="S43" s="86"/>
      <c r="T43" s="84"/>
      <c r="U43" s="79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K43" s="75" t="s">
        <v>59</v>
      </c>
      <c r="AL43" s="189"/>
      <c r="AM43" s="7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4"/>
      <c r="BB43" s="84"/>
      <c r="BC43" s="86"/>
      <c r="BD43" s="84"/>
      <c r="BE43" s="79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U43" s="75" t="s">
        <v>59</v>
      </c>
      <c r="BV43" s="189"/>
      <c r="BW43" s="76"/>
      <c r="BX43" s="86"/>
      <c r="BY43" s="86"/>
      <c r="BZ43" s="86"/>
      <c r="CA43" s="86"/>
      <c r="CB43" s="86"/>
      <c r="CC43" s="86"/>
      <c r="CD43" s="86"/>
      <c r="CE43" s="86"/>
      <c r="CF43" s="86"/>
      <c r="CG43" s="86"/>
      <c r="CH43" s="86"/>
      <c r="CI43" s="86"/>
      <c r="CJ43" s="86"/>
      <c r="CK43" s="84"/>
      <c r="CL43" s="84"/>
      <c r="CM43" s="86"/>
      <c r="CN43" s="84"/>
      <c r="CO43" s="79"/>
      <c r="CP43" s="86"/>
      <c r="CQ43" s="86"/>
      <c r="CR43" s="86"/>
      <c r="CS43" s="86"/>
      <c r="CT43" s="86"/>
      <c r="CU43" s="86"/>
      <c r="CV43" s="86"/>
      <c r="CW43" s="86"/>
      <c r="CX43" s="86"/>
      <c r="CY43" s="86"/>
      <c r="CZ43" s="86"/>
      <c r="DA43" s="86"/>
      <c r="DB43" s="86"/>
      <c r="DC43" s="86"/>
    </row>
    <row r="44" spans="1:107">
      <c r="A44" s="75" t="s">
        <v>58</v>
      </c>
      <c r="B44" s="189"/>
      <c r="C44" s="76"/>
      <c r="D44" s="86"/>
      <c r="E44" s="86"/>
      <c r="F44" s="86"/>
      <c r="G44" s="86"/>
      <c r="H44" s="86"/>
      <c r="I44" s="86"/>
      <c r="J44" s="84"/>
      <c r="K44" s="84"/>
      <c r="L44" s="86"/>
      <c r="M44" s="86"/>
      <c r="N44" s="86"/>
      <c r="O44" s="86"/>
      <c r="P44" s="86"/>
      <c r="Q44" s="84"/>
      <c r="R44" s="84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K44" s="75" t="s">
        <v>58</v>
      </c>
      <c r="AL44" s="189"/>
      <c r="AM44" s="76"/>
      <c r="AN44" s="86"/>
      <c r="AO44" s="86"/>
      <c r="AP44" s="86"/>
      <c r="AQ44" s="86"/>
      <c r="AR44" s="86"/>
      <c r="AS44" s="86"/>
      <c r="AT44" s="84"/>
      <c r="AU44" s="84"/>
      <c r="AV44" s="86"/>
      <c r="AW44" s="86"/>
      <c r="AX44" s="86"/>
      <c r="AY44" s="86"/>
      <c r="AZ44" s="86"/>
      <c r="BA44" s="84"/>
      <c r="BB44" s="84"/>
      <c r="BC44" s="86"/>
      <c r="BD44" s="86"/>
      <c r="BE44" s="86"/>
      <c r="BF44" s="86"/>
      <c r="BG44" s="86"/>
      <c r="BH44" s="86"/>
      <c r="BI44" s="86"/>
      <c r="BJ44" s="86"/>
      <c r="BK44" s="86"/>
      <c r="BL44" s="86"/>
      <c r="BM44" s="86"/>
      <c r="BN44" s="86"/>
      <c r="BO44" s="86"/>
      <c r="BP44" s="86"/>
      <c r="BQ44" s="86"/>
      <c r="BR44" s="86"/>
      <c r="BS44" s="86"/>
      <c r="BU44" s="75" t="s">
        <v>58</v>
      </c>
      <c r="BV44" s="189"/>
      <c r="BW44" s="76"/>
      <c r="BX44" s="86"/>
      <c r="BY44" s="86"/>
      <c r="BZ44" s="86"/>
      <c r="CA44" s="86"/>
      <c r="CB44" s="86"/>
      <c r="CC44" s="86"/>
      <c r="CD44" s="84"/>
      <c r="CE44" s="84"/>
      <c r="CF44" s="86"/>
      <c r="CG44" s="86"/>
      <c r="CH44" s="86"/>
      <c r="CI44" s="86"/>
      <c r="CJ44" s="86"/>
      <c r="CK44" s="84"/>
      <c r="CL44" s="84"/>
      <c r="CM44" s="86"/>
      <c r="CN44" s="86"/>
      <c r="CO44" s="86"/>
      <c r="CP44" s="86"/>
      <c r="CQ44" s="86"/>
      <c r="CR44" s="86"/>
      <c r="CS44" s="86"/>
      <c r="CT44" s="86"/>
      <c r="CU44" s="86"/>
      <c r="CV44" s="86"/>
      <c r="CW44" s="86"/>
      <c r="CX44" s="86"/>
      <c r="CY44" s="86"/>
      <c r="CZ44" s="86"/>
      <c r="DA44" s="86"/>
      <c r="DB44" s="86"/>
      <c r="DC44" s="86"/>
    </row>
    <row r="45" spans="1:107">
      <c r="A45" s="75" t="s">
        <v>157</v>
      </c>
      <c r="B45" s="148"/>
      <c r="C45" s="76"/>
      <c r="D45" s="86"/>
      <c r="E45" s="86"/>
      <c r="F45" s="86"/>
      <c r="G45" s="86"/>
      <c r="H45" s="86"/>
      <c r="I45" s="86"/>
      <c r="J45" s="84"/>
      <c r="K45" s="84"/>
      <c r="L45" s="86"/>
      <c r="M45" s="86"/>
      <c r="N45" s="86"/>
      <c r="O45" s="86"/>
      <c r="P45" s="86"/>
      <c r="Q45" s="84"/>
      <c r="R45" s="84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K45" s="75" t="s">
        <v>157</v>
      </c>
      <c r="AL45" s="148"/>
      <c r="AM45" s="76"/>
      <c r="AN45" s="86"/>
      <c r="AO45" s="86"/>
      <c r="AP45" s="86"/>
      <c r="AQ45" s="86"/>
      <c r="AR45" s="86"/>
      <c r="AS45" s="86"/>
      <c r="AT45" s="84"/>
      <c r="AU45" s="84"/>
      <c r="AV45" s="86"/>
      <c r="AW45" s="86"/>
      <c r="AX45" s="86"/>
      <c r="AY45" s="86"/>
      <c r="AZ45" s="86"/>
      <c r="BA45" s="84"/>
      <c r="BB45" s="84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U45" s="75" t="s">
        <v>157</v>
      </c>
      <c r="BV45" s="148"/>
      <c r="BW45" s="76"/>
      <c r="BX45" s="86"/>
      <c r="BY45" s="86"/>
      <c r="BZ45" s="86"/>
      <c r="CA45" s="86"/>
      <c r="CB45" s="86"/>
      <c r="CC45" s="86"/>
      <c r="CD45" s="84"/>
      <c r="CE45" s="84"/>
      <c r="CF45" s="86"/>
      <c r="CG45" s="86"/>
      <c r="CH45" s="86"/>
      <c r="CI45" s="86"/>
      <c r="CJ45" s="86"/>
      <c r="CK45" s="84"/>
      <c r="CL45" s="84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</row>
    <row r="46" spans="1:107">
      <c r="A46" s="8"/>
      <c r="B46" s="12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K46" s="8"/>
      <c r="AL46" s="12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U46" s="8"/>
      <c r="BV46" s="12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</row>
    <row r="47" spans="1:107">
      <c r="A47" s="7" t="s">
        <v>89</v>
      </c>
      <c r="B47" s="1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K47" s="7" t="s">
        <v>89</v>
      </c>
      <c r="AL47" s="1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0"/>
      <c r="BD47" s="80"/>
      <c r="BE47" s="80"/>
      <c r="BF47" s="80"/>
      <c r="BG47" s="80"/>
      <c r="BH47" s="80"/>
      <c r="BI47" s="80"/>
      <c r="BJ47" s="80"/>
      <c r="BK47" s="80"/>
      <c r="BL47" s="80"/>
      <c r="BM47" s="80"/>
      <c r="BN47" s="80"/>
      <c r="BO47" s="80"/>
      <c r="BP47" s="80"/>
      <c r="BQ47" s="80"/>
      <c r="BR47" s="80"/>
      <c r="BS47" s="80"/>
      <c r="BU47" s="7" t="s">
        <v>89</v>
      </c>
      <c r="BV47" s="10"/>
      <c r="BW47" s="80"/>
      <c r="BX47" s="80"/>
      <c r="BY47" s="80"/>
      <c r="BZ47" s="80"/>
      <c r="CA47" s="80"/>
      <c r="CB47" s="80"/>
      <c r="CC47" s="80"/>
      <c r="CD47" s="80"/>
      <c r="CE47" s="80"/>
      <c r="CF47" s="80"/>
      <c r="CG47" s="80"/>
      <c r="CH47" s="80"/>
      <c r="CI47" s="80"/>
      <c r="CJ47" s="80"/>
      <c r="CK47" s="80"/>
      <c r="CL47" s="80"/>
      <c r="CM47" s="80"/>
      <c r="CN47" s="80"/>
      <c r="CO47" s="80"/>
      <c r="CP47" s="80"/>
      <c r="CQ47" s="80"/>
      <c r="CR47" s="80"/>
      <c r="CS47" s="80"/>
      <c r="CT47" s="80"/>
      <c r="CU47" s="80"/>
      <c r="CV47" s="80"/>
      <c r="CW47" s="80"/>
      <c r="CX47" s="80"/>
      <c r="CY47" s="80"/>
      <c r="CZ47" s="80"/>
      <c r="DA47" s="80"/>
      <c r="DB47" s="80"/>
      <c r="DC47" s="80"/>
    </row>
    <row r="48" spans="1:107">
      <c r="A48" s="75"/>
      <c r="B48" s="11" t="s">
        <v>154</v>
      </c>
      <c r="C48" s="112">
        <f>EOMONTH($A$1,-1)</f>
        <v>46265</v>
      </c>
      <c r="D48" s="112">
        <f t="shared" ref="D48:AI48" si="130">C48+1</f>
        <v>46266</v>
      </c>
      <c r="E48" s="112">
        <f t="shared" si="130"/>
        <v>46267</v>
      </c>
      <c r="F48" s="112">
        <f t="shared" si="130"/>
        <v>46268</v>
      </c>
      <c r="G48" s="112">
        <f t="shared" si="130"/>
        <v>46269</v>
      </c>
      <c r="H48" s="112">
        <f t="shared" si="130"/>
        <v>46270</v>
      </c>
      <c r="I48" s="112">
        <f t="shared" si="130"/>
        <v>46271</v>
      </c>
      <c r="J48" s="112">
        <f t="shared" si="130"/>
        <v>46272</v>
      </c>
      <c r="K48" s="112">
        <f t="shared" si="130"/>
        <v>46273</v>
      </c>
      <c r="L48" s="112">
        <f t="shared" si="130"/>
        <v>46274</v>
      </c>
      <c r="M48" s="112">
        <f t="shared" si="130"/>
        <v>46275</v>
      </c>
      <c r="N48" s="112">
        <f t="shared" si="130"/>
        <v>46276</v>
      </c>
      <c r="O48" s="112">
        <f t="shared" si="130"/>
        <v>46277</v>
      </c>
      <c r="P48" s="112">
        <f t="shared" si="130"/>
        <v>46278</v>
      </c>
      <c r="Q48" s="112">
        <f t="shared" si="130"/>
        <v>46279</v>
      </c>
      <c r="R48" s="112">
        <f t="shared" si="130"/>
        <v>46280</v>
      </c>
      <c r="S48" s="112">
        <f t="shared" si="130"/>
        <v>46281</v>
      </c>
      <c r="T48" s="112">
        <f t="shared" si="130"/>
        <v>46282</v>
      </c>
      <c r="U48" s="112">
        <f t="shared" si="130"/>
        <v>46283</v>
      </c>
      <c r="V48" s="112">
        <f t="shared" si="130"/>
        <v>46284</v>
      </c>
      <c r="W48" s="112">
        <f t="shared" si="130"/>
        <v>46285</v>
      </c>
      <c r="X48" s="112">
        <f t="shared" si="130"/>
        <v>46286</v>
      </c>
      <c r="Y48" s="112">
        <f t="shared" si="130"/>
        <v>46287</v>
      </c>
      <c r="Z48" s="112">
        <f t="shared" si="130"/>
        <v>46288</v>
      </c>
      <c r="AA48" s="112">
        <f t="shared" si="130"/>
        <v>46289</v>
      </c>
      <c r="AB48" s="112">
        <f t="shared" si="130"/>
        <v>46290</v>
      </c>
      <c r="AC48" s="112">
        <f t="shared" si="130"/>
        <v>46291</v>
      </c>
      <c r="AD48" s="112">
        <f t="shared" si="130"/>
        <v>46292</v>
      </c>
      <c r="AE48" s="112">
        <f t="shared" si="130"/>
        <v>46293</v>
      </c>
      <c r="AF48" s="112">
        <f t="shared" si="130"/>
        <v>46294</v>
      </c>
      <c r="AG48" s="112">
        <f t="shared" si="130"/>
        <v>46295</v>
      </c>
      <c r="AH48" s="112">
        <f t="shared" si="130"/>
        <v>46296</v>
      </c>
      <c r="AI48" s="112">
        <f t="shared" si="130"/>
        <v>46297</v>
      </c>
      <c r="AJ48" s="85"/>
      <c r="AK48" s="75"/>
      <c r="AL48" s="11" t="s">
        <v>154</v>
      </c>
      <c r="AM48" s="112">
        <f>EOMONTH($A$1,-1)</f>
        <v>46265</v>
      </c>
      <c r="AN48" s="112">
        <f t="shared" ref="AN48" si="131">AM48+1</f>
        <v>46266</v>
      </c>
      <c r="AO48" s="112">
        <f t="shared" ref="AO48" si="132">AN48+1</f>
        <v>46267</v>
      </c>
      <c r="AP48" s="112">
        <f t="shared" ref="AP48" si="133">AO48+1</f>
        <v>46268</v>
      </c>
      <c r="AQ48" s="112">
        <f t="shared" ref="AQ48" si="134">AP48+1</f>
        <v>46269</v>
      </c>
      <c r="AR48" s="112">
        <f t="shared" ref="AR48" si="135">AQ48+1</f>
        <v>46270</v>
      </c>
      <c r="AS48" s="112">
        <f t="shared" ref="AS48" si="136">AR48+1</f>
        <v>46271</v>
      </c>
      <c r="AT48" s="112">
        <f t="shared" ref="AT48" si="137">AS48+1</f>
        <v>46272</v>
      </c>
      <c r="AU48" s="112">
        <f t="shared" ref="AU48" si="138">AT48+1</f>
        <v>46273</v>
      </c>
      <c r="AV48" s="112">
        <f t="shared" ref="AV48" si="139">AU48+1</f>
        <v>46274</v>
      </c>
      <c r="AW48" s="112">
        <f t="shared" ref="AW48" si="140">AV48+1</f>
        <v>46275</v>
      </c>
      <c r="AX48" s="112">
        <f t="shared" ref="AX48" si="141">AW48+1</f>
        <v>46276</v>
      </c>
      <c r="AY48" s="112">
        <f t="shared" ref="AY48" si="142">AX48+1</f>
        <v>46277</v>
      </c>
      <c r="AZ48" s="112">
        <f t="shared" ref="AZ48" si="143">AY48+1</f>
        <v>46278</v>
      </c>
      <c r="BA48" s="112">
        <f t="shared" ref="BA48" si="144">AZ48+1</f>
        <v>46279</v>
      </c>
      <c r="BB48" s="112">
        <f t="shared" ref="BB48" si="145">BA48+1</f>
        <v>46280</v>
      </c>
      <c r="BC48" s="112">
        <f t="shared" ref="BC48" si="146">BB48+1</f>
        <v>46281</v>
      </c>
      <c r="BD48" s="112">
        <f t="shared" ref="BD48" si="147">BC48+1</f>
        <v>46282</v>
      </c>
      <c r="BE48" s="112">
        <f t="shared" ref="BE48" si="148">BD48+1</f>
        <v>46283</v>
      </c>
      <c r="BF48" s="112">
        <f t="shared" ref="BF48" si="149">BE48+1</f>
        <v>46284</v>
      </c>
      <c r="BG48" s="112">
        <f t="shared" ref="BG48" si="150">BF48+1</f>
        <v>46285</v>
      </c>
      <c r="BH48" s="112">
        <f t="shared" ref="BH48" si="151">BG48+1</f>
        <v>46286</v>
      </c>
      <c r="BI48" s="112">
        <f t="shared" ref="BI48" si="152">BH48+1</f>
        <v>46287</v>
      </c>
      <c r="BJ48" s="112">
        <f t="shared" ref="BJ48" si="153">BI48+1</f>
        <v>46288</v>
      </c>
      <c r="BK48" s="112">
        <f t="shared" ref="BK48" si="154">BJ48+1</f>
        <v>46289</v>
      </c>
      <c r="BL48" s="112">
        <f t="shared" ref="BL48" si="155">BK48+1</f>
        <v>46290</v>
      </c>
      <c r="BM48" s="112">
        <f t="shared" ref="BM48" si="156">BL48+1</f>
        <v>46291</v>
      </c>
      <c r="BN48" s="112">
        <f t="shared" ref="BN48" si="157">BM48+1</f>
        <v>46292</v>
      </c>
      <c r="BO48" s="112">
        <f t="shared" ref="BO48" si="158">BN48+1</f>
        <v>46293</v>
      </c>
      <c r="BP48" s="112">
        <f t="shared" ref="BP48" si="159">BO48+1</f>
        <v>46294</v>
      </c>
      <c r="BQ48" s="112">
        <f t="shared" ref="BQ48" si="160">BP48+1</f>
        <v>46295</v>
      </c>
      <c r="BR48" s="112">
        <f t="shared" ref="BR48" si="161">BQ48+1</f>
        <v>46296</v>
      </c>
      <c r="BS48" s="112">
        <f t="shared" ref="BS48" si="162">BR48+1</f>
        <v>46297</v>
      </c>
      <c r="BU48" s="75"/>
      <c r="BV48" s="11" t="s">
        <v>154</v>
      </c>
      <c r="BW48" s="112">
        <f>EOMONTH($A$1,-1)</f>
        <v>46265</v>
      </c>
      <c r="BX48" s="112">
        <f t="shared" ref="BX48" si="163">BW48+1</f>
        <v>46266</v>
      </c>
      <c r="BY48" s="112">
        <f t="shared" ref="BY48" si="164">BX48+1</f>
        <v>46267</v>
      </c>
      <c r="BZ48" s="112">
        <f t="shared" ref="BZ48" si="165">BY48+1</f>
        <v>46268</v>
      </c>
      <c r="CA48" s="112">
        <f t="shared" ref="CA48" si="166">BZ48+1</f>
        <v>46269</v>
      </c>
      <c r="CB48" s="112">
        <f t="shared" ref="CB48" si="167">CA48+1</f>
        <v>46270</v>
      </c>
      <c r="CC48" s="112">
        <f t="shared" ref="CC48" si="168">CB48+1</f>
        <v>46271</v>
      </c>
      <c r="CD48" s="112">
        <f t="shared" ref="CD48" si="169">CC48+1</f>
        <v>46272</v>
      </c>
      <c r="CE48" s="112">
        <f t="shared" ref="CE48" si="170">CD48+1</f>
        <v>46273</v>
      </c>
      <c r="CF48" s="112">
        <f t="shared" ref="CF48" si="171">CE48+1</f>
        <v>46274</v>
      </c>
      <c r="CG48" s="112">
        <f t="shared" ref="CG48" si="172">CF48+1</f>
        <v>46275</v>
      </c>
      <c r="CH48" s="112">
        <f t="shared" ref="CH48" si="173">CG48+1</f>
        <v>46276</v>
      </c>
      <c r="CI48" s="112">
        <f t="shared" ref="CI48" si="174">CH48+1</f>
        <v>46277</v>
      </c>
      <c r="CJ48" s="112">
        <f t="shared" ref="CJ48" si="175">CI48+1</f>
        <v>46278</v>
      </c>
      <c r="CK48" s="112">
        <f t="shared" ref="CK48" si="176">CJ48+1</f>
        <v>46279</v>
      </c>
      <c r="CL48" s="112">
        <f t="shared" ref="CL48" si="177">CK48+1</f>
        <v>46280</v>
      </c>
      <c r="CM48" s="112">
        <f t="shared" ref="CM48" si="178">CL48+1</f>
        <v>46281</v>
      </c>
      <c r="CN48" s="112">
        <f t="shared" ref="CN48" si="179">CM48+1</f>
        <v>46282</v>
      </c>
      <c r="CO48" s="112">
        <f t="shared" ref="CO48" si="180">CN48+1</f>
        <v>46283</v>
      </c>
      <c r="CP48" s="112">
        <f t="shared" ref="CP48" si="181">CO48+1</f>
        <v>46284</v>
      </c>
      <c r="CQ48" s="112">
        <f t="shared" ref="CQ48" si="182">CP48+1</f>
        <v>46285</v>
      </c>
      <c r="CR48" s="112">
        <f t="shared" ref="CR48" si="183">CQ48+1</f>
        <v>46286</v>
      </c>
      <c r="CS48" s="112">
        <f t="shared" ref="CS48" si="184">CR48+1</f>
        <v>46287</v>
      </c>
      <c r="CT48" s="112">
        <f t="shared" ref="CT48" si="185">CS48+1</f>
        <v>46288</v>
      </c>
      <c r="CU48" s="112">
        <f t="shared" ref="CU48" si="186">CT48+1</f>
        <v>46289</v>
      </c>
      <c r="CV48" s="112">
        <f t="shared" ref="CV48" si="187">CU48+1</f>
        <v>46290</v>
      </c>
      <c r="CW48" s="112">
        <f t="shared" ref="CW48" si="188">CV48+1</f>
        <v>46291</v>
      </c>
      <c r="CX48" s="112">
        <f t="shared" ref="CX48" si="189">CW48+1</f>
        <v>46292</v>
      </c>
      <c r="CY48" s="112">
        <f t="shared" ref="CY48" si="190">CX48+1</f>
        <v>46293</v>
      </c>
      <c r="CZ48" s="112">
        <f t="shared" ref="CZ48" si="191">CY48+1</f>
        <v>46294</v>
      </c>
      <c r="DA48" s="112">
        <f t="shared" ref="DA48" si="192">CZ48+1</f>
        <v>46295</v>
      </c>
      <c r="DB48" s="112">
        <f t="shared" ref="DB48" si="193">DA48+1</f>
        <v>46296</v>
      </c>
      <c r="DC48" s="112">
        <f t="shared" ref="DC48" si="194">DB48+1</f>
        <v>46297</v>
      </c>
    </row>
    <row r="49" spans="1:107">
      <c r="A49" s="75" t="s">
        <v>158</v>
      </c>
      <c r="B49" s="74">
        <v>12</v>
      </c>
      <c r="C49" s="84" t="str">
        <f t="array" aca="1" ref="C49" ca="1">IF(OR((C$48&gt;=$AS$11:$AS$74)*(C$48&lt;=$AT$11:$AT$74)&gt;0),$B49,"")</f>
        <v/>
      </c>
      <c r="D49" s="84" t="str">
        <f t="array" aca="1" ref="D49" ca="1">IF(OR((D$48&gt;=$AS$11:$AS$74)*(D$48&lt;=$AT$11:$AT$74)&gt;0),$B49,"")</f>
        <v/>
      </c>
      <c r="E49" s="84" t="str">
        <f t="array" aca="1" ref="E49" ca="1">IF(OR((E$48&gt;=$AS$11:$AS$74)*(E$48&lt;=$AT$11:$AT$74)&gt;0),$B49,"")</f>
        <v/>
      </c>
      <c r="F49" s="84" t="str">
        <f t="array" aca="1" ref="F49" ca="1">IF(OR((F$48&gt;=$AS$11:$AS$74)*(F$48&lt;=$AT$11:$AT$74)&gt;0),$B49,"")</f>
        <v/>
      </c>
      <c r="G49" s="84" t="str">
        <f t="array" aca="1" ref="G49" ca="1">IF(OR((G$48&gt;=$AS$11:$AS$74)*(G$48&lt;=$AT$11:$AT$74)&gt;0),$B49,"")</f>
        <v/>
      </c>
      <c r="H49" s="84" t="str">
        <f t="array" aca="1" ref="H49" ca="1">IF(OR((H$48&gt;=$AS$11:$AS$74)*(H$48&lt;=$AT$11:$AT$74)&gt;0),$B49,"")</f>
        <v/>
      </c>
      <c r="I49" s="84" t="str">
        <f t="array" aca="1" ref="I49" ca="1">IF(OR((I$48&gt;=$AS$11:$AS$74)*(I$48&lt;=$AT$11:$AT$74)&gt;0),$B49,"")</f>
        <v/>
      </c>
      <c r="J49" s="84" t="str">
        <f t="array" aca="1" ref="J49" ca="1">IF(OR((J$48&gt;=$AS$11:$AS$74)*(J$48&lt;=$AT$11:$AT$74)&gt;0),$B49,"")</f>
        <v/>
      </c>
      <c r="K49" s="84" t="str">
        <f t="array" aca="1" ref="K49" ca="1">IF(OR((K$48&gt;=$AS$11:$AS$74)*(K$48&lt;=$AT$11:$AT$74)&gt;0),$B49,"")</f>
        <v/>
      </c>
      <c r="L49" s="84" t="str">
        <f t="array" aca="1" ref="L49" ca="1">IF(OR((L$48&gt;=$AS$11:$AS$74)*(L$48&lt;=$AT$11:$AT$74)&gt;0),$B49,"")</f>
        <v/>
      </c>
      <c r="M49" s="84" t="str">
        <f t="array" aca="1" ref="M49" ca="1">IF(OR((M$48&gt;=$AS$11:$AS$74)*(M$48&lt;=$AT$11:$AT$74)&gt;0),$B49,"")</f>
        <v/>
      </c>
      <c r="N49" s="84" t="str">
        <f t="array" aca="1" ref="N49" ca="1">IF(OR((N$48&gt;=$AS$11:$AS$74)*(N$48&lt;=$AT$11:$AT$74)&gt;0),$B49,"")</f>
        <v/>
      </c>
      <c r="O49" s="84" t="str">
        <f t="array" aca="1" ref="O49" ca="1">IF(OR((O$48&gt;=$AS$11:$AS$74)*(O$48&lt;=$AT$11:$AT$74)&gt;0),$B49,"")</f>
        <v/>
      </c>
      <c r="P49" s="84" t="str">
        <f t="array" aca="1" ref="P49" ca="1">IF(OR((P$48&gt;=$AS$11:$AS$74)*(P$48&lt;=$AT$11:$AT$74)&gt;0),$B49,"")</f>
        <v/>
      </c>
      <c r="Q49" s="84" t="str">
        <f t="array" aca="1" ref="Q49" ca="1">IF(OR((Q$48&gt;=$AS$11:$AS$74)*(Q$48&lt;=$AT$11:$AT$74)&gt;0),$B49,"")</f>
        <v/>
      </c>
      <c r="R49" s="84" t="str">
        <f t="array" aca="1" ref="R49" ca="1">IF(OR((R$48&gt;=$AS$11:$AS$74)*(R$48&lt;=$AT$11:$AT$74)&gt;0),$B49,"")</f>
        <v/>
      </c>
      <c r="S49" s="84" t="str">
        <f t="array" aca="1" ref="S49" ca="1">IF(OR((S$48&gt;=$AS$11:$AS$74)*(S$48&lt;=$AT$11:$AT$74)&gt;0),$B49,"")</f>
        <v/>
      </c>
      <c r="T49" s="84" t="str">
        <f t="array" aca="1" ref="T49" ca="1">IF(OR((T$48&gt;=$AS$11:$AS$74)*(T$48&lt;=$AT$11:$AT$74)&gt;0),$B49,"")</f>
        <v/>
      </c>
      <c r="U49" s="84" t="str">
        <f t="array" aca="1" ref="U49" ca="1">IF(OR((U$48&gt;=$AS$11:$AS$74)*(U$48&lt;=$AT$11:$AT$74)&gt;0),$B49,"")</f>
        <v/>
      </c>
      <c r="V49" s="84" t="str">
        <f t="array" aca="1" ref="V49" ca="1">IF(OR((V$48&gt;=$AS$11:$AS$74)*(V$48&lt;=$AT$11:$AT$74)&gt;0),$B49,"")</f>
        <v/>
      </c>
      <c r="W49" s="84" t="str">
        <f t="array" aca="1" ref="W49" ca="1">IF(OR((W$48&gt;=$AS$11:$AS$74)*(W$48&lt;=$AT$11:$AT$74)&gt;0),$B49,"")</f>
        <v/>
      </c>
      <c r="X49" s="84" t="str">
        <f t="array" aca="1" ref="X49" ca="1">IF(OR((X$48&gt;=$AS$11:$AS$74)*(X$48&lt;=$AT$11:$AT$74)&gt;0),$B49,"")</f>
        <v/>
      </c>
      <c r="Y49" s="84" t="str">
        <f t="array" aca="1" ref="Y49" ca="1">IF(OR((Y$48&gt;=$AS$11:$AS$74)*(Y$48&lt;=$AT$11:$AT$74)&gt;0),$B49,"")</f>
        <v/>
      </c>
      <c r="Z49" s="84" t="str">
        <f t="array" aca="1" ref="Z49" ca="1">IF(OR((Z$48&gt;=$AS$11:$AS$74)*(Z$48&lt;=$AT$11:$AT$74)&gt;0),$B49,"")</f>
        <v/>
      </c>
      <c r="AA49" s="84" t="str">
        <f t="array" aca="1" ref="AA49" ca="1">IF(OR((AA$48&gt;=$AS$11:$AS$74)*(AA$48&lt;=$AT$11:$AT$74)&gt;0),$B49,"")</f>
        <v/>
      </c>
      <c r="AB49" s="84" t="str">
        <f t="array" aca="1" ref="AB49" ca="1">IF(OR((AB$48&gt;=$AS$11:$AS$74)*(AB$48&lt;=$AT$11:$AT$74)&gt;0),$B49,"")</f>
        <v/>
      </c>
      <c r="AC49" s="84" t="str">
        <f t="array" aca="1" ref="AC49" ca="1">IF(OR((AC$48&gt;=$AS$11:$AS$74)*(AC$48&lt;=$AT$11:$AT$74)&gt;0),$B49,"")</f>
        <v/>
      </c>
      <c r="AD49" s="84" t="str">
        <f t="array" aca="1" ref="AD49" ca="1">IF(OR((AD$48&gt;=$AS$11:$AS$74)*(AD$48&lt;=$AT$11:$AT$74)&gt;0),$B49,"")</f>
        <v/>
      </c>
      <c r="AE49" s="84" t="str">
        <f t="array" aca="1" ref="AE49" ca="1">IF(OR((AE$48&gt;=$AS$11:$AS$74)*(AE$48&lt;=$AT$11:$AT$74)&gt;0),$B49,"")</f>
        <v/>
      </c>
      <c r="AF49" s="84" t="str">
        <f t="array" aca="1" ref="AF49" ca="1">IF(OR((AF$48&gt;=$AS$11:$AS$74)*(AF$48&lt;=$AT$11:$AT$74)&gt;0),$B49,"")</f>
        <v/>
      </c>
      <c r="AG49" s="84" t="str">
        <f t="array" aca="1" ref="AG49" ca="1">IF(OR((AG$48&gt;=$AS$11:$AS$74)*(AG$48&lt;=$AT$11:$AT$74)&gt;0),$B49,"")</f>
        <v/>
      </c>
      <c r="AH49" s="84" t="str">
        <f t="array" aca="1" ref="AH49" ca="1">IF(OR((AH$48&gt;=$AS$11:$AS$74)*(AH$48&lt;=$AT$11:$AT$74)&gt;0),$B49,"")</f>
        <v/>
      </c>
      <c r="AI49" s="84" t="str">
        <f t="array" aca="1" ref="AI49" ca="1">IF(OR((AI$48&gt;=$AS$11:$AS$74)*(AI$48&lt;=$AT$11:$AT$74)&gt;0),$B49,"")</f>
        <v/>
      </c>
      <c r="AJ49" s="85"/>
      <c r="AK49" s="75" t="s">
        <v>158</v>
      </c>
      <c r="AL49" s="74">
        <v>12</v>
      </c>
      <c r="AM49" s="84" t="str">
        <f t="array" aca="1" ref="AM49" ca="1">IF(OR((AM$48&gt;=$AS$11:$AS$74)*(AM$48&lt;=$AT$11:$AT$74)&gt;0),$B49,"")</f>
        <v/>
      </c>
      <c r="AN49" s="84" t="str">
        <f t="array" aca="1" ref="AN49" ca="1">IF(OR((AN$48&gt;=$AS$11:$AS$74)*(AN$48&lt;=$AT$11:$AT$74)&gt;0),$B49,"")</f>
        <v/>
      </c>
      <c r="AO49" s="84" t="str">
        <f t="array" aca="1" ref="AO49" ca="1">IF(OR((AO$48&gt;=$AS$11:$AS$74)*(AO$48&lt;=$AT$11:$AT$74)&gt;0),$B49,"")</f>
        <v/>
      </c>
      <c r="AP49" s="84" t="str">
        <f t="array" aca="1" ref="AP49" ca="1">IF(OR((AP$48&gt;=$AS$11:$AS$74)*(AP$48&lt;=$AT$11:$AT$74)&gt;0),$B49,"")</f>
        <v/>
      </c>
      <c r="AQ49" s="84" t="str">
        <f t="array" aca="1" ref="AQ49" ca="1">IF(OR((AQ$48&gt;=$AS$11:$AS$74)*(AQ$48&lt;=$AT$11:$AT$74)&gt;0),$B49,"")</f>
        <v/>
      </c>
      <c r="AR49" s="84" t="str">
        <f t="array" aca="1" ref="AR49" ca="1">IF(OR((AR$48&gt;=$AS$11:$AS$74)*(AR$48&lt;=$AT$11:$AT$74)&gt;0),$B49,"")</f>
        <v/>
      </c>
      <c r="AS49" s="84" t="str">
        <f t="array" aca="1" ref="AS49" ca="1">IF(OR((AS$48&gt;=$AS$11:$AS$74)*(AS$48&lt;=$AT$11:$AT$74)&gt;0),$B49,"")</f>
        <v/>
      </c>
      <c r="AT49" s="84" t="str">
        <f t="array" aca="1" ref="AT49" ca="1">IF(OR((AT$48&gt;=$AS$11:$AS$74)*(AT$48&lt;=$AT$11:$AT$74)&gt;0),$B49,"")</f>
        <v/>
      </c>
      <c r="AU49" s="84" t="str">
        <f t="array" aca="1" ref="AU49" ca="1">IF(OR((AU$48&gt;=$AS$11:$AS$74)*(AU$48&lt;=$AT$11:$AT$74)&gt;0),$B49,"")</f>
        <v/>
      </c>
      <c r="AV49" s="84" t="str">
        <f t="array" aca="1" ref="AV49" ca="1">IF(OR((AV$48&gt;=$AS$11:$AS$74)*(AV$48&lt;=$AT$11:$AT$74)&gt;0),$B49,"")</f>
        <v/>
      </c>
      <c r="AW49" s="84" t="str">
        <f t="array" aca="1" ref="AW49" ca="1">IF(OR((AW$48&gt;=$AS$11:$AS$74)*(AW$48&lt;=$AT$11:$AT$74)&gt;0),$B49,"")</f>
        <v/>
      </c>
      <c r="AX49" s="84" t="str">
        <f t="array" aca="1" ref="AX49" ca="1">IF(OR((AX$48&gt;=$AS$11:$AS$74)*(AX$48&lt;=$AT$11:$AT$74)&gt;0),$B49,"")</f>
        <v/>
      </c>
      <c r="AY49" s="84" t="str">
        <f t="array" aca="1" ref="AY49" ca="1">IF(OR((AY$48&gt;=$AS$11:$AS$74)*(AY$48&lt;=$AT$11:$AT$74)&gt;0),$B49,"")</f>
        <v/>
      </c>
      <c r="AZ49" s="84" t="str">
        <f t="array" aca="1" ref="AZ49" ca="1">IF(OR((AZ$48&gt;=$AS$11:$AS$74)*(AZ$48&lt;=$AT$11:$AT$74)&gt;0),$B49,"")</f>
        <v/>
      </c>
      <c r="BA49" s="84" t="str">
        <f t="array" aca="1" ref="BA49" ca="1">IF(OR((BA$48&gt;=$AS$11:$AS$74)*(BA$48&lt;=$AT$11:$AT$74)&gt;0),$B49,"")</f>
        <v/>
      </c>
      <c r="BB49" s="84" t="str">
        <f t="array" aca="1" ref="BB49" ca="1">IF(OR((BB$48&gt;=$AS$11:$AS$74)*(BB$48&lt;=$AT$11:$AT$74)&gt;0),$B49,"")</f>
        <v/>
      </c>
      <c r="BC49" s="84" t="str">
        <f t="array" aca="1" ref="BC49" ca="1">IF(OR((BC$48&gt;=$AS$11:$AS$74)*(BC$48&lt;=$AT$11:$AT$74)&gt;0),$B49,"")</f>
        <v/>
      </c>
      <c r="BD49" s="84" t="str">
        <f t="array" aca="1" ref="BD49" ca="1">IF(OR((BD$48&gt;=$AS$11:$AS$74)*(BD$48&lt;=$AT$11:$AT$74)&gt;0),$B49,"")</f>
        <v/>
      </c>
      <c r="BE49" s="84" t="str">
        <f t="array" aca="1" ref="BE49" ca="1">IF(OR((BE$48&gt;=$AS$11:$AS$74)*(BE$48&lt;=$AT$11:$AT$74)&gt;0),$B49,"")</f>
        <v/>
      </c>
      <c r="BF49" s="84" t="str">
        <f t="array" aca="1" ref="BF49" ca="1">IF(OR((BF$48&gt;=$AS$11:$AS$74)*(BF$48&lt;=$AT$11:$AT$74)&gt;0),$B49,"")</f>
        <v/>
      </c>
      <c r="BG49" s="84" t="str">
        <f t="array" aca="1" ref="BG49" ca="1">IF(OR((BG$48&gt;=$AS$11:$AS$74)*(BG$48&lt;=$AT$11:$AT$74)&gt;0),$B49,"")</f>
        <v/>
      </c>
      <c r="BH49" s="84" t="str">
        <f t="array" aca="1" ref="BH49" ca="1">IF(OR((BH$48&gt;=$AS$11:$AS$74)*(BH$48&lt;=$AT$11:$AT$74)&gt;0),$B49,"")</f>
        <v/>
      </c>
      <c r="BI49" s="84" t="str">
        <f t="array" aca="1" ref="BI49" ca="1">IF(OR((BI$48&gt;=$AS$11:$AS$74)*(BI$48&lt;=$AT$11:$AT$74)&gt;0),$B49,"")</f>
        <v/>
      </c>
      <c r="BJ49" s="84" t="str">
        <f t="array" aca="1" ref="BJ49" ca="1">IF(OR((BJ$48&gt;=$AS$11:$AS$74)*(BJ$48&lt;=$AT$11:$AT$74)&gt;0),$B49,"")</f>
        <v/>
      </c>
      <c r="BK49" s="84" t="str">
        <f t="array" aca="1" ref="BK49" ca="1">IF(OR((BK$48&gt;=$AS$11:$AS$74)*(BK$48&lt;=$AT$11:$AT$74)&gt;0),$B49,"")</f>
        <v/>
      </c>
      <c r="BL49" s="84" t="str">
        <f t="array" aca="1" ref="BL49" ca="1">IF(OR((BL$48&gt;=$AS$11:$AS$74)*(BL$48&lt;=$AT$11:$AT$74)&gt;0),$B49,"")</f>
        <v/>
      </c>
      <c r="BM49" s="84" t="str">
        <f t="array" aca="1" ref="BM49" ca="1">IF(OR((BM$48&gt;=$AS$11:$AS$74)*(BM$48&lt;=$AT$11:$AT$74)&gt;0),$B49,"")</f>
        <v/>
      </c>
      <c r="BN49" s="84" t="str">
        <f t="array" aca="1" ref="BN49" ca="1">IF(OR((BN$48&gt;=$AS$11:$AS$74)*(BN$48&lt;=$AT$11:$AT$74)&gt;0),$B49,"")</f>
        <v/>
      </c>
      <c r="BO49" s="84" t="str">
        <f t="array" aca="1" ref="BO49" ca="1">IF(OR((BO$48&gt;=$AS$11:$AS$74)*(BO$48&lt;=$AT$11:$AT$74)&gt;0),$B49,"")</f>
        <v/>
      </c>
      <c r="BP49" s="84" t="str">
        <f t="array" aca="1" ref="BP49" ca="1">IF(OR((BP$48&gt;=$AS$11:$AS$74)*(BP$48&lt;=$AT$11:$AT$74)&gt;0),$B49,"")</f>
        <v/>
      </c>
      <c r="BQ49" s="84" t="str">
        <f t="array" aca="1" ref="BQ49" ca="1">IF(OR((BQ$48&gt;=$AS$11:$AS$74)*(BQ$48&lt;=$AT$11:$AT$74)&gt;0),$B49,"")</f>
        <v/>
      </c>
      <c r="BR49" s="84" t="str">
        <f t="array" aca="1" ref="BR49" ca="1">IF(OR((BR$48&gt;=$AS$11:$AS$74)*(BR$48&lt;=$AT$11:$AT$74)&gt;0),$B49,"")</f>
        <v/>
      </c>
      <c r="BS49" s="84" t="str">
        <f t="array" aca="1" ref="BS49" ca="1">IF(OR((BS$48&gt;=$AS$11:$AS$74)*(BS$48&lt;=$AT$11:$AT$74)&gt;0),$B49,"")</f>
        <v/>
      </c>
      <c r="BU49" s="75" t="s">
        <v>158</v>
      </c>
      <c r="BV49" s="74">
        <v>12</v>
      </c>
      <c r="BW49" s="84" t="str">
        <f t="array" aca="1" ref="BW49" ca="1">IF(OR((BW$48&gt;=$AS$11:$AS$74)*(BW$48&lt;=$AT$11:$AT$74)&gt;0),$B49,"")</f>
        <v/>
      </c>
      <c r="BX49" s="84" t="str">
        <f t="array" aca="1" ref="BX49" ca="1">IF(OR((BX$48&gt;=$AS$11:$AS$74)*(BX$48&lt;=$AT$11:$AT$74)&gt;0),$B49,"")</f>
        <v/>
      </c>
      <c r="BY49" s="84" t="str">
        <f t="array" aca="1" ref="BY49" ca="1">IF(OR((BY$48&gt;=$AS$11:$AS$74)*(BY$48&lt;=$AT$11:$AT$74)&gt;0),$B49,"")</f>
        <v/>
      </c>
      <c r="BZ49" s="84" t="str">
        <f t="array" aca="1" ref="BZ49" ca="1">IF(OR((BZ$48&gt;=$AS$11:$AS$74)*(BZ$48&lt;=$AT$11:$AT$74)&gt;0),$B49,"")</f>
        <v/>
      </c>
      <c r="CA49" s="84" t="str">
        <f t="array" aca="1" ref="CA49" ca="1">IF(OR((CA$48&gt;=$AS$11:$AS$74)*(CA$48&lt;=$AT$11:$AT$74)&gt;0),$B49,"")</f>
        <v/>
      </c>
      <c r="CB49" s="84" t="str">
        <f t="array" aca="1" ref="CB49" ca="1">IF(OR((CB$48&gt;=$AS$11:$AS$74)*(CB$48&lt;=$AT$11:$AT$74)&gt;0),$B49,"")</f>
        <v/>
      </c>
      <c r="CC49" s="84" t="str">
        <f t="array" aca="1" ref="CC49" ca="1">IF(OR((CC$48&gt;=$AS$11:$AS$74)*(CC$48&lt;=$AT$11:$AT$74)&gt;0),$B49,"")</f>
        <v/>
      </c>
      <c r="CD49" s="84" t="str">
        <f t="array" aca="1" ref="CD49" ca="1">IF(OR((CD$48&gt;=$AS$11:$AS$74)*(CD$48&lt;=$AT$11:$AT$74)&gt;0),$B49,"")</f>
        <v/>
      </c>
      <c r="CE49" s="84" t="str">
        <f t="array" aca="1" ref="CE49" ca="1">IF(OR((CE$48&gt;=$AS$11:$AS$74)*(CE$48&lt;=$AT$11:$AT$74)&gt;0),$B49,"")</f>
        <v/>
      </c>
      <c r="CF49" s="84" t="str">
        <f t="array" aca="1" ref="CF49" ca="1">IF(OR((CF$48&gt;=$AS$11:$AS$74)*(CF$48&lt;=$AT$11:$AT$74)&gt;0),$B49,"")</f>
        <v/>
      </c>
      <c r="CG49" s="84" t="str">
        <f t="array" aca="1" ref="CG49" ca="1">IF(OR((CG$48&gt;=$AS$11:$AS$74)*(CG$48&lt;=$AT$11:$AT$74)&gt;0),$B49,"")</f>
        <v/>
      </c>
      <c r="CH49" s="84" t="str">
        <f t="array" aca="1" ref="CH49" ca="1">IF(OR((CH$48&gt;=$AS$11:$AS$74)*(CH$48&lt;=$AT$11:$AT$74)&gt;0),$B49,"")</f>
        <v/>
      </c>
      <c r="CI49" s="84" t="str">
        <f t="array" aca="1" ref="CI49" ca="1">IF(OR((CI$48&gt;=$AS$11:$AS$74)*(CI$48&lt;=$AT$11:$AT$74)&gt;0),$B49,"")</f>
        <v/>
      </c>
      <c r="CJ49" s="84" t="str">
        <f t="array" aca="1" ref="CJ49" ca="1">IF(OR((CJ$48&gt;=$AS$11:$AS$74)*(CJ$48&lt;=$AT$11:$AT$74)&gt;0),$B49,"")</f>
        <v/>
      </c>
      <c r="CK49" s="84" t="str">
        <f t="array" aca="1" ref="CK49" ca="1">IF(OR((CK$48&gt;=$AS$11:$AS$74)*(CK$48&lt;=$AT$11:$AT$74)&gt;0),$B49,"")</f>
        <v/>
      </c>
      <c r="CL49" s="84" t="str">
        <f t="array" aca="1" ref="CL49" ca="1">IF(OR((CL$48&gt;=$AS$11:$AS$74)*(CL$48&lt;=$AT$11:$AT$74)&gt;0),$B49,"")</f>
        <v/>
      </c>
      <c r="CM49" s="84" t="str">
        <f t="array" aca="1" ref="CM49" ca="1">IF(OR((CM$48&gt;=$AS$11:$AS$74)*(CM$48&lt;=$AT$11:$AT$74)&gt;0),$B49,"")</f>
        <v/>
      </c>
      <c r="CN49" s="84" t="str">
        <f t="array" aca="1" ref="CN49" ca="1">IF(OR((CN$48&gt;=$AS$11:$AS$74)*(CN$48&lt;=$AT$11:$AT$74)&gt;0),$B49,"")</f>
        <v/>
      </c>
      <c r="CO49" s="84" t="str">
        <f t="array" aca="1" ref="CO49" ca="1">IF(OR((CO$48&gt;=$AS$11:$AS$74)*(CO$48&lt;=$AT$11:$AT$74)&gt;0),$B49,"")</f>
        <v/>
      </c>
      <c r="CP49" s="84" t="str">
        <f t="array" aca="1" ref="CP49" ca="1">IF(OR((CP$48&gt;=$AS$11:$AS$74)*(CP$48&lt;=$AT$11:$AT$74)&gt;0),$B49,"")</f>
        <v/>
      </c>
      <c r="CQ49" s="84" t="str">
        <f t="array" aca="1" ref="CQ49" ca="1">IF(OR((CQ$48&gt;=$AS$11:$AS$74)*(CQ$48&lt;=$AT$11:$AT$74)&gt;0),$B49,"")</f>
        <v/>
      </c>
      <c r="CR49" s="84" t="str">
        <f t="array" aca="1" ref="CR49" ca="1">IF(OR((CR$48&gt;=$AS$11:$AS$74)*(CR$48&lt;=$AT$11:$AT$74)&gt;0),$B49,"")</f>
        <v/>
      </c>
      <c r="CS49" s="84" t="str">
        <f t="array" aca="1" ref="CS49" ca="1">IF(OR((CS$48&gt;=$AS$11:$AS$74)*(CS$48&lt;=$AT$11:$AT$74)&gt;0),$B49,"")</f>
        <v/>
      </c>
      <c r="CT49" s="84" t="str">
        <f t="array" aca="1" ref="CT49" ca="1">IF(OR((CT$48&gt;=$AS$11:$AS$74)*(CT$48&lt;=$AT$11:$AT$74)&gt;0),$B49,"")</f>
        <v/>
      </c>
      <c r="CU49" s="84" t="str">
        <f t="array" aca="1" ref="CU49" ca="1">IF(OR((CU$48&gt;=$AS$11:$AS$74)*(CU$48&lt;=$AT$11:$AT$74)&gt;0),$B49,"")</f>
        <v/>
      </c>
      <c r="CV49" s="84" t="str">
        <f t="array" aca="1" ref="CV49" ca="1">IF(OR((CV$48&gt;=$AS$11:$AS$74)*(CV$48&lt;=$AT$11:$AT$74)&gt;0),$B49,"")</f>
        <v/>
      </c>
      <c r="CW49" s="84" t="str">
        <f t="array" aca="1" ref="CW49" ca="1">IF(OR((CW$48&gt;=$AS$11:$AS$74)*(CW$48&lt;=$AT$11:$AT$74)&gt;0),$B49,"")</f>
        <v/>
      </c>
      <c r="CX49" s="84" t="str">
        <f t="array" aca="1" ref="CX49" ca="1">IF(OR((CX$48&gt;=$AS$11:$AS$74)*(CX$48&lt;=$AT$11:$AT$74)&gt;0),$B49,"")</f>
        <v/>
      </c>
      <c r="CY49" s="84" t="str">
        <f t="array" aca="1" ref="CY49" ca="1">IF(OR((CY$48&gt;=$AS$11:$AS$74)*(CY$48&lt;=$AT$11:$AT$74)&gt;0),$B49,"")</f>
        <v/>
      </c>
      <c r="CZ49" s="84" t="str">
        <f t="array" aca="1" ref="CZ49" ca="1">IF(OR((CZ$48&gt;=$AS$11:$AS$74)*(CZ$48&lt;=$AT$11:$AT$74)&gt;0),$B49,"")</f>
        <v/>
      </c>
      <c r="DA49" s="84" t="str">
        <f t="array" aca="1" ref="DA49" ca="1">IF(OR((DA$48&gt;=$AS$11:$AS$74)*(DA$48&lt;=$AT$11:$AT$74)&gt;0),$B49,"")</f>
        <v/>
      </c>
      <c r="DB49" s="84" t="str">
        <f t="array" aca="1" ref="DB49" ca="1">IF(OR((DB$48&gt;=$AS$11:$AS$74)*(DB$48&lt;=$AT$11:$AT$74)&gt;0),$B49,"")</f>
        <v/>
      </c>
      <c r="DC49" s="84" t="str">
        <f t="array" aca="1" ref="DC49" ca="1">IF(OR((DC$48&gt;=$AS$11:$AS$74)*(DC$48&lt;=$AT$11:$AT$74)&gt;0),$B49,"")</f>
        <v/>
      </c>
    </row>
    <row r="50" spans="1:107">
      <c r="A50" s="75" t="s">
        <v>159</v>
      </c>
      <c r="B50" s="74">
        <v>12</v>
      </c>
      <c r="C50" s="84" t="str">
        <f t="array" aca="1" ref="C50" ca="1">IF(OR((C$48&gt;=$AS$11:$AS$74)*(C$48&lt;=$AT$11:$AT$74)&gt;0),$B50,"")</f>
        <v/>
      </c>
      <c r="D50" s="84" t="str">
        <f t="array" aca="1" ref="D50" ca="1">IF(OR((D$48&gt;=$AS$11:$AS$74)*(D$48&lt;=$AT$11:$AT$74)&gt;0),$B50,"")</f>
        <v/>
      </c>
      <c r="E50" s="84" t="str">
        <f t="array" aca="1" ref="E50" ca="1">IF(OR((E$48&gt;=$AS$11:$AS$74)*(E$48&lt;=$AT$11:$AT$74)&gt;0),$B50,"")</f>
        <v/>
      </c>
      <c r="F50" s="84" t="str">
        <f t="array" aca="1" ref="F50" ca="1">IF(OR((F$48&gt;=$AS$11:$AS$74)*(F$48&lt;=$AT$11:$AT$74)&gt;0),$B50,"")</f>
        <v/>
      </c>
      <c r="G50" s="84" t="str">
        <f t="array" aca="1" ref="G50" ca="1">IF(OR((G$48&gt;=$AS$11:$AS$74)*(G$48&lt;=$AT$11:$AT$74)&gt;0),$B50,"")</f>
        <v/>
      </c>
      <c r="H50" s="84" t="str">
        <f t="array" aca="1" ref="H50" ca="1">IF(OR((H$48&gt;=$AS$11:$AS$74)*(H$48&lt;=$AT$11:$AT$74)&gt;0),$B50,"")</f>
        <v/>
      </c>
      <c r="I50" s="84" t="str">
        <f t="array" aca="1" ref="I50" ca="1">IF(OR((I$48&gt;=$AS$11:$AS$74)*(I$48&lt;=$AT$11:$AT$74)&gt;0),$B50,"")</f>
        <v/>
      </c>
      <c r="J50" s="84" t="str">
        <f t="array" aca="1" ref="J50" ca="1">IF(OR((J$48&gt;=$AS$11:$AS$74)*(J$48&lt;=$AT$11:$AT$74)&gt;0),$B50,"")</f>
        <v/>
      </c>
      <c r="K50" s="84" t="str">
        <f t="array" aca="1" ref="K50" ca="1">IF(OR((K$48&gt;=$AS$11:$AS$74)*(K$48&lt;=$AT$11:$AT$74)&gt;0),$B50,"")</f>
        <v/>
      </c>
      <c r="L50" s="84" t="str">
        <f t="array" aca="1" ref="L50" ca="1">IF(OR((L$48&gt;=$AS$11:$AS$74)*(L$48&lt;=$AT$11:$AT$74)&gt;0),$B50,"")</f>
        <v/>
      </c>
      <c r="M50" s="84" t="str">
        <f t="array" aca="1" ref="M50" ca="1">IF(OR((M$48&gt;=$AS$11:$AS$74)*(M$48&lt;=$AT$11:$AT$74)&gt;0),$B50,"")</f>
        <v/>
      </c>
      <c r="N50" s="84" t="str">
        <f t="array" aca="1" ref="N50" ca="1">IF(OR((N$48&gt;=$AS$11:$AS$74)*(N$48&lt;=$AT$11:$AT$74)&gt;0),$B50,"")</f>
        <v/>
      </c>
      <c r="O50" s="84" t="str">
        <f t="array" aca="1" ref="O50" ca="1">IF(OR((O$48&gt;=$AS$11:$AS$74)*(O$48&lt;=$AT$11:$AT$74)&gt;0),$B50,"")</f>
        <v/>
      </c>
      <c r="P50" s="84" t="str">
        <f t="array" aca="1" ref="P50" ca="1">IF(OR((P$48&gt;=$AS$11:$AS$74)*(P$48&lt;=$AT$11:$AT$74)&gt;0),$B50,"")</f>
        <v/>
      </c>
      <c r="Q50" s="84" t="str">
        <f t="array" aca="1" ref="Q50" ca="1">IF(OR((Q$48&gt;=$AS$11:$AS$74)*(Q$48&lt;=$AT$11:$AT$74)&gt;0),$B50,"")</f>
        <v/>
      </c>
      <c r="R50" s="84" t="str">
        <f t="array" aca="1" ref="R50" ca="1">IF(OR((R$48&gt;=$AS$11:$AS$74)*(R$48&lt;=$AT$11:$AT$74)&gt;0),$B50,"")</f>
        <v/>
      </c>
      <c r="S50" s="84" t="str">
        <f t="array" aca="1" ref="S50" ca="1">IF(OR((S$48&gt;=$AS$11:$AS$74)*(S$48&lt;=$AT$11:$AT$74)&gt;0),$B50,"")</f>
        <v/>
      </c>
      <c r="T50" s="84" t="str">
        <f t="array" aca="1" ref="T50" ca="1">IF(OR((T$48&gt;=$AS$11:$AS$74)*(T$48&lt;=$AT$11:$AT$74)&gt;0),$B50,"")</f>
        <v/>
      </c>
      <c r="U50" s="84" t="str">
        <f t="array" aca="1" ref="U50" ca="1">IF(OR((U$48&gt;=$AS$11:$AS$74)*(U$48&lt;=$AT$11:$AT$74)&gt;0),$B50,"")</f>
        <v/>
      </c>
      <c r="V50" s="84" t="str">
        <f t="array" aca="1" ref="V50" ca="1">IF(OR((V$48&gt;=$AS$11:$AS$74)*(V$48&lt;=$AT$11:$AT$74)&gt;0),$B50,"")</f>
        <v/>
      </c>
      <c r="W50" s="84" t="str">
        <f t="array" aca="1" ref="W50" ca="1">IF(OR((W$48&gt;=$AS$11:$AS$74)*(W$48&lt;=$AT$11:$AT$74)&gt;0),$B50,"")</f>
        <v/>
      </c>
      <c r="X50" s="84" t="str">
        <f t="array" aca="1" ref="X50" ca="1">IF(OR((X$48&gt;=$AS$11:$AS$74)*(X$48&lt;=$AT$11:$AT$74)&gt;0),$B50,"")</f>
        <v/>
      </c>
      <c r="Y50" s="84" t="str">
        <f t="array" aca="1" ref="Y50" ca="1">IF(OR((Y$48&gt;=$AS$11:$AS$74)*(Y$48&lt;=$AT$11:$AT$74)&gt;0),$B50,"")</f>
        <v/>
      </c>
      <c r="Z50" s="84" t="str">
        <f t="array" aca="1" ref="Z50" ca="1">IF(OR((Z$48&gt;=$AS$11:$AS$74)*(Z$48&lt;=$AT$11:$AT$74)&gt;0),$B50,"")</f>
        <v/>
      </c>
      <c r="AA50" s="84" t="str">
        <f t="array" aca="1" ref="AA50" ca="1">IF(OR((AA$48&gt;=$AS$11:$AS$74)*(AA$48&lt;=$AT$11:$AT$74)&gt;0),$B50,"")</f>
        <v/>
      </c>
      <c r="AB50" s="84" t="str">
        <f t="array" aca="1" ref="AB50" ca="1">IF(OR((AB$48&gt;=$AS$11:$AS$74)*(AB$48&lt;=$AT$11:$AT$74)&gt;0),$B50,"")</f>
        <v/>
      </c>
      <c r="AC50" s="84" t="str">
        <f t="array" aca="1" ref="AC50" ca="1">IF(OR((AC$48&gt;=$AS$11:$AS$74)*(AC$48&lt;=$AT$11:$AT$74)&gt;0),$B50,"")</f>
        <v/>
      </c>
      <c r="AD50" s="84" t="str">
        <f t="array" aca="1" ref="AD50" ca="1">IF(OR((AD$48&gt;=$AS$11:$AS$74)*(AD$48&lt;=$AT$11:$AT$74)&gt;0),$B50,"")</f>
        <v/>
      </c>
      <c r="AE50" s="84" t="str">
        <f t="array" aca="1" ref="AE50" ca="1">IF(OR((AE$48&gt;=$AS$11:$AS$74)*(AE$48&lt;=$AT$11:$AT$74)&gt;0),$B50,"")</f>
        <v/>
      </c>
      <c r="AF50" s="84" t="str">
        <f t="array" aca="1" ref="AF50" ca="1">IF(OR((AF$48&gt;=$AS$11:$AS$74)*(AF$48&lt;=$AT$11:$AT$74)&gt;0),$B50,"")</f>
        <v/>
      </c>
      <c r="AG50" s="84" t="str">
        <f t="array" aca="1" ref="AG50" ca="1">IF(OR((AG$48&gt;=$AS$11:$AS$74)*(AG$48&lt;=$AT$11:$AT$74)&gt;0),$B50,"")</f>
        <v/>
      </c>
      <c r="AH50" s="84" t="str">
        <f t="array" aca="1" ref="AH50" ca="1">IF(OR((AH$48&gt;=$AS$11:$AS$74)*(AH$48&lt;=$AT$11:$AT$74)&gt;0),$B50,"")</f>
        <v/>
      </c>
      <c r="AI50" s="84" t="str">
        <f t="array" aca="1" ref="AI50" ca="1">IF(OR((AI$48&gt;=$AS$11:$AS$74)*(AI$48&lt;=$AT$11:$AT$74)&gt;0),$B50,"")</f>
        <v/>
      </c>
      <c r="AJ50" s="85"/>
      <c r="AK50" s="75" t="s">
        <v>159</v>
      </c>
      <c r="AL50" s="74">
        <v>12</v>
      </c>
      <c r="AM50" s="84" t="str">
        <f t="array" aca="1" ref="AM50" ca="1">IF(OR((AM$48&gt;=$AS$11:$AS$74)*(AM$48&lt;=$AT$11:$AT$74)&gt;0),$B50,"")</f>
        <v/>
      </c>
      <c r="AN50" s="84" t="str">
        <f t="array" aca="1" ref="AN50" ca="1">IF(OR((AN$48&gt;=$AS$11:$AS$74)*(AN$48&lt;=$AT$11:$AT$74)&gt;0),$B50,"")</f>
        <v/>
      </c>
      <c r="AO50" s="84" t="str">
        <f t="array" aca="1" ref="AO50" ca="1">IF(OR((AO$48&gt;=$AS$11:$AS$74)*(AO$48&lt;=$AT$11:$AT$74)&gt;0),$B50,"")</f>
        <v/>
      </c>
      <c r="AP50" s="84" t="str">
        <f t="array" aca="1" ref="AP50" ca="1">IF(OR((AP$48&gt;=$AS$11:$AS$74)*(AP$48&lt;=$AT$11:$AT$74)&gt;0),$B50,"")</f>
        <v/>
      </c>
      <c r="AQ50" s="84" t="str">
        <f t="array" aca="1" ref="AQ50" ca="1">IF(OR((AQ$48&gt;=$AS$11:$AS$74)*(AQ$48&lt;=$AT$11:$AT$74)&gt;0),$B50,"")</f>
        <v/>
      </c>
      <c r="AR50" s="84" t="str">
        <f t="array" aca="1" ref="AR50" ca="1">IF(OR((AR$48&gt;=$AS$11:$AS$74)*(AR$48&lt;=$AT$11:$AT$74)&gt;0),$B50,"")</f>
        <v/>
      </c>
      <c r="AS50" s="84" t="str">
        <f t="array" aca="1" ref="AS50" ca="1">IF(OR((AS$48&gt;=$AS$11:$AS$74)*(AS$48&lt;=$AT$11:$AT$74)&gt;0),$B50,"")</f>
        <v/>
      </c>
      <c r="AT50" s="84" t="str">
        <f t="array" aca="1" ref="AT50" ca="1">IF(OR((AT$48&gt;=$AS$11:$AS$74)*(AT$48&lt;=$AT$11:$AT$74)&gt;0),$B50,"")</f>
        <v/>
      </c>
      <c r="AU50" s="84" t="str">
        <f t="array" aca="1" ref="AU50" ca="1">IF(OR((AU$48&gt;=$AS$11:$AS$74)*(AU$48&lt;=$AT$11:$AT$74)&gt;0),$B50,"")</f>
        <v/>
      </c>
      <c r="AV50" s="84" t="str">
        <f t="array" aca="1" ref="AV50" ca="1">IF(OR((AV$48&gt;=$AS$11:$AS$74)*(AV$48&lt;=$AT$11:$AT$74)&gt;0),$B50,"")</f>
        <v/>
      </c>
      <c r="AW50" s="84" t="str">
        <f t="array" aca="1" ref="AW50" ca="1">IF(OR((AW$48&gt;=$AS$11:$AS$74)*(AW$48&lt;=$AT$11:$AT$74)&gt;0),$B50,"")</f>
        <v/>
      </c>
      <c r="AX50" s="84" t="str">
        <f t="array" aca="1" ref="AX50" ca="1">IF(OR((AX$48&gt;=$AS$11:$AS$74)*(AX$48&lt;=$AT$11:$AT$74)&gt;0),$B50,"")</f>
        <v/>
      </c>
      <c r="AY50" s="84" t="str">
        <f t="array" aca="1" ref="AY50" ca="1">IF(OR((AY$48&gt;=$AS$11:$AS$74)*(AY$48&lt;=$AT$11:$AT$74)&gt;0),$B50,"")</f>
        <v/>
      </c>
      <c r="AZ50" s="84" t="str">
        <f t="array" aca="1" ref="AZ50" ca="1">IF(OR((AZ$48&gt;=$AS$11:$AS$74)*(AZ$48&lt;=$AT$11:$AT$74)&gt;0),$B50,"")</f>
        <v/>
      </c>
      <c r="BA50" s="84" t="str">
        <f t="array" aca="1" ref="BA50" ca="1">IF(OR((BA$48&gt;=$AS$11:$AS$74)*(BA$48&lt;=$AT$11:$AT$74)&gt;0),$B50,"")</f>
        <v/>
      </c>
      <c r="BB50" s="84" t="str">
        <f t="array" aca="1" ref="BB50" ca="1">IF(OR((BB$48&gt;=$AS$11:$AS$74)*(BB$48&lt;=$AT$11:$AT$74)&gt;0),$B50,"")</f>
        <v/>
      </c>
      <c r="BC50" s="84" t="str">
        <f t="array" aca="1" ref="BC50" ca="1">IF(OR((BC$48&gt;=$AS$11:$AS$74)*(BC$48&lt;=$AT$11:$AT$74)&gt;0),$B50,"")</f>
        <v/>
      </c>
      <c r="BD50" s="84" t="str">
        <f t="array" aca="1" ref="BD50" ca="1">IF(OR((BD$48&gt;=$AS$11:$AS$74)*(BD$48&lt;=$AT$11:$AT$74)&gt;0),$B50,"")</f>
        <v/>
      </c>
      <c r="BE50" s="84" t="str">
        <f t="array" aca="1" ref="BE50" ca="1">IF(OR((BE$48&gt;=$AS$11:$AS$74)*(BE$48&lt;=$AT$11:$AT$74)&gt;0),$B50,"")</f>
        <v/>
      </c>
      <c r="BF50" s="84" t="str">
        <f t="array" aca="1" ref="BF50" ca="1">IF(OR((BF$48&gt;=$AS$11:$AS$74)*(BF$48&lt;=$AT$11:$AT$74)&gt;0),$B50,"")</f>
        <v/>
      </c>
      <c r="BG50" s="84" t="str">
        <f t="array" aca="1" ref="BG50" ca="1">IF(OR((BG$48&gt;=$AS$11:$AS$74)*(BG$48&lt;=$AT$11:$AT$74)&gt;0),$B50,"")</f>
        <v/>
      </c>
      <c r="BH50" s="84" t="str">
        <f t="array" aca="1" ref="BH50" ca="1">IF(OR((BH$48&gt;=$AS$11:$AS$74)*(BH$48&lt;=$AT$11:$AT$74)&gt;0),$B50,"")</f>
        <v/>
      </c>
      <c r="BI50" s="84" t="str">
        <f t="array" aca="1" ref="BI50" ca="1">IF(OR((BI$48&gt;=$AS$11:$AS$74)*(BI$48&lt;=$AT$11:$AT$74)&gt;0),$B50,"")</f>
        <v/>
      </c>
      <c r="BJ50" s="84" t="str">
        <f t="array" aca="1" ref="BJ50" ca="1">IF(OR((BJ$48&gt;=$AS$11:$AS$74)*(BJ$48&lt;=$AT$11:$AT$74)&gt;0),$B50,"")</f>
        <v/>
      </c>
      <c r="BK50" s="84" t="str">
        <f t="array" aca="1" ref="BK50" ca="1">IF(OR((BK$48&gt;=$AS$11:$AS$74)*(BK$48&lt;=$AT$11:$AT$74)&gt;0),$B50,"")</f>
        <v/>
      </c>
      <c r="BL50" s="84" t="str">
        <f t="array" aca="1" ref="BL50" ca="1">IF(OR((BL$48&gt;=$AS$11:$AS$74)*(BL$48&lt;=$AT$11:$AT$74)&gt;0),$B50,"")</f>
        <v/>
      </c>
      <c r="BM50" s="84" t="str">
        <f t="array" aca="1" ref="BM50" ca="1">IF(OR((BM$48&gt;=$AS$11:$AS$74)*(BM$48&lt;=$AT$11:$AT$74)&gt;0),$B50,"")</f>
        <v/>
      </c>
      <c r="BN50" s="84" t="str">
        <f t="array" aca="1" ref="BN50" ca="1">IF(OR((BN$48&gt;=$AS$11:$AS$74)*(BN$48&lt;=$AT$11:$AT$74)&gt;0),$B50,"")</f>
        <v/>
      </c>
      <c r="BO50" s="84" t="str">
        <f t="array" aca="1" ref="BO50" ca="1">IF(OR((BO$48&gt;=$AS$11:$AS$74)*(BO$48&lt;=$AT$11:$AT$74)&gt;0),$B50,"")</f>
        <v/>
      </c>
      <c r="BP50" s="84" t="str">
        <f t="array" aca="1" ref="BP50" ca="1">IF(OR((BP$48&gt;=$AS$11:$AS$74)*(BP$48&lt;=$AT$11:$AT$74)&gt;0),$B50,"")</f>
        <v/>
      </c>
      <c r="BQ50" s="84" t="str">
        <f t="array" aca="1" ref="BQ50" ca="1">IF(OR((BQ$48&gt;=$AS$11:$AS$74)*(BQ$48&lt;=$AT$11:$AT$74)&gt;0),$B50,"")</f>
        <v/>
      </c>
      <c r="BR50" s="84" t="str">
        <f t="array" aca="1" ref="BR50" ca="1">IF(OR((BR$48&gt;=$AS$11:$AS$74)*(BR$48&lt;=$AT$11:$AT$74)&gt;0),$B50,"")</f>
        <v/>
      </c>
      <c r="BS50" s="84" t="str">
        <f t="array" aca="1" ref="BS50" ca="1">IF(OR((BS$48&gt;=$AS$11:$AS$74)*(BS$48&lt;=$AT$11:$AT$74)&gt;0),$B50,"")</f>
        <v/>
      </c>
      <c r="BU50" s="75" t="s">
        <v>159</v>
      </c>
      <c r="BV50" s="74">
        <v>12</v>
      </c>
      <c r="BW50" s="84" t="str">
        <f t="array" aca="1" ref="BW50" ca="1">IF(OR((BW$48&gt;=$AS$11:$AS$74)*(BW$48&lt;=$AT$11:$AT$74)&gt;0),$B50,"")</f>
        <v/>
      </c>
      <c r="BX50" s="84" t="str">
        <f t="array" aca="1" ref="BX50" ca="1">IF(OR((BX$48&gt;=$AS$11:$AS$74)*(BX$48&lt;=$AT$11:$AT$74)&gt;0),$B50,"")</f>
        <v/>
      </c>
      <c r="BY50" s="84" t="str">
        <f t="array" aca="1" ref="BY50" ca="1">IF(OR((BY$48&gt;=$AS$11:$AS$74)*(BY$48&lt;=$AT$11:$AT$74)&gt;0),$B50,"")</f>
        <v/>
      </c>
      <c r="BZ50" s="84" t="str">
        <f t="array" aca="1" ref="BZ50" ca="1">IF(OR((BZ$48&gt;=$AS$11:$AS$74)*(BZ$48&lt;=$AT$11:$AT$74)&gt;0),$B50,"")</f>
        <v/>
      </c>
      <c r="CA50" s="84" t="str">
        <f t="array" aca="1" ref="CA50" ca="1">IF(OR((CA$48&gt;=$AS$11:$AS$74)*(CA$48&lt;=$AT$11:$AT$74)&gt;0),$B50,"")</f>
        <v/>
      </c>
      <c r="CB50" s="84" t="str">
        <f t="array" aca="1" ref="CB50" ca="1">IF(OR((CB$48&gt;=$AS$11:$AS$74)*(CB$48&lt;=$AT$11:$AT$74)&gt;0),$B50,"")</f>
        <v/>
      </c>
      <c r="CC50" s="84" t="str">
        <f t="array" aca="1" ref="CC50" ca="1">IF(OR((CC$48&gt;=$AS$11:$AS$74)*(CC$48&lt;=$AT$11:$AT$74)&gt;0),$B50,"")</f>
        <v/>
      </c>
      <c r="CD50" s="84" t="str">
        <f t="array" aca="1" ref="CD50" ca="1">IF(OR((CD$48&gt;=$AS$11:$AS$74)*(CD$48&lt;=$AT$11:$AT$74)&gt;0),$B50,"")</f>
        <v/>
      </c>
      <c r="CE50" s="84" t="str">
        <f t="array" aca="1" ref="CE50" ca="1">IF(OR((CE$48&gt;=$AS$11:$AS$74)*(CE$48&lt;=$AT$11:$AT$74)&gt;0),$B50,"")</f>
        <v/>
      </c>
      <c r="CF50" s="84" t="str">
        <f t="array" aca="1" ref="CF50" ca="1">IF(OR((CF$48&gt;=$AS$11:$AS$74)*(CF$48&lt;=$AT$11:$AT$74)&gt;0),$B50,"")</f>
        <v/>
      </c>
      <c r="CG50" s="84" t="str">
        <f t="array" aca="1" ref="CG50" ca="1">IF(OR((CG$48&gt;=$AS$11:$AS$74)*(CG$48&lt;=$AT$11:$AT$74)&gt;0),$B50,"")</f>
        <v/>
      </c>
      <c r="CH50" s="84" t="str">
        <f t="array" aca="1" ref="CH50" ca="1">IF(OR((CH$48&gt;=$AS$11:$AS$74)*(CH$48&lt;=$AT$11:$AT$74)&gt;0),$B50,"")</f>
        <v/>
      </c>
      <c r="CI50" s="84" t="str">
        <f t="array" aca="1" ref="CI50" ca="1">IF(OR((CI$48&gt;=$AS$11:$AS$74)*(CI$48&lt;=$AT$11:$AT$74)&gt;0),$B50,"")</f>
        <v/>
      </c>
      <c r="CJ50" s="84" t="str">
        <f t="array" aca="1" ref="CJ50" ca="1">IF(OR((CJ$48&gt;=$AS$11:$AS$74)*(CJ$48&lt;=$AT$11:$AT$74)&gt;0),$B50,"")</f>
        <v/>
      </c>
      <c r="CK50" s="84" t="str">
        <f t="array" aca="1" ref="CK50" ca="1">IF(OR((CK$48&gt;=$AS$11:$AS$74)*(CK$48&lt;=$AT$11:$AT$74)&gt;0),$B50,"")</f>
        <v/>
      </c>
      <c r="CL50" s="84" t="str">
        <f t="array" aca="1" ref="CL50" ca="1">IF(OR((CL$48&gt;=$AS$11:$AS$74)*(CL$48&lt;=$AT$11:$AT$74)&gt;0),$B50,"")</f>
        <v/>
      </c>
      <c r="CM50" s="84" t="str">
        <f t="array" aca="1" ref="CM50" ca="1">IF(OR((CM$48&gt;=$AS$11:$AS$74)*(CM$48&lt;=$AT$11:$AT$74)&gt;0),$B50,"")</f>
        <v/>
      </c>
      <c r="CN50" s="84" t="str">
        <f t="array" aca="1" ref="CN50" ca="1">IF(OR((CN$48&gt;=$AS$11:$AS$74)*(CN$48&lt;=$AT$11:$AT$74)&gt;0),$B50,"")</f>
        <v/>
      </c>
      <c r="CO50" s="84" t="str">
        <f t="array" aca="1" ref="CO50" ca="1">IF(OR((CO$48&gt;=$AS$11:$AS$74)*(CO$48&lt;=$AT$11:$AT$74)&gt;0),$B50,"")</f>
        <v/>
      </c>
      <c r="CP50" s="84" t="str">
        <f t="array" aca="1" ref="CP50" ca="1">IF(OR((CP$48&gt;=$AS$11:$AS$74)*(CP$48&lt;=$AT$11:$AT$74)&gt;0),$B50,"")</f>
        <v/>
      </c>
      <c r="CQ50" s="84" t="str">
        <f t="array" aca="1" ref="CQ50" ca="1">IF(OR((CQ$48&gt;=$AS$11:$AS$74)*(CQ$48&lt;=$AT$11:$AT$74)&gt;0),$B50,"")</f>
        <v/>
      </c>
      <c r="CR50" s="84" t="str">
        <f t="array" aca="1" ref="CR50" ca="1">IF(OR((CR$48&gt;=$AS$11:$AS$74)*(CR$48&lt;=$AT$11:$AT$74)&gt;0),$B50,"")</f>
        <v/>
      </c>
      <c r="CS50" s="84" t="str">
        <f t="array" aca="1" ref="CS50" ca="1">IF(OR((CS$48&gt;=$AS$11:$AS$74)*(CS$48&lt;=$AT$11:$AT$74)&gt;0),$B50,"")</f>
        <v/>
      </c>
      <c r="CT50" s="84" t="str">
        <f t="array" aca="1" ref="CT50" ca="1">IF(OR((CT$48&gt;=$AS$11:$AS$74)*(CT$48&lt;=$AT$11:$AT$74)&gt;0),$B50,"")</f>
        <v/>
      </c>
      <c r="CU50" s="84" t="str">
        <f t="array" aca="1" ref="CU50" ca="1">IF(OR((CU$48&gt;=$AS$11:$AS$74)*(CU$48&lt;=$AT$11:$AT$74)&gt;0),$B50,"")</f>
        <v/>
      </c>
      <c r="CV50" s="84" t="str">
        <f t="array" aca="1" ref="CV50" ca="1">IF(OR((CV$48&gt;=$AS$11:$AS$74)*(CV$48&lt;=$AT$11:$AT$74)&gt;0),$B50,"")</f>
        <v/>
      </c>
      <c r="CW50" s="84" t="str">
        <f t="array" aca="1" ref="CW50" ca="1">IF(OR((CW$48&gt;=$AS$11:$AS$74)*(CW$48&lt;=$AT$11:$AT$74)&gt;0),$B50,"")</f>
        <v/>
      </c>
      <c r="CX50" s="84" t="str">
        <f t="array" aca="1" ref="CX50" ca="1">IF(OR((CX$48&gt;=$AS$11:$AS$74)*(CX$48&lt;=$AT$11:$AT$74)&gt;0),$B50,"")</f>
        <v/>
      </c>
      <c r="CY50" s="84" t="str">
        <f t="array" aca="1" ref="CY50" ca="1">IF(OR((CY$48&gt;=$AS$11:$AS$74)*(CY$48&lt;=$AT$11:$AT$74)&gt;0),$B50,"")</f>
        <v/>
      </c>
      <c r="CZ50" s="84" t="str">
        <f t="array" aca="1" ref="CZ50" ca="1">IF(OR((CZ$48&gt;=$AS$11:$AS$74)*(CZ$48&lt;=$AT$11:$AT$74)&gt;0),$B50,"")</f>
        <v/>
      </c>
      <c r="DA50" s="84" t="str">
        <f t="array" aca="1" ref="DA50" ca="1">IF(OR((DA$48&gt;=$AS$11:$AS$74)*(DA$48&lt;=$AT$11:$AT$74)&gt;0),$B50,"")</f>
        <v/>
      </c>
      <c r="DB50" s="84" t="str">
        <f t="array" aca="1" ref="DB50" ca="1">IF(OR((DB$48&gt;=$AS$11:$AS$74)*(DB$48&lt;=$AT$11:$AT$74)&gt;0),$B50,"")</f>
        <v/>
      </c>
      <c r="DC50" s="84" t="str">
        <f t="array" aca="1" ref="DC50" ca="1">IF(OR((DC$48&gt;=$AS$11:$AS$74)*(DC$48&lt;=$AT$11:$AT$74)&gt;0),$B50,"")</f>
        <v/>
      </c>
    </row>
    <row r="51" spans="1:107">
      <c r="A51" s="75" t="s">
        <v>160</v>
      </c>
      <c r="B51" s="74">
        <v>12</v>
      </c>
      <c r="C51" s="84" t="str">
        <f t="array" aca="1" ref="C51" ca="1">IF(OR((C$48&gt;=$AS$11:$AS$74)*(C$48&lt;=$AT$11:$AT$74)&gt;0),$B51,"")</f>
        <v/>
      </c>
      <c r="D51" s="84" t="str">
        <f t="array" aca="1" ref="D51" ca="1">IF(OR((D$48&gt;=$AS$11:$AS$74)*(D$48&lt;=$AT$11:$AT$74)&gt;0),$B51,"")</f>
        <v/>
      </c>
      <c r="E51" s="84" t="str">
        <f t="array" aca="1" ref="E51" ca="1">IF(OR((E$48&gt;=$AS$11:$AS$74)*(E$48&lt;=$AT$11:$AT$74)&gt;0),$B51,"")</f>
        <v/>
      </c>
      <c r="F51" s="84" t="str">
        <f t="array" aca="1" ref="F51" ca="1">IF(OR((F$48&gt;=$AS$11:$AS$74)*(F$48&lt;=$AT$11:$AT$74)&gt;0),$B51,"")</f>
        <v/>
      </c>
      <c r="G51" s="84" t="str">
        <f t="array" aca="1" ref="G51" ca="1">IF(OR((G$48&gt;=$AS$11:$AS$74)*(G$48&lt;=$AT$11:$AT$74)&gt;0),$B51,"")</f>
        <v/>
      </c>
      <c r="H51" s="84" t="str">
        <f t="array" aca="1" ref="H51" ca="1">IF(OR((H$48&gt;=$AS$11:$AS$74)*(H$48&lt;=$AT$11:$AT$74)&gt;0),$B51,"")</f>
        <v/>
      </c>
      <c r="I51" s="84" t="str">
        <f t="array" aca="1" ref="I51" ca="1">IF(OR((I$48&gt;=$AS$11:$AS$74)*(I$48&lt;=$AT$11:$AT$74)&gt;0),$B51,"")</f>
        <v/>
      </c>
      <c r="J51" s="84" t="str">
        <f t="array" aca="1" ref="J51" ca="1">IF(OR((J$48&gt;=$AS$11:$AS$74)*(J$48&lt;=$AT$11:$AT$74)&gt;0),$B51,"")</f>
        <v/>
      </c>
      <c r="K51" s="84" t="str">
        <f t="array" aca="1" ref="K51" ca="1">IF(OR((K$48&gt;=$AS$11:$AS$74)*(K$48&lt;=$AT$11:$AT$74)&gt;0),$B51,"")</f>
        <v/>
      </c>
      <c r="L51" s="84" t="str">
        <f t="array" aca="1" ref="L51" ca="1">IF(OR((L$48&gt;=$AS$11:$AS$74)*(L$48&lt;=$AT$11:$AT$74)&gt;0),$B51,"")</f>
        <v/>
      </c>
      <c r="M51" s="84" t="str">
        <f t="array" aca="1" ref="M51" ca="1">IF(OR((M$48&gt;=$AS$11:$AS$74)*(M$48&lt;=$AT$11:$AT$74)&gt;0),$B51,"")</f>
        <v/>
      </c>
      <c r="N51" s="84" t="str">
        <f t="array" aca="1" ref="N51" ca="1">IF(OR((N$48&gt;=$AS$11:$AS$74)*(N$48&lt;=$AT$11:$AT$74)&gt;0),$B51,"")</f>
        <v/>
      </c>
      <c r="O51" s="84" t="str">
        <f t="array" aca="1" ref="O51" ca="1">IF(OR((O$48&gt;=$AS$11:$AS$74)*(O$48&lt;=$AT$11:$AT$74)&gt;0),$B51,"")</f>
        <v/>
      </c>
      <c r="P51" s="84" t="str">
        <f t="array" aca="1" ref="P51" ca="1">IF(OR((P$48&gt;=$AS$11:$AS$74)*(P$48&lt;=$AT$11:$AT$74)&gt;0),$B51,"")</f>
        <v/>
      </c>
      <c r="Q51" s="84" t="str">
        <f t="array" aca="1" ref="Q51" ca="1">IF(OR((Q$48&gt;=$AS$11:$AS$74)*(Q$48&lt;=$AT$11:$AT$74)&gt;0),$B51,"")</f>
        <v/>
      </c>
      <c r="R51" s="84" t="str">
        <f t="array" aca="1" ref="R51" ca="1">IF(OR((R$48&gt;=$AS$11:$AS$74)*(R$48&lt;=$AT$11:$AT$74)&gt;0),$B51,"")</f>
        <v/>
      </c>
      <c r="S51" s="84" t="str">
        <f t="array" aca="1" ref="S51" ca="1">IF(OR((S$48&gt;=$AS$11:$AS$74)*(S$48&lt;=$AT$11:$AT$74)&gt;0),$B51,"")</f>
        <v/>
      </c>
      <c r="T51" s="84" t="str">
        <f t="array" aca="1" ref="T51" ca="1">IF(OR((T$48&gt;=$AS$11:$AS$74)*(T$48&lt;=$AT$11:$AT$74)&gt;0),$B51,"")</f>
        <v/>
      </c>
      <c r="U51" s="84" t="str">
        <f t="array" aca="1" ref="U51" ca="1">IF(OR((U$48&gt;=$AS$11:$AS$74)*(U$48&lt;=$AT$11:$AT$74)&gt;0),$B51,"")</f>
        <v/>
      </c>
      <c r="V51" s="84" t="str">
        <f t="array" aca="1" ref="V51" ca="1">IF(OR((V$48&gt;=$AS$11:$AS$74)*(V$48&lt;=$AT$11:$AT$74)&gt;0),$B51,"")</f>
        <v/>
      </c>
      <c r="W51" s="84" t="str">
        <f t="array" aca="1" ref="W51" ca="1">IF(OR((W$48&gt;=$AS$11:$AS$74)*(W$48&lt;=$AT$11:$AT$74)&gt;0),$B51,"")</f>
        <v/>
      </c>
      <c r="X51" s="84" t="str">
        <f t="array" aca="1" ref="X51" ca="1">IF(OR((X$48&gt;=$AS$11:$AS$74)*(X$48&lt;=$AT$11:$AT$74)&gt;0),$B51,"")</f>
        <v/>
      </c>
      <c r="Y51" s="84" t="str">
        <f t="array" aca="1" ref="Y51" ca="1">IF(OR((Y$48&gt;=$AS$11:$AS$74)*(Y$48&lt;=$AT$11:$AT$74)&gt;0),$B51,"")</f>
        <v/>
      </c>
      <c r="Z51" s="84" t="str">
        <f t="array" aca="1" ref="Z51" ca="1">IF(OR((Z$48&gt;=$AS$11:$AS$74)*(Z$48&lt;=$AT$11:$AT$74)&gt;0),$B51,"")</f>
        <v/>
      </c>
      <c r="AA51" s="84" t="str">
        <f t="array" aca="1" ref="AA51" ca="1">IF(OR((AA$48&gt;=$AS$11:$AS$74)*(AA$48&lt;=$AT$11:$AT$74)&gt;0),$B51,"")</f>
        <v/>
      </c>
      <c r="AB51" s="84" t="str">
        <f t="array" aca="1" ref="AB51" ca="1">IF(OR((AB$48&gt;=$AS$11:$AS$74)*(AB$48&lt;=$AT$11:$AT$74)&gt;0),$B51,"")</f>
        <v/>
      </c>
      <c r="AC51" s="84" t="str">
        <f t="array" aca="1" ref="AC51" ca="1">IF(OR((AC$48&gt;=$AS$11:$AS$74)*(AC$48&lt;=$AT$11:$AT$74)&gt;0),$B51,"")</f>
        <v/>
      </c>
      <c r="AD51" s="84" t="str">
        <f t="array" aca="1" ref="AD51" ca="1">IF(OR((AD$48&gt;=$AS$11:$AS$74)*(AD$48&lt;=$AT$11:$AT$74)&gt;0),$B51,"")</f>
        <v/>
      </c>
      <c r="AE51" s="84" t="str">
        <f t="array" aca="1" ref="AE51" ca="1">IF(OR((AE$48&gt;=$AS$11:$AS$74)*(AE$48&lt;=$AT$11:$AT$74)&gt;0),$B51,"")</f>
        <v/>
      </c>
      <c r="AF51" s="84" t="str">
        <f t="array" aca="1" ref="AF51" ca="1">IF(OR((AF$48&gt;=$AS$11:$AS$74)*(AF$48&lt;=$AT$11:$AT$74)&gt;0),$B51,"")</f>
        <v/>
      </c>
      <c r="AG51" s="84" t="str">
        <f t="array" aca="1" ref="AG51" ca="1">IF(OR((AG$48&gt;=$AS$11:$AS$74)*(AG$48&lt;=$AT$11:$AT$74)&gt;0),$B51,"")</f>
        <v/>
      </c>
      <c r="AH51" s="84" t="str">
        <f t="array" aca="1" ref="AH51" ca="1">IF(OR((AH$48&gt;=$AS$11:$AS$74)*(AH$48&lt;=$AT$11:$AT$74)&gt;0),$B51,"")</f>
        <v/>
      </c>
      <c r="AI51" s="84" t="str">
        <f t="array" aca="1" ref="AI51" ca="1">IF(OR((AI$48&gt;=$AS$11:$AS$74)*(AI$48&lt;=$AT$11:$AT$74)&gt;0),$B51,"")</f>
        <v/>
      </c>
      <c r="AJ51" s="85"/>
      <c r="AK51" s="75" t="s">
        <v>160</v>
      </c>
      <c r="AL51" s="74">
        <v>12</v>
      </c>
      <c r="AM51" s="84" t="str">
        <f t="array" aca="1" ref="AM51" ca="1">IF(OR((AM$48&gt;=$AS$11:$AS$74)*(AM$48&lt;=$AT$11:$AT$74)&gt;0),$B51,"")</f>
        <v/>
      </c>
      <c r="AN51" s="84" t="str">
        <f t="array" aca="1" ref="AN51" ca="1">IF(OR((AN$48&gt;=$AS$11:$AS$74)*(AN$48&lt;=$AT$11:$AT$74)&gt;0),$B51,"")</f>
        <v/>
      </c>
      <c r="AO51" s="84" t="str">
        <f t="array" aca="1" ref="AO51" ca="1">IF(OR((AO$48&gt;=$AS$11:$AS$74)*(AO$48&lt;=$AT$11:$AT$74)&gt;0),$B51,"")</f>
        <v/>
      </c>
      <c r="AP51" s="84" t="str">
        <f t="array" aca="1" ref="AP51" ca="1">IF(OR((AP$48&gt;=$AS$11:$AS$74)*(AP$48&lt;=$AT$11:$AT$74)&gt;0),$B51,"")</f>
        <v/>
      </c>
      <c r="AQ51" s="84" t="str">
        <f t="array" aca="1" ref="AQ51" ca="1">IF(OR((AQ$48&gt;=$AS$11:$AS$74)*(AQ$48&lt;=$AT$11:$AT$74)&gt;0),$B51,"")</f>
        <v/>
      </c>
      <c r="AR51" s="84" t="str">
        <f t="array" aca="1" ref="AR51" ca="1">IF(OR((AR$48&gt;=$AS$11:$AS$74)*(AR$48&lt;=$AT$11:$AT$74)&gt;0),$B51,"")</f>
        <v/>
      </c>
      <c r="AS51" s="84" t="str">
        <f t="array" aca="1" ref="AS51" ca="1">IF(OR((AS$48&gt;=$AS$11:$AS$74)*(AS$48&lt;=$AT$11:$AT$74)&gt;0),$B51,"")</f>
        <v/>
      </c>
      <c r="AT51" s="84" t="str">
        <f t="array" aca="1" ref="AT51" ca="1">IF(OR((AT$48&gt;=$AS$11:$AS$74)*(AT$48&lt;=$AT$11:$AT$74)&gt;0),$B51,"")</f>
        <v/>
      </c>
      <c r="AU51" s="84" t="str">
        <f t="array" aca="1" ref="AU51" ca="1">IF(OR((AU$48&gt;=$AS$11:$AS$74)*(AU$48&lt;=$AT$11:$AT$74)&gt;0),$B51,"")</f>
        <v/>
      </c>
      <c r="AV51" s="84" t="str">
        <f t="array" aca="1" ref="AV51" ca="1">IF(OR((AV$48&gt;=$AS$11:$AS$74)*(AV$48&lt;=$AT$11:$AT$74)&gt;0),$B51,"")</f>
        <v/>
      </c>
      <c r="AW51" s="84" t="str">
        <f t="array" aca="1" ref="AW51" ca="1">IF(OR((AW$48&gt;=$AS$11:$AS$74)*(AW$48&lt;=$AT$11:$AT$74)&gt;0),$B51,"")</f>
        <v/>
      </c>
      <c r="AX51" s="84" t="str">
        <f t="array" aca="1" ref="AX51" ca="1">IF(OR((AX$48&gt;=$AS$11:$AS$74)*(AX$48&lt;=$AT$11:$AT$74)&gt;0),$B51,"")</f>
        <v/>
      </c>
      <c r="AY51" s="84" t="str">
        <f t="array" aca="1" ref="AY51" ca="1">IF(OR((AY$48&gt;=$AS$11:$AS$74)*(AY$48&lt;=$AT$11:$AT$74)&gt;0),$B51,"")</f>
        <v/>
      </c>
      <c r="AZ51" s="84" t="str">
        <f t="array" aca="1" ref="AZ51" ca="1">IF(OR((AZ$48&gt;=$AS$11:$AS$74)*(AZ$48&lt;=$AT$11:$AT$74)&gt;0),$B51,"")</f>
        <v/>
      </c>
      <c r="BA51" s="84" t="str">
        <f t="array" aca="1" ref="BA51" ca="1">IF(OR((BA$48&gt;=$AS$11:$AS$74)*(BA$48&lt;=$AT$11:$AT$74)&gt;0),$B51,"")</f>
        <v/>
      </c>
      <c r="BB51" s="84" t="str">
        <f t="array" aca="1" ref="BB51" ca="1">IF(OR((BB$48&gt;=$AS$11:$AS$74)*(BB$48&lt;=$AT$11:$AT$74)&gt;0),$B51,"")</f>
        <v/>
      </c>
      <c r="BC51" s="84" t="str">
        <f t="array" aca="1" ref="BC51" ca="1">IF(OR((BC$48&gt;=$AS$11:$AS$74)*(BC$48&lt;=$AT$11:$AT$74)&gt;0),$B51,"")</f>
        <v/>
      </c>
      <c r="BD51" s="84" t="str">
        <f t="array" aca="1" ref="BD51" ca="1">IF(OR((BD$48&gt;=$AS$11:$AS$74)*(BD$48&lt;=$AT$11:$AT$74)&gt;0),$B51,"")</f>
        <v/>
      </c>
      <c r="BE51" s="84" t="str">
        <f t="array" aca="1" ref="BE51" ca="1">IF(OR((BE$48&gt;=$AS$11:$AS$74)*(BE$48&lt;=$AT$11:$AT$74)&gt;0),$B51,"")</f>
        <v/>
      </c>
      <c r="BF51" s="84" t="str">
        <f t="array" aca="1" ref="BF51" ca="1">IF(OR((BF$48&gt;=$AS$11:$AS$74)*(BF$48&lt;=$AT$11:$AT$74)&gt;0),$B51,"")</f>
        <v/>
      </c>
      <c r="BG51" s="84" t="str">
        <f t="array" aca="1" ref="BG51" ca="1">IF(OR((BG$48&gt;=$AS$11:$AS$74)*(BG$48&lt;=$AT$11:$AT$74)&gt;0),$B51,"")</f>
        <v/>
      </c>
      <c r="BH51" s="84" t="str">
        <f t="array" aca="1" ref="BH51" ca="1">IF(OR((BH$48&gt;=$AS$11:$AS$74)*(BH$48&lt;=$AT$11:$AT$74)&gt;0),$B51,"")</f>
        <v/>
      </c>
      <c r="BI51" s="84" t="str">
        <f t="array" aca="1" ref="BI51" ca="1">IF(OR((BI$48&gt;=$AS$11:$AS$74)*(BI$48&lt;=$AT$11:$AT$74)&gt;0),$B51,"")</f>
        <v/>
      </c>
      <c r="BJ51" s="84" t="str">
        <f t="array" aca="1" ref="BJ51" ca="1">IF(OR((BJ$48&gt;=$AS$11:$AS$74)*(BJ$48&lt;=$AT$11:$AT$74)&gt;0),$B51,"")</f>
        <v/>
      </c>
      <c r="BK51" s="84" t="str">
        <f t="array" aca="1" ref="BK51" ca="1">IF(OR((BK$48&gt;=$AS$11:$AS$74)*(BK$48&lt;=$AT$11:$AT$74)&gt;0),$B51,"")</f>
        <v/>
      </c>
      <c r="BL51" s="84" t="str">
        <f t="array" aca="1" ref="BL51" ca="1">IF(OR((BL$48&gt;=$AS$11:$AS$74)*(BL$48&lt;=$AT$11:$AT$74)&gt;0),$B51,"")</f>
        <v/>
      </c>
      <c r="BM51" s="84" t="str">
        <f t="array" aca="1" ref="BM51" ca="1">IF(OR((BM$48&gt;=$AS$11:$AS$74)*(BM$48&lt;=$AT$11:$AT$74)&gt;0),$B51,"")</f>
        <v/>
      </c>
      <c r="BN51" s="84" t="str">
        <f t="array" aca="1" ref="BN51" ca="1">IF(OR((BN$48&gt;=$AS$11:$AS$74)*(BN$48&lt;=$AT$11:$AT$74)&gt;0),$B51,"")</f>
        <v/>
      </c>
      <c r="BO51" s="84" t="str">
        <f t="array" aca="1" ref="BO51" ca="1">IF(OR((BO$48&gt;=$AS$11:$AS$74)*(BO$48&lt;=$AT$11:$AT$74)&gt;0),$B51,"")</f>
        <v/>
      </c>
      <c r="BP51" s="84" t="str">
        <f t="array" aca="1" ref="BP51" ca="1">IF(OR((BP$48&gt;=$AS$11:$AS$74)*(BP$48&lt;=$AT$11:$AT$74)&gt;0),$B51,"")</f>
        <v/>
      </c>
      <c r="BQ51" s="84" t="str">
        <f t="array" aca="1" ref="BQ51" ca="1">IF(OR((BQ$48&gt;=$AS$11:$AS$74)*(BQ$48&lt;=$AT$11:$AT$74)&gt;0),$B51,"")</f>
        <v/>
      </c>
      <c r="BR51" s="84" t="str">
        <f t="array" aca="1" ref="BR51" ca="1">IF(OR((BR$48&gt;=$AS$11:$AS$74)*(BR$48&lt;=$AT$11:$AT$74)&gt;0),$B51,"")</f>
        <v/>
      </c>
      <c r="BS51" s="84" t="str">
        <f t="array" aca="1" ref="BS51" ca="1">IF(OR((BS$48&gt;=$AS$11:$AS$74)*(BS$48&lt;=$AT$11:$AT$74)&gt;0),$B51,"")</f>
        <v/>
      </c>
      <c r="BU51" s="75" t="s">
        <v>160</v>
      </c>
      <c r="BV51" s="74">
        <v>12</v>
      </c>
      <c r="BW51" s="84" t="str">
        <f t="array" aca="1" ref="BW51" ca="1">IF(OR((BW$48&gt;=$AS$11:$AS$74)*(BW$48&lt;=$AT$11:$AT$74)&gt;0),$B51,"")</f>
        <v/>
      </c>
      <c r="BX51" s="84" t="str">
        <f t="array" aca="1" ref="BX51" ca="1">IF(OR((BX$48&gt;=$AS$11:$AS$74)*(BX$48&lt;=$AT$11:$AT$74)&gt;0),$B51,"")</f>
        <v/>
      </c>
      <c r="BY51" s="84" t="str">
        <f t="array" aca="1" ref="BY51" ca="1">IF(OR((BY$48&gt;=$AS$11:$AS$74)*(BY$48&lt;=$AT$11:$AT$74)&gt;0),$B51,"")</f>
        <v/>
      </c>
      <c r="BZ51" s="84" t="str">
        <f t="array" aca="1" ref="BZ51" ca="1">IF(OR((BZ$48&gt;=$AS$11:$AS$74)*(BZ$48&lt;=$AT$11:$AT$74)&gt;0),$B51,"")</f>
        <v/>
      </c>
      <c r="CA51" s="84" t="str">
        <f t="array" aca="1" ref="CA51" ca="1">IF(OR((CA$48&gt;=$AS$11:$AS$74)*(CA$48&lt;=$AT$11:$AT$74)&gt;0),$B51,"")</f>
        <v/>
      </c>
      <c r="CB51" s="84" t="str">
        <f t="array" aca="1" ref="CB51" ca="1">IF(OR((CB$48&gt;=$AS$11:$AS$74)*(CB$48&lt;=$AT$11:$AT$74)&gt;0),$B51,"")</f>
        <v/>
      </c>
      <c r="CC51" s="84" t="str">
        <f t="array" aca="1" ref="CC51" ca="1">IF(OR((CC$48&gt;=$AS$11:$AS$74)*(CC$48&lt;=$AT$11:$AT$74)&gt;0),$B51,"")</f>
        <v/>
      </c>
      <c r="CD51" s="84" t="str">
        <f t="array" aca="1" ref="CD51" ca="1">IF(OR((CD$48&gt;=$AS$11:$AS$74)*(CD$48&lt;=$AT$11:$AT$74)&gt;0),$B51,"")</f>
        <v/>
      </c>
      <c r="CE51" s="84" t="str">
        <f t="array" aca="1" ref="CE51" ca="1">IF(OR((CE$48&gt;=$AS$11:$AS$74)*(CE$48&lt;=$AT$11:$AT$74)&gt;0),$B51,"")</f>
        <v/>
      </c>
      <c r="CF51" s="84" t="str">
        <f t="array" aca="1" ref="CF51" ca="1">IF(OR((CF$48&gt;=$AS$11:$AS$74)*(CF$48&lt;=$AT$11:$AT$74)&gt;0),$B51,"")</f>
        <v/>
      </c>
      <c r="CG51" s="84" t="str">
        <f t="array" aca="1" ref="CG51" ca="1">IF(OR((CG$48&gt;=$AS$11:$AS$74)*(CG$48&lt;=$AT$11:$AT$74)&gt;0),$B51,"")</f>
        <v/>
      </c>
      <c r="CH51" s="84" t="str">
        <f t="array" aca="1" ref="CH51" ca="1">IF(OR((CH$48&gt;=$AS$11:$AS$74)*(CH$48&lt;=$AT$11:$AT$74)&gt;0),$B51,"")</f>
        <v/>
      </c>
      <c r="CI51" s="84" t="str">
        <f t="array" aca="1" ref="CI51" ca="1">IF(OR((CI$48&gt;=$AS$11:$AS$74)*(CI$48&lt;=$AT$11:$AT$74)&gt;0),$B51,"")</f>
        <v/>
      </c>
      <c r="CJ51" s="84" t="str">
        <f t="array" aca="1" ref="CJ51" ca="1">IF(OR((CJ$48&gt;=$AS$11:$AS$74)*(CJ$48&lt;=$AT$11:$AT$74)&gt;0),$B51,"")</f>
        <v/>
      </c>
      <c r="CK51" s="84" t="str">
        <f t="array" aca="1" ref="CK51" ca="1">IF(OR((CK$48&gt;=$AS$11:$AS$74)*(CK$48&lt;=$AT$11:$AT$74)&gt;0),$B51,"")</f>
        <v/>
      </c>
      <c r="CL51" s="84" t="str">
        <f t="array" aca="1" ref="CL51" ca="1">IF(OR((CL$48&gt;=$AS$11:$AS$74)*(CL$48&lt;=$AT$11:$AT$74)&gt;0),$B51,"")</f>
        <v/>
      </c>
      <c r="CM51" s="84" t="str">
        <f t="array" aca="1" ref="CM51" ca="1">IF(OR((CM$48&gt;=$AS$11:$AS$74)*(CM$48&lt;=$AT$11:$AT$74)&gt;0),$B51,"")</f>
        <v/>
      </c>
      <c r="CN51" s="84" t="str">
        <f t="array" aca="1" ref="CN51" ca="1">IF(OR((CN$48&gt;=$AS$11:$AS$74)*(CN$48&lt;=$AT$11:$AT$74)&gt;0),$B51,"")</f>
        <v/>
      </c>
      <c r="CO51" s="84" t="str">
        <f t="array" aca="1" ref="CO51" ca="1">IF(OR((CO$48&gt;=$AS$11:$AS$74)*(CO$48&lt;=$AT$11:$AT$74)&gt;0),$B51,"")</f>
        <v/>
      </c>
      <c r="CP51" s="84" t="str">
        <f t="array" aca="1" ref="CP51" ca="1">IF(OR((CP$48&gt;=$AS$11:$AS$74)*(CP$48&lt;=$AT$11:$AT$74)&gt;0),$B51,"")</f>
        <v/>
      </c>
      <c r="CQ51" s="84" t="str">
        <f t="array" aca="1" ref="CQ51" ca="1">IF(OR((CQ$48&gt;=$AS$11:$AS$74)*(CQ$48&lt;=$AT$11:$AT$74)&gt;0),$B51,"")</f>
        <v/>
      </c>
      <c r="CR51" s="84" t="str">
        <f t="array" aca="1" ref="CR51" ca="1">IF(OR((CR$48&gt;=$AS$11:$AS$74)*(CR$48&lt;=$AT$11:$AT$74)&gt;0),$B51,"")</f>
        <v/>
      </c>
      <c r="CS51" s="84" t="str">
        <f t="array" aca="1" ref="CS51" ca="1">IF(OR((CS$48&gt;=$AS$11:$AS$74)*(CS$48&lt;=$AT$11:$AT$74)&gt;0),$B51,"")</f>
        <v/>
      </c>
      <c r="CT51" s="84" t="str">
        <f t="array" aca="1" ref="CT51" ca="1">IF(OR((CT$48&gt;=$AS$11:$AS$74)*(CT$48&lt;=$AT$11:$AT$74)&gt;0),$B51,"")</f>
        <v/>
      </c>
      <c r="CU51" s="84" t="str">
        <f t="array" aca="1" ref="CU51" ca="1">IF(OR((CU$48&gt;=$AS$11:$AS$74)*(CU$48&lt;=$AT$11:$AT$74)&gt;0),$B51,"")</f>
        <v/>
      </c>
      <c r="CV51" s="84" t="str">
        <f t="array" aca="1" ref="CV51" ca="1">IF(OR((CV$48&gt;=$AS$11:$AS$74)*(CV$48&lt;=$AT$11:$AT$74)&gt;0),$B51,"")</f>
        <v/>
      </c>
      <c r="CW51" s="84" t="str">
        <f t="array" aca="1" ref="CW51" ca="1">IF(OR((CW$48&gt;=$AS$11:$AS$74)*(CW$48&lt;=$AT$11:$AT$74)&gt;0),$B51,"")</f>
        <v/>
      </c>
      <c r="CX51" s="84" t="str">
        <f t="array" aca="1" ref="CX51" ca="1">IF(OR((CX$48&gt;=$AS$11:$AS$74)*(CX$48&lt;=$AT$11:$AT$74)&gt;0),$B51,"")</f>
        <v/>
      </c>
      <c r="CY51" s="84" t="str">
        <f t="array" aca="1" ref="CY51" ca="1">IF(OR((CY$48&gt;=$AS$11:$AS$74)*(CY$48&lt;=$AT$11:$AT$74)&gt;0),$B51,"")</f>
        <v/>
      </c>
      <c r="CZ51" s="84" t="str">
        <f t="array" aca="1" ref="CZ51" ca="1">IF(OR((CZ$48&gt;=$AS$11:$AS$74)*(CZ$48&lt;=$AT$11:$AT$74)&gt;0),$B51,"")</f>
        <v/>
      </c>
      <c r="DA51" s="84" t="str">
        <f t="array" aca="1" ref="DA51" ca="1">IF(OR((DA$48&gt;=$AS$11:$AS$74)*(DA$48&lt;=$AT$11:$AT$74)&gt;0),$B51,"")</f>
        <v/>
      </c>
      <c r="DB51" s="84" t="str">
        <f t="array" aca="1" ref="DB51" ca="1">IF(OR((DB$48&gt;=$AS$11:$AS$74)*(DB$48&lt;=$AT$11:$AT$74)&gt;0),$B51,"")</f>
        <v/>
      </c>
      <c r="DC51" s="84" t="str">
        <f t="array" aca="1" ref="DC51" ca="1">IF(OR((DC$48&gt;=$AS$11:$AS$74)*(DC$48&lt;=$AT$11:$AT$74)&gt;0),$B51,"")</f>
        <v/>
      </c>
    </row>
    <row r="52" spans="1:107">
      <c r="A52" s="75" t="s">
        <v>161</v>
      </c>
      <c r="B52" s="74">
        <v>12</v>
      </c>
      <c r="C52" s="84" t="str">
        <f t="array" aca="1" ref="C52" ca="1">IF(OR((C$48&gt;=$AS$11:$AS$74)*(C$48&lt;=$AT$11:$AT$74)&gt;0),$B52,"")</f>
        <v/>
      </c>
      <c r="D52" s="84" t="str">
        <f t="array" aca="1" ref="D52" ca="1">IF(OR((D$48&gt;=$AS$11:$AS$74)*(D$48&lt;=$AT$11:$AT$74)&gt;0),$B52,"")</f>
        <v/>
      </c>
      <c r="E52" s="84" t="str">
        <f t="array" aca="1" ref="E52" ca="1">IF(OR((E$48&gt;=$AS$11:$AS$74)*(E$48&lt;=$AT$11:$AT$74)&gt;0),$B52,"")</f>
        <v/>
      </c>
      <c r="F52" s="84" t="str">
        <f t="array" aca="1" ref="F52" ca="1">IF(OR((F$48&gt;=$AS$11:$AS$74)*(F$48&lt;=$AT$11:$AT$74)&gt;0),$B52,"")</f>
        <v/>
      </c>
      <c r="G52" s="84" t="str">
        <f t="array" aca="1" ref="G52" ca="1">IF(OR((G$48&gt;=$AS$11:$AS$74)*(G$48&lt;=$AT$11:$AT$74)&gt;0),$B52,"")</f>
        <v/>
      </c>
      <c r="H52" s="84" t="str">
        <f t="array" aca="1" ref="H52" ca="1">IF(OR((H$48&gt;=$AS$11:$AS$74)*(H$48&lt;=$AT$11:$AT$74)&gt;0),$B52,"")</f>
        <v/>
      </c>
      <c r="I52" s="84" t="str">
        <f t="array" aca="1" ref="I52" ca="1">IF(OR((I$48&gt;=$AS$11:$AS$74)*(I$48&lt;=$AT$11:$AT$74)&gt;0),$B52,"")</f>
        <v/>
      </c>
      <c r="J52" s="84" t="str">
        <f t="array" aca="1" ref="J52" ca="1">IF(OR((J$48&gt;=$AS$11:$AS$74)*(J$48&lt;=$AT$11:$AT$74)&gt;0),$B52,"")</f>
        <v/>
      </c>
      <c r="K52" s="84" t="str">
        <f t="array" aca="1" ref="K52" ca="1">IF(OR((K$48&gt;=$AS$11:$AS$74)*(K$48&lt;=$AT$11:$AT$74)&gt;0),$B52,"")</f>
        <v/>
      </c>
      <c r="L52" s="84" t="str">
        <f t="array" aca="1" ref="L52" ca="1">IF(OR((L$48&gt;=$AS$11:$AS$74)*(L$48&lt;=$AT$11:$AT$74)&gt;0),$B52,"")</f>
        <v/>
      </c>
      <c r="M52" s="84" t="str">
        <f t="array" aca="1" ref="M52" ca="1">IF(OR((M$48&gt;=$AS$11:$AS$74)*(M$48&lt;=$AT$11:$AT$74)&gt;0),$B52,"")</f>
        <v/>
      </c>
      <c r="N52" s="84" t="str">
        <f t="array" aca="1" ref="N52" ca="1">IF(OR((N$48&gt;=$AS$11:$AS$74)*(N$48&lt;=$AT$11:$AT$74)&gt;0),$B52,"")</f>
        <v/>
      </c>
      <c r="O52" s="84" t="str">
        <f t="array" aca="1" ref="O52" ca="1">IF(OR((O$48&gt;=$AS$11:$AS$74)*(O$48&lt;=$AT$11:$AT$74)&gt;0),$B52,"")</f>
        <v/>
      </c>
      <c r="P52" s="84" t="str">
        <f t="array" aca="1" ref="P52" ca="1">IF(OR((P$48&gt;=$AS$11:$AS$74)*(P$48&lt;=$AT$11:$AT$74)&gt;0),$B52,"")</f>
        <v/>
      </c>
      <c r="Q52" s="84" t="str">
        <f t="array" aca="1" ref="Q52" ca="1">IF(OR((Q$48&gt;=$AS$11:$AS$74)*(Q$48&lt;=$AT$11:$AT$74)&gt;0),$B52,"")</f>
        <v/>
      </c>
      <c r="R52" s="84" t="str">
        <f t="array" aca="1" ref="R52" ca="1">IF(OR((R$48&gt;=$AS$11:$AS$74)*(R$48&lt;=$AT$11:$AT$74)&gt;0),$B52,"")</f>
        <v/>
      </c>
      <c r="S52" s="84" t="str">
        <f t="array" aca="1" ref="S52" ca="1">IF(OR((S$48&gt;=$AS$11:$AS$74)*(S$48&lt;=$AT$11:$AT$74)&gt;0),$B52,"")</f>
        <v/>
      </c>
      <c r="T52" s="84" t="str">
        <f t="array" aca="1" ref="T52" ca="1">IF(OR((T$48&gt;=$AS$11:$AS$74)*(T$48&lt;=$AT$11:$AT$74)&gt;0),$B52,"")</f>
        <v/>
      </c>
      <c r="U52" s="84" t="str">
        <f t="array" aca="1" ref="U52" ca="1">IF(OR((U$48&gt;=$AS$11:$AS$74)*(U$48&lt;=$AT$11:$AT$74)&gt;0),$B52,"")</f>
        <v/>
      </c>
      <c r="V52" s="84" t="str">
        <f t="array" aca="1" ref="V52" ca="1">IF(OR((V$48&gt;=$AS$11:$AS$74)*(V$48&lt;=$AT$11:$AT$74)&gt;0),$B52,"")</f>
        <v/>
      </c>
      <c r="W52" s="84" t="str">
        <f t="array" aca="1" ref="W52" ca="1">IF(OR((W$48&gt;=$AS$11:$AS$74)*(W$48&lt;=$AT$11:$AT$74)&gt;0),$B52,"")</f>
        <v/>
      </c>
      <c r="X52" s="84" t="str">
        <f t="array" aca="1" ref="X52" ca="1">IF(OR((X$48&gt;=$AS$11:$AS$74)*(X$48&lt;=$AT$11:$AT$74)&gt;0),$B52,"")</f>
        <v/>
      </c>
      <c r="Y52" s="84" t="str">
        <f t="array" aca="1" ref="Y52" ca="1">IF(OR((Y$48&gt;=$AS$11:$AS$74)*(Y$48&lt;=$AT$11:$AT$74)&gt;0),$B52,"")</f>
        <v/>
      </c>
      <c r="Z52" s="84" t="str">
        <f t="array" aca="1" ref="Z52" ca="1">IF(OR((Z$48&gt;=$AS$11:$AS$74)*(Z$48&lt;=$AT$11:$AT$74)&gt;0),$B52,"")</f>
        <v/>
      </c>
      <c r="AA52" s="84" t="str">
        <f t="array" aca="1" ref="AA52" ca="1">IF(OR((AA$48&gt;=$AS$11:$AS$74)*(AA$48&lt;=$AT$11:$AT$74)&gt;0),$B52,"")</f>
        <v/>
      </c>
      <c r="AB52" s="84" t="str">
        <f t="array" aca="1" ref="AB52" ca="1">IF(OR((AB$48&gt;=$AS$11:$AS$74)*(AB$48&lt;=$AT$11:$AT$74)&gt;0),$B52,"")</f>
        <v/>
      </c>
      <c r="AC52" s="84" t="str">
        <f t="array" aca="1" ref="AC52" ca="1">IF(OR((AC$48&gt;=$AS$11:$AS$74)*(AC$48&lt;=$AT$11:$AT$74)&gt;0),$B52,"")</f>
        <v/>
      </c>
      <c r="AD52" s="84" t="str">
        <f t="array" aca="1" ref="AD52" ca="1">IF(OR((AD$48&gt;=$AS$11:$AS$74)*(AD$48&lt;=$AT$11:$AT$74)&gt;0),$B52,"")</f>
        <v/>
      </c>
      <c r="AE52" s="84" t="str">
        <f t="array" aca="1" ref="AE52" ca="1">IF(OR((AE$48&gt;=$AS$11:$AS$74)*(AE$48&lt;=$AT$11:$AT$74)&gt;0),$B52,"")</f>
        <v/>
      </c>
      <c r="AF52" s="84" t="str">
        <f t="array" aca="1" ref="AF52" ca="1">IF(OR((AF$48&gt;=$AS$11:$AS$74)*(AF$48&lt;=$AT$11:$AT$74)&gt;0),$B52,"")</f>
        <v/>
      </c>
      <c r="AG52" s="84" t="str">
        <f t="array" aca="1" ref="AG52" ca="1">IF(OR((AG$48&gt;=$AS$11:$AS$74)*(AG$48&lt;=$AT$11:$AT$74)&gt;0),$B52,"")</f>
        <v/>
      </c>
      <c r="AH52" s="84" t="str">
        <f t="array" aca="1" ref="AH52" ca="1">IF(OR((AH$48&gt;=$AS$11:$AS$74)*(AH$48&lt;=$AT$11:$AT$74)&gt;0),$B52,"")</f>
        <v/>
      </c>
      <c r="AI52" s="84" t="str">
        <f t="array" aca="1" ref="AI52" ca="1">IF(OR((AI$48&gt;=$AS$11:$AS$74)*(AI$48&lt;=$AT$11:$AT$74)&gt;0),$B52,"")</f>
        <v/>
      </c>
      <c r="AJ52" s="85"/>
      <c r="AK52" s="75" t="s">
        <v>161</v>
      </c>
      <c r="AL52" s="74">
        <v>12</v>
      </c>
      <c r="AM52" s="84" t="str">
        <f t="array" aca="1" ref="AM52" ca="1">IF(OR((AM$48&gt;=$AS$11:$AS$74)*(AM$48&lt;=$AT$11:$AT$74)&gt;0),$B52,"")</f>
        <v/>
      </c>
      <c r="AN52" s="84" t="str">
        <f t="array" aca="1" ref="AN52" ca="1">IF(OR((AN$48&gt;=$AS$11:$AS$74)*(AN$48&lt;=$AT$11:$AT$74)&gt;0),$B52,"")</f>
        <v/>
      </c>
      <c r="AO52" s="84" t="str">
        <f t="array" aca="1" ref="AO52" ca="1">IF(OR((AO$48&gt;=$AS$11:$AS$74)*(AO$48&lt;=$AT$11:$AT$74)&gt;0),$B52,"")</f>
        <v/>
      </c>
      <c r="AP52" s="84" t="str">
        <f t="array" aca="1" ref="AP52" ca="1">IF(OR((AP$48&gt;=$AS$11:$AS$74)*(AP$48&lt;=$AT$11:$AT$74)&gt;0),$B52,"")</f>
        <v/>
      </c>
      <c r="AQ52" s="84" t="str">
        <f t="array" aca="1" ref="AQ52" ca="1">IF(OR((AQ$48&gt;=$AS$11:$AS$74)*(AQ$48&lt;=$AT$11:$AT$74)&gt;0),$B52,"")</f>
        <v/>
      </c>
      <c r="AR52" s="84" t="str">
        <f t="array" aca="1" ref="AR52" ca="1">IF(OR((AR$48&gt;=$AS$11:$AS$74)*(AR$48&lt;=$AT$11:$AT$74)&gt;0),$B52,"")</f>
        <v/>
      </c>
      <c r="AS52" s="84" t="str">
        <f t="array" aca="1" ref="AS52" ca="1">IF(OR((AS$48&gt;=$AS$11:$AS$74)*(AS$48&lt;=$AT$11:$AT$74)&gt;0),$B52,"")</f>
        <v/>
      </c>
      <c r="AT52" s="84" t="str">
        <f t="array" aca="1" ref="AT52" ca="1">IF(OR((AT$48&gt;=$AS$11:$AS$74)*(AT$48&lt;=$AT$11:$AT$74)&gt;0),$B52,"")</f>
        <v/>
      </c>
      <c r="AU52" s="84" t="str">
        <f t="array" aca="1" ref="AU52" ca="1">IF(OR((AU$48&gt;=$AS$11:$AS$74)*(AU$48&lt;=$AT$11:$AT$74)&gt;0),$B52,"")</f>
        <v/>
      </c>
      <c r="AV52" s="84" t="str">
        <f t="array" aca="1" ref="AV52" ca="1">IF(OR((AV$48&gt;=$AS$11:$AS$74)*(AV$48&lt;=$AT$11:$AT$74)&gt;0),$B52,"")</f>
        <v/>
      </c>
      <c r="AW52" s="84" t="str">
        <f t="array" aca="1" ref="AW52" ca="1">IF(OR((AW$48&gt;=$AS$11:$AS$74)*(AW$48&lt;=$AT$11:$AT$74)&gt;0),$B52,"")</f>
        <v/>
      </c>
      <c r="AX52" s="84" t="str">
        <f t="array" aca="1" ref="AX52" ca="1">IF(OR((AX$48&gt;=$AS$11:$AS$74)*(AX$48&lt;=$AT$11:$AT$74)&gt;0),$B52,"")</f>
        <v/>
      </c>
      <c r="AY52" s="84" t="str">
        <f t="array" aca="1" ref="AY52" ca="1">IF(OR((AY$48&gt;=$AS$11:$AS$74)*(AY$48&lt;=$AT$11:$AT$74)&gt;0),$B52,"")</f>
        <v/>
      </c>
      <c r="AZ52" s="84" t="str">
        <f t="array" aca="1" ref="AZ52" ca="1">IF(OR((AZ$48&gt;=$AS$11:$AS$74)*(AZ$48&lt;=$AT$11:$AT$74)&gt;0),$B52,"")</f>
        <v/>
      </c>
      <c r="BA52" s="84" t="str">
        <f t="array" aca="1" ref="BA52" ca="1">IF(OR((BA$48&gt;=$AS$11:$AS$74)*(BA$48&lt;=$AT$11:$AT$74)&gt;0),$B52,"")</f>
        <v/>
      </c>
      <c r="BB52" s="84" t="str">
        <f t="array" aca="1" ref="BB52" ca="1">IF(OR((BB$48&gt;=$AS$11:$AS$74)*(BB$48&lt;=$AT$11:$AT$74)&gt;0),$B52,"")</f>
        <v/>
      </c>
      <c r="BC52" s="84" t="str">
        <f t="array" aca="1" ref="BC52" ca="1">IF(OR((BC$48&gt;=$AS$11:$AS$74)*(BC$48&lt;=$AT$11:$AT$74)&gt;0),$B52,"")</f>
        <v/>
      </c>
      <c r="BD52" s="84" t="str">
        <f t="array" aca="1" ref="BD52" ca="1">IF(OR((BD$48&gt;=$AS$11:$AS$74)*(BD$48&lt;=$AT$11:$AT$74)&gt;0),$B52,"")</f>
        <v/>
      </c>
      <c r="BE52" s="84" t="str">
        <f t="array" aca="1" ref="BE52" ca="1">IF(OR((BE$48&gt;=$AS$11:$AS$74)*(BE$48&lt;=$AT$11:$AT$74)&gt;0),$B52,"")</f>
        <v/>
      </c>
      <c r="BF52" s="84" t="str">
        <f t="array" aca="1" ref="BF52" ca="1">IF(OR((BF$48&gt;=$AS$11:$AS$74)*(BF$48&lt;=$AT$11:$AT$74)&gt;0),$B52,"")</f>
        <v/>
      </c>
      <c r="BG52" s="84" t="str">
        <f t="array" aca="1" ref="BG52" ca="1">IF(OR((BG$48&gt;=$AS$11:$AS$74)*(BG$48&lt;=$AT$11:$AT$74)&gt;0),$B52,"")</f>
        <v/>
      </c>
      <c r="BH52" s="84" t="str">
        <f t="array" aca="1" ref="BH52" ca="1">IF(OR((BH$48&gt;=$AS$11:$AS$74)*(BH$48&lt;=$AT$11:$AT$74)&gt;0),$B52,"")</f>
        <v/>
      </c>
      <c r="BI52" s="84" t="str">
        <f t="array" aca="1" ref="BI52" ca="1">IF(OR((BI$48&gt;=$AS$11:$AS$74)*(BI$48&lt;=$AT$11:$AT$74)&gt;0),$B52,"")</f>
        <v/>
      </c>
      <c r="BJ52" s="84" t="str">
        <f t="array" aca="1" ref="BJ52" ca="1">IF(OR((BJ$48&gt;=$AS$11:$AS$74)*(BJ$48&lt;=$AT$11:$AT$74)&gt;0),$B52,"")</f>
        <v/>
      </c>
      <c r="BK52" s="84" t="str">
        <f t="array" aca="1" ref="BK52" ca="1">IF(OR((BK$48&gt;=$AS$11:$AS$74)*(BK$48&lt;=$AT$11:$AT$74)&gt;0),$B52,"")</f>
        <v/>
      </c>
      <c r="BL52" s="84" t="str">
        <f t="array" aca="1" ref="BL52" ca="1">IF(OR((BL$48&gt;=$AS$11:$AS$74)*(BL$48&lt;=$AT$11:$AT$74)&gt;0),$B52,"")</f>
        <v/>
      </c>
      <c r="BM52" s="84" t="str">
        <f t="array" aca="1" ref="BM52" ca="1">IF(OR((BM$48&gt;=$AS$11:$AS$74)*(BM$48&lt;=$AT$11:$AT$74)&gt;0),$B52,"")</f>
        <v/>
      </c>
      <c r="BN52" s="84" t="str">
        <f t="array" aca="1" ref="BN52" ca="1">IF(OR((BN$48&gt;=$AS$11:$AS$74)*(BN$48&lt;=$AT$11:$AT$74)&gt;0),$B52,"")</f>
        <v/>
      </c>
      <c r="BO52" s="84" t="str">
        <f t="array" aca="1" ref="BO52" ca="1">IF(OR((BO$48&gt;=$AS$11:$AS$74)*(BO$48&lt;=$AT$11:$AT$74)&gt;0),$B52,"")</f>
        <v/>
      </c>
      <c r="BP52" s="84" t="str">
        <f t="array" aca="1" ref="BP52" ca="1">IF(OR((BP$48&gt;=$AS$11:$AS$74)*(BP$48&lt;=$AT$11:$AT$74)&gt;0),$B52,"")</f>
        <v/>
      </c>
      <c r="BQ52" s="84" t="str">
        <f t="array" aca="1" ref="BQ52" ca="1">IF(OR((BQ$48&gt;=$AS$11:$AS$74)*(BQ$48&lt;=$AT$11:$AT$74)&gt;0),$B52,"")</f>
        <v/>
      </c>
      <c r="BR52" s="84" t="str">
        <f t="array" aca="1" ref="BR52" ca="1">IF(OR((BR$48&gt;=$AS$11:$AS$74)*(BR$48&lt;=$AT$11:$AT$74)&gt;0),$B52,"")</f>
        <v/>
      </c>
      <c r="BS52" s="84" t="str">
        <f t="array" aca="1" ref="BS52" ca="1">IF(OR((BS$48&gt;=$AS$11:$AS$74)*(BS$48&lt;=$AT$11:$AT$74)&gt;0),$B52,"")</f>
        <v/>
      </c>
      <c r="BU52" s="75" t="s">
        <v>161</v>
      </c>
      <c r="BV52" s="74">
        <v>12</v>
      </c>
      <c r="BW52" s="84" t="str">
        <f t="array" aca="1" ref="BW52" ca="1">IF(OR((BW$48&gt;=$AS$11:$AS$74)*(BW$48&lt;=$AT$11:$AT$74)&gt;0),$B52,"")</f>
        <v/>
      </c>
      <c r="BX52" s="84" t="str">
        <f t="array" aca="1" ref="BX52" ca="1">IF(OR((BX$48&gt;=$AS$11:$AS$74)*(BX$48&lt;=$AT$11:$AT$74)&gt;0),$B52,"")</f>
        <v/>
      </c>
      <c r="BY52" s="84" t="str">
        <f t="array" aca="1" ref="BY52" ca="1">IF(OR((BY$48&gt;=$AS$11:$AS$74)*(BY$48&lt;=$AT$11:$AT$74)&gt;0),$B52,"")</f>
        <v/>
      </c>
      <c r="BZ52" s="84" t="str">
        <f t="array" aca="1" ref="BZ52" ca="1">IF(OR((BZ$48&gt;=$AS$11:$AS$74)*(BZ$48&lt;=$AT$11:$AT$74)&gt;0),$B52,"")</f>
        <v/>
      </c>
      <c r="CA52" s="84" t="str">
        <f t="array" aca="1" ref="CA52" ca="1">IF(OR((CA$48&gt;=$AS$11:$AS$74)*(CA$48&lt;=$AT$11:$AT$74)&gt;0),$B52,"")</f>
        <v/>
      </c>
      <c r="CB52" s="84" t="str">
        <f t="array" aca="1" ref="CB52" ca="1">IF(OR((CB$48&gt;=$AS$11:$AS$74)*(CB$48&lt;=$AT$11:$AT$74)&gt;0),$B52,"")</f>
        <v/>
      </c>
      <c r="CC52" s="84" t="str">
        <f t="array" aca="1" ref="CC52" ca="1">IF(OR((CC$48&gt;=$AS$11:$AS$74)*(CC$48&lt;=$AT$11:$AT$74)&gt;0),$B52,"")</f>
        <v/>
      </c>
      <c r="CD52" s="84" t="str">
        <f t="array" aca="1" ref="CD52" ca="1">IF(OR((CD$48&gt;=$AS$11:$AS$74)*(CD$48&lt;=$AT$11:$AT$74)&gt;0),$B52,"")</f>
        <v/>
      </c>
      <c r="CE52" s="84" t="str">
        <f t="array" aca="1" ref="CE52" ca="1">IF(OR((CE$48&gt;=$AS$11:$AS$74)*(CE$48&lt;=$AT$11:$AT$74)&gt;0),$B52,"")</f>
        <v/>
      </c>
      <c r="CF52" s="84" t="str">
        <f t="array" aca="1" ref="CF52" ca="1">IF(OR((CF$48&gt;=$AS$11:$AS$74)*(CF$48&lt;=$AT$11:$AT$74)&gt;0),$B52,"")</f>
        <v/>
      </c>
      <c r="CG52" s="84" t="str">
        <f t="array" aca="1" ref="CG52" ca="1">IF(OR((CG$48&gt;=$AS$11:$AS$74)*(CG$48&lt;=$AT$11:$AT$74)&gt;0),$B52,"")</f>
        <v/>
      </c>
      <c r="CH52" s="84" t="str">
        <f t="array" aca="1" ref="CH52" ca="1">IF(OR((CH$48&gt;=$AS$11:$AS$74)*(CH$48&lt;=$AT$11:$AT$74)&gt;0),$B52,"")</f>
        <v/>
      </c>
      <c r="CI52" s="84" t="str">
        <f t="array" aca="1" ref="CI52" ca="1">IF(OR((CI$48&gt;=$AS$11:$AS$74)*(CI$48&lt;=$AT$11:$AT$74)&gt;0),$B52,"")</f>
        <v/>
      </c>
      <c r="CJ52" s="84" t="str">
        <f t="array" aca="1" ref="CJ52" ca="1">IF(OR((CJ$48&gt;=$AS$11:$AS$74)*(CJ$48&lt;=$AT$11:$AT$74)&gt;0),$B52,"")</f>
        <v/>
      </c>
      <c r="CK52" s="84" t="str">
        <f t="array" aca="1" ref="CK52" ca="1">IF(OR((CK$48&gt;=$AS$11:$AS$74)*(CK$48&lt;=$AT$11:$AT$74)&gt;0),$B52,"")</f>
        <v/>
      </c>
      <c r="CL52" s="84" t="str">
        <f t="array" aca="1" ref="CL52" ca="1">IF(OR((CL$48&gt;=$AS$11:$AS$74)*(CL$48&lt;=$AT$11:$AT$74)&gt;0),$B52,"")</f>
        <v/>
      </c>
      <c r="CM52" s="84" t="str">
        <f t="array" aca="1" ref="CM52" ca="1">IF(OR((CM$48&gt;=$AS$11:$AS$74)*(CM$48&lt;=$AT$11:$AT$74)&gt;0),$B52,"")</f>
        <v/>
      </c>
      <c r="CN52" s="84" t="str">
        <f t="array" aca="1" ref="CN52" ca="1">IF(OR((CN$48&gt;=$AS$11:$AS$74)*(CN$48&lt;=$AT$11:$AT$74)&gt;0),$B52,"")</f>
        <v/>
      </c>
      <c r="CO52" s="84" t="str">
        <f t="array" aca="1" ref="CO52" ca="1">IF(OR((CO$48&gt;=$AS$11:$AS$74)*(CO$48&lt;=$AT$11:$AT$74)&gt;0),$B52,"")</f>
        <v/>
      </c>
      <c r="CP52" s="84" t="str">
        <f t="array" aca="1" ref="CP52" ca="1">IF(OR((CP$48&gt;=$AS$11:$AS$74)*(CP$48&lt;=$AT$11:$AT$74)&gt;0),$B52,"")</f>
        <v/>
      </c>
      <c r="CQ52" s="84" t="str">
        <f t="array" aca="1" ref="CQ52" ca="1">IF(OR((CQ$48&gt;=$AS$11:$AS$74)*(CQ$48&lt;=$AT$11:$AT$74)&gt;0),$B52,"")</f>
        <v/>
      </c>
      <c r="CR52" s="84" t="str">
        <f t="array" aca="1" ref="CR52" ca="1">IF(OR((CR$48&gt;=$AS$11:$AS$74)*(CR$48&lt;=$AT$11:$AT$74)&gt;0),$B52,"")</f>
        <v/>
      </c>
      <c r="CS52" s="84" t="str">
        <f t="array" aca="1" ref="CS52" ca="1">IF(OR((CS$48&gt;=$AS$11:$AS$74)*(CS$48&lt;=$AT$11:$AT$74)&gt;0),$B52,"")</f>
        <v/>
      </c>
      <c r="CT52" s="84" t="str">
        <f t="array" aca="1" ref="CT52" ca="1">IF(OR((CT$48&gt;=$AS$11:$AS$74)*(CT$48&lt;=$AT$11:$AT$74)&gt;0),$B52,"")</f>
        <v/>
      </c>
      <c r="CU52" s="84" t="str">
        <f t="array" aca="1" ref="CU52" ca="1">IF(OR((CU$48&gt;=$AS$11:$AS$74)*(CU$48&lt;=$AT$11:$AT$74)&gt;0),$B52,"")</f>
        <v/>
      </c>
      <c r="CV52" s="84" t="str">
        <f t="array" aca="1" ref="CV52" ca="1">IF(OR((CV$48&gt;=$AS$11:$AS$74)*(CV$48&lt;=$AT$11:$AT$74)&gt;0),$B52,"")</f>
        <v/>
      </c>
      <c r="CW52" s="84" t="str">
        <f t="array" aca="1" ref="CW52" ca="1">IF(OR((CW$48&gt;=$AS$11:$AS$74)*(CW$48&lt;=$AT$11:$AT$74)&gt;0),$B52,"")</f>
        <v/>
      </c>
      <c r="CX52" s="84" t="str">
        <f t="array" aca="1" ref="CX52" ca="1">IF(OR((CX$48&gt;=$AS$11:$AS$74)*(CX$48&lt;=$AT$11:$AT$74)&gt;0),$B52,"")</f>
        <v/>
      </c>
      <c r="CY52" s="84" t="str">
        <f t="array" aca="1" ref="CY52" ca="1">IF(OR((CY$48&gt;=$AS$11:$AS$74)*(CY$48&lt;=$AT$11:$AT$74)&gt;0),$B52,"")</f>
        <v/>
      </c>
      <c r="CZ52" s="84" t="str">
        <f t="array" aca="1" ref="CZ52" ca="1">IF(OR((CZ$48&gt;=$AS$11:$AS$74)*(CZ$48&lt;=$AT$11:$AT$74)&gt;0),$B52,"")</f>
        <v/>
      </c>
      <c r="DA52" s="84" t="str">
        <f t="array" aca="1" ref="DA52" ca="1">IF(OR((DA$48&gt;=$AS$11:$AS$74)*(DA$48&lt;=$AT$11:$AT$74)&gt;0),$B52,"")</f>
        <v/>
      </c>
      <c r="DB52" s="84" t="str">
        <f t="array" aca="1" ref="DB52" ca="1">IF(OR((DB$48&gt;=$AS$11:$AS$74)*(DB$48&lt;=$AT$11:$AT$74)&gt;0),$B52,"")</f>
        <v/>
      </c>
      <c r="DC52" s="84" t="str">
        <f t="array" aca="1" ref="DC52" ca="1">IF(OR((DC$48&gt;=$AS$11:$AS$74)*(DC$48&lt;=$AT$11:$AT$74)&gt;0),$B52,"")</f>
        <v/>
      </c>
    </row>
    <row r="53" spans="1:107">
      <c r="A53" s="75" t="s">
        <v>162</v>
      </c>
      <c r="B53" s="74">
        <v>4</v>
      </c>
      <c r="C53" s="84" t="str">
        <f t="array" aca="1" ref="C53" ca="1">IF(OR((C$48&gt;=$AS$11:$AS$74)*(C$48&lt;=$AT$11:$AT$74)&gt;0),$B53,"")</f>
        <v/>
      </c>
      <c r="D53" s="84" t="str">
        <f t="array" aca="1" ref="D53" ca="1">IF(OR((D$48&gt;=$AS$11:$AS$74)*(D$48&lt;=$AT$11:$AT$74)&gt;0),$B53,"")</f>
        <v/>
      </c>
      <c r="E53" s="84" t="str">
        <f t="array" aca="1" ref="E53" ca="1">IF(OR((E$48&gt;=$AS$11:$AS$74)*(E$48&lt;=$AT$11:$AT$74)&gt;0),$B53,"")</f>
        <v/>
      </c>
      <c r="F53" s="84" t="str">
        <f t="array" aca="1" ref="F53" ca="1">IF(OR((F$48&gt;=$AS$11:$AS$74)*(F$48&lt;=$AT$11:$AT$74)&gt;0),$B53,"")</f>
        <v/>
      </c>
      <c r="G53" s="84" t="str">
        <f t="array" aca="1" ref="G53" ca="1">IF(OR((G$48&gt;=$AS$11:$AS$74)*(G$48&lt;=$AT$11:$AT$74)&gt;0),$B53,"")</f>
        <v/>
      </c>
      <c r="H53" s="84" t="str">
        <f t="array" aca="1" ref="H53" ca="1">IF(OR((H$48&gt;=$AS$11:$AS$74)*(H$48&lt;=$AT$11:$AT$74)&gt;0),$B53,"")</f>
        <v/>
      </c>
      <c r="I53" s="84" t="str">
        <f t="array" aca="1" ref="I53" ca="1">IF(OR((I$48&gt;=$AS$11:$AS$74)*(I$48&lt;=$AT$11:$AT$74)&gt;0),$B53,"")</f>
        <v/>
      </c>
      <c r="J53" s="84" t="str">
        <f t="array" aca="1" ref="J53" ca="1">IF(OR((J$48&gt;=$AS$11:$AS$74)*(J$48&lt;=$AT$11:$AT$74)&gt;0),$B53,"")</f>
        <v/>
      </c>
      <c r="K53" s="84" t="str">
        <f t="array" aca="1" ref="K53" ca="1">IF(OR((K$48&gt;=$AS$11:$AS$74)*(K$48&lt;=$AT$11:$AT$74)&gt;0),$B53,"")</f>
        <v/>
      </c>
      <c r="L53" s="84" t="str">
        <f t="array" aca="1" ref="L53" ca="1">IF(OR((L$48&gt;=$AS$11:$AS$74)*(L$48&lt;=$AT$11:$AT$74)&gt;0),$B53,"")</f>
        <v/>
      </c>
      <c r="M53" s="84" t="str">
        <f t="array" aca="1" ref="M53" ca="1">IF(OR((M$48&gt;=$AS$11:$AS$74)*(M$48&lt;=$AT$11:$AT$74)&gt;0),$B53,"")</f>
        <v/>
      </c>
      <c r="N53" s="84" t="str">
        <f t="array" aca="1" ref="N53" ca="1">IF(OR((N$48&gt;=$AS$11:$AS$74)*(N$48&lt;=$AT$11:$AT$74)&gt;0),$B53,"")</f>
        <v/>
      </c>
      <c r="O53" s="84" t="str">
        <f t="array" aca="1" ref="O53" ca="1">IF(OR((O$48&gt;=$AS$11:$AS$74)*(O$48&lt;=$AT$11:$AT$74)&gt;0),$B53,"")</f>
        <v/>
      </c>
      <c r="P53" s="84" t="str">
        <f t="array" aca="1" ref="P53" ca="1">IF(OR((P$48&gt;=$AS$11:$AS$74)*(P$48&lt;=$AT$11:$AT$74)&gt;0),$B53,"")</f>
        <v/>
      </c>
      <c r="Q53" s="84" t="str">
        <f t="array" aca="1" ref="Q53" ca="1">IF(OR((Q$48&gt;=$AS$11:$AS$74)*(Q$48&lt;=$AT$11:$AT$74)&gt;0),$B53,"")</f>
        <v/>
      </c>
      <c r="R53" s="84" t="str">
        <f t="array" aca="1" ref="R53" ca="1">IF(OR((R$48&gt;=$AS$11:$AS$74)*(R$48&lt;=$AT$11:$AT$74)&gt;0),$B53,"")</f>
        <v/>
      </c>
      <c r="S53" s="84" t="str">
        <f t="array" aca="1" ref="S53" ca="1">IF(OR((S$48&gt;=$AS$11:$AS$74)*(S$48&lt;=$AT$11:$AT$74)&gt;0),$B53,"")</f>
        <v/>
      </c>
      <c r="T53" s="84" t="str">
        <f t="array" aca="1" ref="T53" ca="1">IF(OR((T$48&gt;=$AS$11:$AS$74)*(T$48&lt;=$AT$11:$AT$74)&gt;0),$B53,"")</f>
        <v/>
      </c>
      <c r="U53" s="84" t="str">
        <f t="array" aca="1" ref="U53" ca="1">IF(OR((U$48&gt;=$AS$11:$AS$74)*(U$48&lt;=$AT$11:$AT$74)&gt;0),$B53,"")</f>
        <v/>
      </c>
      <c r="V53" s="84" t="str">
        <f t="array" aca="1" ref="V53" ca="1">IF(OR((V$48&gt;=$AS$11:$AS$74)*(V$48&lt;=$AT$11:$AT$74)&gt;0),$B53,"")</f>
        <v/>
      </c>
      <c r="W53" s="84" t="str">
        <f t="array" aca="1" ref="W53" ca="1">IF(OR((W$48&gt;=$AS$11:$AS$74)*(W$48&lt;=$AT$11:$AT$74)&gt;0),$B53,"")</f>
        <v/>
      </c>
      <c r="X53" s="84" t="str">
        <f t="array" aca="1" ref="X53" ca="1">IF(OR((X$48&gt;=$AS$11:$AS$74)*(X$48&lt;=$AT$11:$AT$74)&gt;0),$B53,"")</f>
        <v/>
      </c>
      <c r="Y53" s="84" t="str">
        <f t="array" aca="1" ref="Y53" ca="1">IF(OR((Y$48&gt;=$AS$11:$AS$74)*(Y$48&lt;=$AT$11:$AT$74)&gt;0),$B53,"")</f>
        <v/>
      </c>
      <c r="Z53" s="84" t="str">
        <f t="array" aca="1" ref="Z53" ca="1">IF(OR((Z$48&gt;=$AS$11:$AS$74)*(Z$48&lt;=$AT$11:$AT$74)&gt;0),$B53,"")</f>
        <v/>
      </c>
      <c r="AA53" s="84" t="str">
        <f t="array" aca="1" ref="AA53" ca="1">IF(OR((AA$48&gt;=$AS$11:$AS$74)*(AA$48&lt;=$AT$11:$AT$74)&gt;0),$B53,"")</f>
        <v/>
      </c>
      <c r="AB53" s="84" t="str">
        <f t="array" aca="1" ref="AB53" ca="1">IF(OR((AB$48&gt;=$AS$11:$AS$74)*(AB$48&lt;=$AT$11:$AT$74)&gt;0),$B53,"")</f>
        <v/>
      </c>
      <c r="AC53" s="84" t="str">
        <f t="array" aca="1" ref="AC53" ca="1">IF(OR((AC$48&gt;=$AS$11:$AS$74)*(AC$48&lt;=$AT$11:$AT$74)&gt;0),$B53,"")</f>
        <v/>
      </c>
      <c r="AD53" s="84" t="str">
        <f t="array" aca="1" ref="AD53" ca="1">IF(OR((AD$48&gt;=$AS$11:$AS$74)*(AD$48&lt;=$AT$11:$AT$74)&gt;0),$B53,"")</f>
        <v/>
      </c>
      <c r="AE53" s="84" t="str">
        <f t="array" aca="1" ref="AE53" ca="1">IF(OR((AE$48&gt;=$AS$11:$AS$74)*(AE$48&lt;=$AT$11:$AT$74)&gt;0),$B53,"")</f>
        <v/>
      </c>
      <c r="AF53" s="84" t="str">
        <f t="array" aca="1" ref="AF53" ca="1">IF(OR((AF$48&gt;=$AS$11:$AS$74)*(AF$48&lt;=$AT$11:$AT$74)&gt;0),$B53,"")</f>
        <v/>
      </c>
      <c r="AG53" s="84" t="str">
        <f t="array" aca="1" ref="AG53" ca="1">IF(OR((AG$48&gt;=$AS$11:$AS$74)*(AG$48&lt;=$AT$11:$AT$74)&gt;0),$B53,"")</f>
        <v/>
      </c>
      <c r="AH53" s="84" t="str">
        <f t="array" aca="1" ref="AH53" ca="1">IF(OR((AH$48&gt;=$AS$11:$AS$74)*(AH$48&lt;=$AT$11:$AT$74)&gt;0),$B53,"")</f>
        <v/>
      </c>
      <c r="AI53" s="84" t="str">
        <f t="array" aca="1" ref="AI53" ca="1">IF(OR((AI$48&gt;=$AS$11:$AS$74)*(AI$48&lt;=$AT$11:$AT$74)&gt;0),$B53,"")</f>
        <v/>
      </c>
      <c r="AJ53" s="85"/>
      <c r="AK53" s="75" t="s">
        <v>162</v>
      </c>
      <c r="AL53" s="74">
        <v>4</v>
      </c>
      <c r="AM53" s="84" t="str">
        <f t="array" aca="1" ref="AM53" ca="1">IF(OR((AM$48&gt;=$AS$11:$AS$74)*(AM$48&lt;=$AT$11:$AT$74)&gt;0),$B53,"")</f>
        <v/>
      </c>
      <c r="AN53" s="84" t="str">
        <f t="array" aca="1" ref="AN53" ca="1">IF(OR((AN$48&gt;=$AS$11:$AS$74)*(AN$48&lt;=$AT$11:$AT$74)&gt;0),$B53,"")</f>
        <v/>
      </c>
      <c r="AO53" s="84" t="str">
        <f t="array" aca="1" ref="AO53" ca="1">IF(OR((AO$48&gt;=$AS$11:$AS$74)*(AO$48&lt;=$AT$11:$AT$74)&gt;0),$B53,"")</f>
        <v/>
      </c>
      <c r="AP53" s="84" t="str">
        <f t="array" aca="1" ref="AP53" ca="1">IF(OR((AP$48&gt;=$AS$11:$AS$74)*(AP$48&lt;=$AT$11:$AT$74)&gt;0),$B53,"")</f>
        <v/>
      </c>
      <c r="AQ53" s="84" t="str">
        <f t="array" aca="1" ref="AQ53" ca="1">IF(OR((AQ$48&gt;=$AS$11:$AS$74)*(AQ$48&lt;=$AT$11:$AT$74)&gt;0),$B53,"")</f>
        <v/>
      </c>
      <c r="AR53" s="84" t="str">
        <f t="array" aca="1" ref="AR53" ca="1">IF(OR((AR$48&gt;=$AS$11:$AS$74)*(AR$48&lt;=$AT$11:$AT$74)&gt;0),$B53,"")</f>
        <v/>
      </c>
      <c r="AS53" s="84" t="str">
        <f t="array" aca="1" ref="AS53" ca="1">IF(OR((AS$48&gt;=$AS$11:$AS$74)*(AS$48&lt;=$AT$11:$AT$74)&gt;0),$B53,"")</f>
        <v/>
      </c>
      <c r="AT53" s="84" t="str">
        <f t="array" aca="1" ref="AT53" ca="1">IF(OR((AT$48&gt;=$AS$11:$AS$74)*(AT$48&lt;=$AT$11:$AT$74)&gt;0),$B53,"")</f>
        <v/>
      </c>
      <c r="AU53" s="84" t="str">
        <f t="array" aca="1" ref="AU53" ca="1">IF(OR((AU$48&gt;=$AS$11:$AS$74)*(AU$48&lt;=$AT$11:$AT$74)&gt;0),$B53,"")</f>
        <v/>
      </c>
      <c r="AV53" s="84" t="str">
        <f t="array" aca="1" ref="AV53" ca="1">IF(OR((AV$48&gt;=$AS$11:$AS$74)*(AV$48&lt;=$AT$11:$AT$74)&gt;0),$B53,"")</f>
        <v/>
      </c>
      <c r="AW53" s="84" t="str">
        <f t="array" aca="1" ref="AW53" ca="1">IF(OR((AW$48&gt;=$AS$11:$AS$74)*(AW$48&lt;=$AT$11:$AT$74)&gt;0),$B53,"")</f>
        <v/>
      </c>
      <c r="AX53" s="84" t="str">
        <f t="array" aca="1" ref="AX53" ca="1">IF(OR((AX$48&gt;=$AS$11:$AS$74)*(AX$48&lt;=$AT$11:$AT$74)&gt;0),$B53,"")</f>
        <v/>
      </c>
      <c r="AY53" s="84" t="str">
        <f t="array" aca="1" ref="AY53" ca="1">IF(OR((AY$48&gt;=$AS$11:$AS$74)*(AY$48&lt;=$AT$11:$AT$74)&gt;0),$B53,"")</f>
        <v/>
      </c>
      <c r="AZ53" s="84" t="str">
        <f t="array" aca="1" ref="AZ53" ca="1">IF(OR((AZ$48&gt;=$AS$11:$AS$74)*(AZ$48&lt;=$AT$11:$AT$74)&gt;0),$B53,"")</f>
        <v/>
      </c>
      <c r="BA53" s="84" t="str">
        <f t="array" aca="1" ref="BA53" ca="1">IF(OR((BA$48&gt;=$AS$11:$AS$74)*(BA$48&lt;=$AT$11:$AT$74)&gt;0),$B53,"")</f>
        <v/>
      </c>
      <c r="BB53" s="84" t="str">
        <f t="array" aca="1" ref="BB53" ca="1">IF(OR((BB$48&gt;=$AS$11:$AS$74)*(BB$48&lt;=$AT$11:$AT$74)&gt;0),$B53,"")</f>
        <v/>
      </c>
      <c r="BC53" s="84" t="str">
        <f t="array" aca="1" ref="BC53" ca="1">IF(OR((BC$48&gt;=$AS$11:$AS$74)*(BC$48&lt;=$AT$11:$AT$74)&gt;0),$B53,"")</f>
        <v/>
      </c>
      <c r="BD53" s="84" t="str">
        <f t="array" aca="1" ref="BD53" ca="1">IF(OR((BD$48&gt;=$AS$11:$AS$74)*(BD$48&lt;=$AT$11:$AT$74)&gt;0),$B53,"")</f>
        <v/>
      </c>
      <c r="BE53" s="84" t="str">
        <f t="array" aca="1" ref="BE53" ca="1">IF(OR((BE$48&gt;=$AS$11:$AS$74)*(BE$48&lt;=$AT$11:$AT$74)&gt;0),$B53,"")</f>
        <v/>
      </c>
      <c r="BF53" s="84" t="str">
        <f t="array" aca="1" ref="BF53" ca="1">IF(OR((BF$48&gt;=$AS$11:$AS$74)*(BF$48&lt;=$AT$11:$AT$74)&gt;0),$B53,"")</f>
        <v/>
      </c>
      <c r="BG53" s="84" t="str">
        <f t="array" aca="1" ref="BG53" ca="1">IF(OR((BG$48&gt;=$AS$11:$AS$74)*(BG$48&lt;=$AT$11:$AT$74)&gt;0),$B53,"")</f>
        <v/>
      </c>
      <c r="BH53" s="84" t="str">
        <f t="array" aca="1" ref="BH53" ca="1">IF(OR((BH$48&gt;=$AS$11:$AS$74)*(BH$48&lt;=$AT$11:$AT$74)&gt;0),$B53,"")</f>
        <v/>
      </c>
      <c r="BI53" s="84" t="str">
        <f t="array" aca="1" ref="BI53" ca="1">IF(OR((BI$48&gt;=$AS$11:$AS$74)*(BI$48&lt;=$AT$11:$AT$74)&gt;0),$B53,"")</f>
        <v/>
      </c>
      <c r="BJ53" s="84" t="str">
        <f t="array" aca="1" ref="BJ53" ca="1">IF(OR((BJ$48&gt;=$AS$11:$AS$74)*(BJ$48&lt;=$AT$11:$AT$74)&gt;0),$B53,"")</f>
        <v/>
      </c>
      <c r="BK53" s="84" t="str">
        <f t="array" aca="1" ref="BK53" ca="1">IF(OR((BK$48&gt;=$AS$11:$AS$74)*(BK$48&lt;=$AT$11:$AT$74)&gt;0),$B53,"")</f>
        <v/>
      </c>
      <c r="BL53" s="84" t="str">
        <f t="array" aca="1" ref="BL53" ca="1">IF(OR((BL$48&gt;=$AS$11:$AS$74)*(BL$48&lt;=$AT$11:$AT$74)&gt;0),$B53,"")</f>
        <v/>
      </c>
      <c r="BM53" s="84" t="str">
        <f t="array" aca="1" ref="BM53" ca="1">IF(OR((BM$48&gt;=$AS$11:$AS$74)*(BM$48&lt;=$AT$11:$AT$74)&gt;0),$B53,"")</f>
        <v/>
      </c>
      <c r="BN53" s="84" t="str">
        <f t="array" aca="1" ref="BN53" ca="1">IF(OR((BN$48&gt;=$AS$11:$AS$74)*(BN$48&lt;=$AT$11:$AT$74)&gt;0),$B53,"")</f>
        <v/>
      </c>
      <c r="BO53" s="84" t="str">
        <f t="array" aca="1" ref="BO53" ca="1">IF(OR((BO$48&gt;=$AS$11:$AS$74)*(BO$48&lt;=$AT$11:$AT$74)&gt;0),$B53,"")</f>
        <v/>
      </c>
      <c r="BP53" s="84" t="str">
        <f t="array" aca="1" ref="BP53" ca="1">IF(OR((BP$48&gt;=$AS$11:$AS$74)*(BP$48&lt;=$AT$11:$AT$74)&gt;0),$B53,"")</f>
        <v/>
      </c>
      <c r="BQ53" s="84" t="str">
        <f t="array" aca="1" ref="BQ53" ca="1">IF(OR((BQ$48&gt;=$AS$11:$AS$74)*(BQ$48&lt;=$AT$11:$AT$74)&gt;0),$B53,"")</f>
        <v/>
      </c>
      <c r="BR53" s="84" t="str">
        <f t="array" aca="1" ref="BR53" ca="1">IF(OR((BR$48&gt;=$AS$11:$AS$74)*(BR$48&lt;=$AT$11:$AT$74)&gt;0),$B53,"")</f>
        <v/>
      </c>
      <c r="BS53" s="84" t="str">
        <f t="array" aca="1" ref="BS53" ca="1">IF(OR((BS$48&gt;=$AS$11:$AS$74)*(BS$48&lt;=$AT$11:$AT$74)&gt;0),$B53,"")</f>
        <v/>
      </c>
      <c r="BU53" s="75" t="s">
        <v>162</v>
      </c>
      <c r="BV53" s="74">
        <v>4</v>
      </c>
      <c r="BW53" s="84" t="str">
        <f t="array" aca="1" ref="BW53" ca="1">IF(OR((BW$48&gt;=$AS$11:$AS$74)*(BW$48&lt;=$AT$11:$AT$74)&gt;0),$B53,"")</f>
        <v/>
      </c>
      <c r="BX53" s="84" t="str">
        <f t="array" aca="1" ref="BX53" ca="1">IF(OR((BX$48&gt;=$AS$11:$AS$74)*(BX$48&lt;=$AT$11:$AT$74)&gt;0),$B53,"")</f>
        <v/>
      </c>
      <c r="BY53" s="84" t="str">
        <f t="array" aca="1" ref="BY53" ca="1">IF(OR((BY$48&gt;=$AS$11:$AS$74)*(BY$48&lt;=$AT$11:$AT$74)&gt;0),$B53,"")</f>
        <v/>
      </c>
      <c r="BZ53" s="84" t="str">
        <f t="array" aca="1" ref="BZ53" ca="1">IF(OR((BZ$48&gt;=$AS$11:$AS$74)*(BZ$48&lt;=$AT$11:$AT$74)&gt;0),$B53,"")</f>
        <v/>
      </c>
      <c r="CA53" s="84" t="str">
        <f t="array" aca="1" ref="CA53" ca="1">IF(OR((CA$48&gt;=$AS$11:$AS$74)*(CA$48&lt;=$AT$11:$AT$74)&gt;0),$B53,"")</f>
        <v/>
      </c>
      <c r="CB53" s="84" t="str">
        <f t="array" aca="1" ref="CB53" ca="1">IF(OR((CB$48&gt;=$AS$11:$AS$74)*(CB$48&lt;=$AT$11:$AT$74)&gt;0),$B53,"")</f>
        <v/>
      </c>
      <c r="CC53" s="84" t="str">
        <f t="array" aca="1" ref="CC53" ca="1">IF(OR((CC$48&gt;=$AS$11:$AS$74)*(CC$48&lt;=$AT$11:$AT$74)&gt;0),$B53,"")</f>
        <v/>
      </c>
      <c r="CD53" s="84" t="str">
        <f t="array" aca="1" ref="CD53" ca="1">IF(OR((CD$48&gt;=$AS$11:$AS$74)*(CD$48&lt;=$AT$11:$AT$74)&gt;0),$B53,"")</f>
        <v/>
      </c>
      <c r="CE53" s="84" t="str">
        <f t="array" aca="1" ref="CE53" ca="1">IF(OR((CE$48&gt;=$AS$11:$AS$74)*(CE$48&lt;=$AT$11:$AT$74)&gt;0),$B53,"")</f>
        <v/>
      </c>
      <c r="CF53" s="84" t="str">
        <f t="array" aca="1" ref="CF53" ca="1">IF(OR((CF$48&gt;=$AS$11:$AS$74)*(CF$48&lt;=$AT$11:$AT$74)&gt;0),$B53,"")</f>
        <v/>
      </c>
      <c r="CG53" s="84" t="str">
        <f t="array" aca="1" ref="CG53" ca="1">IF(OR((CG$48&gt;=$AS$11:$AS$74)*(CG$48&lt;=$AT$11:$AT$74)&gt;0),$B53,"")</f>
        <v/>
      </c>
      <c r="CH53" s="84" t="str">
        <f t="array" aca="1" ref="CH53" ca="1">IF(OR((CH$48&gt;=$AS$11:$AS$74)*(CH$48&lt;=$AT$11:$AT$74)&gt;0),$B53,"")</f>
        <v/>
      </c>
      <c r="CI53" s="84" t="str">
        <f t="array" aca="1" ref="CI53" ca="1">IF(OR((CI$48&gt;=$AS$11:$AS$74)*(CI$48&lt;=$AT$11:$AT$74)&gt;0),$B53,"")</f>
        <v/>
      </c>
      <c r="CJ53" s="84" t="str">
        <f t="array" aca="1" ref="CJ53" ca="1">IF(OR((CJ$48&gt;=$AS$11:$AS$74)*(CJ$48&lt;=$AT$11:$AT$74)&gt;0),$B53,"")</f>
        <v/>
      </c>
      <c r="CK53" s="84" t="str">
        <f t="array" aca="1" ref="CK53" ca="1">IF(OR((CK$48&gt;=$AS$11:$AS$74)*(CK$48&lt;=$AT$11:$AT$74)&gt;0),$B53,"")</f>
        <v/>
      </c>
      <c r="CL53" s="84" t="str">
        <f t="array" aca="1" ref="CL53" ca="1">IF(OR((CL$48&gt;=$AS$11:$AS$74)*(CL$48&lt;=$AT$11:$AT$74)&gt;0),$B53,"")</f>
        <v/>
      </c>
      <c r="CM53" s="84" t="str">
        <f t="array" aca="1" ref="CM53" ca="1">IF(OR((CM$48&gt;=$AS$11:$AS$74)*(CM$48&lt;=$AT$11:$AT$74)&gt;0),$B53,"")</f>
        <v/>
      </c>
      <c r="CN53" s="84" t="str">
        <f t="array" aca="1" ref="CN53" ca="1">IF(OR((CN$48&gt;=$AS$11:$AS$74)*(CN$48&lt;=$AT$11:$AT$74)&gt;0),$B53,"")</f>
        <v/>
      </c>
      <c r="CO53" s="84" t="str">
        <f t="array" aca="1" ref="CO53" ca="1">IF(OR((CO$48&gt;=$AS$11:$AS$74)*(CO$48&lt;=$AT$11:$AT$74)&gt;0),$B53,"")</f>
        <v/>
      </c>
      <c r="CP53" s="84" t="str">
        <f t="array" aca="1" ref="CP53" ca="1">IF(OR((CP$48&gt;=$AS$11:$AS$74)*(CP$48&lt;=$AT$11:$AT$74)&gt;0),$B53,"")</f>
        <v/>
      </c>
      <c r="CQ53" s="84" t="str">
        <f t="array" aca="1" ref="CQ53" ca="1">IF(OR((CQ$48&gt;=$AS$11:$AS$74)*(CQ$48&lt;=$AT$11:$AT$74)&gt;0),$B53,"")</f>
        <v/>
      </c>
      <c r="CR53" s="84" t="str">
        <f t="array" aca="1" ref="CR53" ca="1">IF(OR((CR$48&gt;=$AS$11:$AS$74)*(CR$48&lt;=$AT$11:$AT$74)&gt;0),$B53,"")</f>
        <v/>
      </c>
      <c r="CS53" s="84" t="str">
        <f t="array" aca="1" ref="CS53" ca="1">IF(OR((CS$48&gt;=$AS$11:$AS$74)*(CS$48&lt;=$AT$11:$AT$74)&gt;0),$B53,"")</f>
        <v/>
      </c>
      <c r="CT53" s="84" t="str">
        <f t="array" aca="1" ref="CT53" ca="1">IF(OR((CT$48&gt;=$AS$11:$AS$74)*(CT$48&lt;=$AT$11:$AT$74)&gt;0),$B53,"")</f>
        <v/>
      </c>
      <c r="CU53" s="84" t="str">
        <f t="array" aca="1" ref="CU53" ca="1">IF(OR((CU$48&gt;=$AS$11:$AS$74)*(CU$48&lt;=$AT$11:$AT$74)&gt;0),$B53,"")</f>
        <v/>
      </c>
      <c r="CV53" s="84" t="str">
        <f t="array" aca="1" ref="CV53" ca="1">IF(OR((CV$48&gt;=$AS$11:$AS$74)*(CV$48&lt;=$AT$11:$AT$74)&gt;0),$B53,"")</f>
        <v/>
      </c>
      <c r="CW53" s="84" t="str">
        <f t="array" aca="1" ref="CW53" ca="1">IF(OR((CW$48&gt;=$AS$11:$AS$74)*(CW$48&lt;=$AT$11:$AT$74)&gt;0),$B53,"")</f>
        <v/>
      </c>
      <c r="CX53" s="84" t="str">
        <f t="array" aca="1" ref="CX53" ca="1">IF(OR((CX$48&gt;=$AS$11:$AS$74)*(CX$48&lt;=$AT$11:$AT$74)&gt;0),$B53,"")</f>
        <v/>
      </c>
      <c r="CY53" s="84" t="str">
        <f t="array" aca="1" ref="CY53" ca="1">IF(OR((CY$48&gt;=$AS$11:$AS$74)*(CY$48&lt;=$AT$11:$AT$74)&gt;0),$B53,"")</f>
        <v/>
      </c>
      <c r="CZ53" s="84" t="str">
        <f t="array" aca="1" ref="CZ53" ca="1">IF(OR((CZ$48&gt;=$AS$11:$AS$74)*(CZ$48&lt;=$AT$11:$AT$74)&gt;0),$B53,"")</f>
        <v/>
      </c>
      <c r="DA53" s="84" t="str">
        <f t="array" aca="1" ref="DA53" ca="1">IF(OR((DA$48&gt;=$AS$11:$AS$74)*(DA$48&lt;=$AT$11:$AT$74)&gt;0),$B53,"")</f>
        <v/>
      </c>
      <c r="DB53" s="84" t="str">
        <f t="array" aca="1" ref="DB53" ca="1">IF(OR((DB$48&gt;=$AS$11:$AS$74)*(DB$48&lt;=$AT$11:$AT$74)&gt;0),$B53,"")</f>
        <v/>
      </c>
      <c r="DC53" s="84" t="str">
        <f t="array" aca="1" ref="DC53" ca="1">IF(OR((DC$48&gt;=$AS$11:$AS$74)*(DC$48&lt;=$AT$11:$AT$74)&gt;0),$B53,"")</f>
        <v/>
      </c>
    </row>
    <row r="54" spans="1:107">
      <c r="A54" s="75" t="s">
        <v>163</v>
      </c>
      <c r="B54" s="74">
        <v>4</v>
      </c>
      <c r="C54" s="84" t="str">
        <f t="array" aca="1" ref="C54" ca="1">IF(OR((C$48&gt;=$AS$11:$AS$74)*(C$48&lt;=$AT$11:$AT$74)&gt;0),$B54,"")</f>
        <v/>
      </c>
      <c r="D54" s="84" t="str">
        <f t="array" aca="1" ref="D54" ca="1">IF(OR((D$48&gt;=$AS$11:$AS$74)*(D$48&lt;=$AT$11:$AT$74)&gt;0),$B54,"")</f>
        <v/>
      </c>
      <c r="E54" s="84" t="str">
        <f t="array" aca="1" ref="E54" ca="1">IF(OR((E$48&gt;=$AS$11:$AS$74)*(E$48&lt;=$AT$11:$AT$74)&gt;0),$B54,"")</f>
        <v/>
      </c>
      <c r="F54" s="84" t="str">
        <f t="array" aca="1" ref="F54" ca="1">IF(OR((F$48&gt;=$AS$11:$AS$74)*(F$48&lt;=$AT$11:$AT$74)&gt;0),$B54,"")</f>
        <v/>
      </c>
      <c r="G54" s="84" t="str">
        <f t="array" aca="1" ref="G54" ca="1">IF(OR((G$48&gt;=$AS$11:$AS$74)*(G$48&lt;=$AT$11:$AT$74)&gt;0),$B54,"")</f>
        <v/>
      </c>
      <c r="H54" s="84" t="str">
        <f t="array" aca="1" ref="H54" ca="1">IF(OR((H$48&gt;=$AS$11:$AS$74)*(H$48&lt;=$AT$11:$AT$74)&gt;0),$B54,"")</f>
        <v/>
      </c>
      <c r="I54" s="84" t="str">
        <f t="array" aca="1" ref="I54" ca="1">IF(OR((I$48&gt;=$AS$11:$AS$74)*(I$48&lt;=$AT$11:$AT$74)&gt;0),$B54,"")</f>
        <v/>
      </c>
      <c r="J54" s="84" t="str">
        <f t="array" aca="1" ref="J54" ca="1">IF(OR((J$48&gt;=$AS$11:$AS$74)*(J$48&lt;=$AT$11:$AT$74)&gt;0),$B54,"")</f>
        <v/>
      </c>
      <c r="K54" s="84" t="str">
        <f t="array" aca="1" ref="K54" ca="1">IF(OR((K$48&gt;=$AS$11:$AS$74)*(K$48&lt;=$AT$11:$AT$74)&gt;0),$B54,"")</f>
        <v/>
      </c>
      <c r="L54" s="84" t="str">
        <f t="array" aca="1" ref="L54" ca="1">IF(OR((L$48&gt;=$AS$11:$AS$74)*(L$48&lt;=$AT$11:$AT$74)&gt;0),$B54,"")</f>
        <v/>
      </c>
      <c r="M54" s="84" t="str">
        <f t="array" aca="1" ref="M54" ca="1">IF(OR((M$48&gt;=$AS$11:$AS$74)*(M$48&lt;=$AT$11:$AT$74)&gt;0),$B54,"")</f>
        <v/>
      </c>
      <c r="N54" s="84" t="str">
        <f t="array" aca="1" ref="N54" ca="1">IF(OR((N$48&gt;=$AS$11:$AS$74)*(N$48&lt;=$AT$11:$AT$74)&gt;0),$B54,"")</f>
        <v/>
      </c>
      <c r="O54" s="84" t="str">
        <f t="array" aca="1" ref="O54" ca="1">IF(OR((O$48&gt;=$AS$11:$AS$74)*(O$48&lt;=$AT$11:$AT$74)&gt;0),$B54,"")</f>
        <v/>
      </c>
      <c r="P54" s="84" t="str">
        <f t="array" aca="1" ref="P54" ca="1">IF(OR((P$48&gt;=$AS$11:$AS$74)*(P$48&lt;=$AT$11:$AT$74)&gt;0),$B54,"")</f>
        <v/>
      </c>
      <c r="Q54" s="84" t="str">
        <f t="array" aca="1" ref="Q54" ca="1">IF(OR((Q$48&gt;=$AS$11:$AS$74)*(Q$48&lt;=$AT$11:$AT$74)&gt;0),$B54,"")</f>
        <v/>
      </c>
      <c r="R54" s="84" t="str">
        <f t="array" aca="1" ref="R54" ca="1">IF(OR((R$48&gt;=$AS$11:$AS$74)*(R$48&lt;=$AT$11:$AT$74)&gt;0),$B54,"")</f>
        <v/>
      </c>
      <c r="S54" s="84" t="str">
        <f t="array" aca="1" ref="S54" ca="1">IF(OR((S$48&gt;=$AS$11:$AS$74)*(S$48&lt;=$AT$11:$AT$74)&gt;0),$B54,"")</f>
        <v/>
      </c>
      <c r="T54" s="84" t="str">
        <f t="array" aca="1" ref="T54" ca="1">IF(OR((T$48&gt;=$AS$11:$AS$74)*(T$48&lt;=$AT$11:$AT$74)&gt;0),$B54,"")</f>
        <v/>
      </c>
      <c r="U54" s="84" t="str">
        <f t="array" aca="1" ref="U54" ca="1">IF(OR((U$48&gt;=$AS$11:$AS$74)*(U$48&lt;=$AT$11:$AT$74)&gt;0),$B54,"")</f>
        <v/>
      </c>
      <c r="V54" s="84" t="str">
        <f t="array" aca="1" ref="V54" ca="1">IF(OR((V$48&gt;=$AS$11:$AS$74)*(V$48&lt;=$AT$11:$AT$74)&gt;0),$B54,"")</f>
        <v/>
      </c>
      <c r="W54" s="84" t="str">
        <f t="array" aca="1" ref="W54" ca="1">IF(OR((W$48&gt;=$AS$11:$AS$74)*(W$48&lt;=$AT$11:$AT$74)&gt;0),$B54,"")</f>
        <v/>
      </c>
      <c r="X54" s="84" t="str">
        <f t="array" aca="1" ref="X54" ca="1">IF(OR((X$48&gt;=$AS$11:$AS$74)*(X$48&lt;=$AT$11:$AT$74)&gt;0),$B54,"")</f>
        <v/>
      </c>
      <c r="Y54" s="84" t="str">
        <f t="array" aca="1" ref="Y54" ca="1">IF(OR((Y$48&gt;=$AS$11:$AS$74)*(Y$48&lt;=$AT$11:$AT$74)&gt;0),$B54,"")</f>
        <v/>
      </c>
      <c r="Z54" s="84" t="str">
        <f t="array" aca="1" ref="Z54" ca="1">IF(OR((Z$48&gt;=$AS$11:$AS$74)*(Z$48&lt;=$AT$11:$AT$74)&gt;0),$B54,"")</f>
        <v/>
      </c>
      <c r="AA54" s="84" t="str">
        <f t="array" aca="1" ref="AA54" ca="1">IF(OR((AA$48&gt;=$AS$11:$AS$74)*(AA$48&lt;=$AT$11:$AT$74)&gt;0),$B54,"")</f>
        <v/>
      </c>
      <c r="AB54" s="84" t="str">
        <f t="array" aca="1" ref="AB54" ca="1">IF(OR((AB$48&gt;=$AS$11:$AS$74)*(AB$48&lt;=$AT$11:$AT$74)&gt;0),$B54,"")</f>
        <v/>
      </c>
      <c r="AC54" s="84" t="str">
        <f t="array" aca="1" ref="AC54" ca="1">IF(OR((AC$48&gt;=$AS$11:$AS$74)*(AC$48&lt;=$AT$11:$AT$74)&gt;0),$B54,"")</f>
        <v/>
      </c>
      <c r="AD54" s="84" t="str">
        <f t="array" aca="1" ref="AD54" ca="1">IF(OR((AD$48&gt;=$AS$11:$AS$74)*(AD$48&lt;=$AT$11:$AT$74)&gt;0),$B54,"")</f>
        <v/>
      </c>
      <c r="AE54" s="84" t="str">
        <f t="array" aca="1" ref="AE54" ca="1">IF(OR((AE$48&gt;=$AS$11:$AS$74)*(AE$48&lt;=$AT$11:$AT$74)&gt;0),$B54,"")</f>
        <v/>
      </c>
      <c r="AF54" s="84" t="str">
        <f t="array" aca="1" ref="AF54" ca="1">IF(OR((AF$48&gt;=$AS$11:$AS$74)*(AF$48&lt;=$AT$11:$AT$74)&gt;0),$B54,"")</f>
        <v/>
      </c>
      <c r="AG54" s="84" t="str">
        <f t="array" aca="1" ref="AG54" ca="1">IF(OR((AG$48&gt;=$AS$11:$AS$74)*(AG$48&lt;=$AT$11:$AT$74)&gt;0),$B54,"")</f>
        <v/>
      </c>
      <c r="AH54" s="84" t="str">
        <f t="array" aca="1" ref="AH54" ca="1">IF(OR((AH$48&gt;=$AS$11:$AS$74)*(AH$48&lt;=$AT$11:$AT$74)&gt;0),$B54,"")</f>
        <v/>
      </c>
      <c r="AI54" s="84" t="str">
        <f t="array" aca="1" ref="AI54" ca="1">IF(OR((AI$48&gt;=$AS$11:$AS$74)*(AI$48&lt;=$AT$11:$AT$74)&gt;0),$B54,"")</f>
        <v/>
      </c>
      <c r="AJ54" s="85"/>
      <c r="AK54" s="75" t="s">
        <v>163</v>
      </c>
      <c r="AL54" s="74">
        <v>4</v>
      </c>
      <c r="AM54" s="84" t="str">
        <f t="array" aca="1" ref="AM54" ca="1">IF(OR((AM$48&gt;=$AS$11:$AS$74)*(AM$48&lt;=$AT$11:$AT$74)&gt;0),$B54,"")</f>
        <v/>
      </c>
      <c r="AN54" s="84" t="str">
        <f t="array" aca="1" ref="AN54" ca="1">IF(OR((AN$48&gt;=$AS$11:$AS$74)*(AN$48&lt;=$AT$11:$AT$74)&gt;0),$B54,"")</f>
        <v/>
      </c>
      <c r="AO54" s="84" t="str">
        <f t="array" aca="1" ref="AO54" ca="1">IF(OR((AO$48&gt;=$AS$11:$AS$74)*(AO$48&lt;=$AT$11:$AT$74)&gt;0),$B54,"")</f>
        <v/>
      </c>
      <c r="AP54" s="84" t="str">
        <f t="array" aca="1" ref="AP54" ca="1">IF(OR((AP$48&gt;=$AS$11:$AS$74)*(AP$48&lt;=$AT$11:$AT$74)&gt;0),$B54,"")</f>
        <v/>
      </c>
      <c r="AQ54" s="84" t="str">
        <f t="array" aca="1" ref="AQ54" ca="1">IF(OR((AQ$48&gt;=$AS$11:$AS$74)*(AQ$48&lt;=$AT$11:$AT$74)&gt;0),$B54,"")</f>
        <v/>
      </c>
      <c r="AR54" s="84" t="str">
        <f t="array" aca="1" ref="AR54" ca="1">IF(OR((AR$48&gt;=$AS$11:$AS$74)*(AR$48&lt;=$AT$11:$AT$74)&gt;0),$B54,"")</f>
        <v/>
      </c>
      <c r="AS54" s="84" t="str">
        <f t="array" aca="1" ref="AS54" ca="1">IF(OR((AS$48&gt;=$AS$11:$AS$74)*(AS$48&lt;=$AT$11:$AT$74)&gt;0),$B54,"")</f>
        <v/>
      </c>
      <c r="AT54" s="84" t="str">
        <f t="array" aca="1" ref="AT54" ca="1">IF(OR((AT$48&gt;=$AS$11:$AS$74)*(AT$48&lt;=$AT$11:$AT$74)&gt;0),$B54,"")</f>
        <v/>
      </c>
      <c r="AU54" s="84" t="str">
        <f t="array" aca="1" ref="AU54" ca="1">IF(OR((AU$48&gt;=$AS$11:$AS$74)*(AU$48&lt;=$AT$11:$AT$74)&gt;0),$B54,"")</f>
        <v/>
      </c>
      <c r="AV54" s="84" t="str">
        <f t="array" aca="1" ref="AV54" ca="1">IF(OR((AV$48&gt;=$AS$11:$AS$74)*(AV$48&lt;=$AT$11:$AT$74)&gt;0),$B54,"")</f>
        <v/>
      </c>
      <c r="AW54" s="84" t="str">
        <f t="array" aca="1" ref="AW54" ca="1">IF(OR((AW$48&gt;=$AS$11:$AS$74)*(AW$48&lt;=$AT$11:$AT$74)&gt;0),$B54,"")</f>
        <v/>
      </c>
      <c r="AX54" s="84" t="str">
        <f t="array" aca="1" ref="AX54" ca="1">IF(OR((AX$48&gt;=$AS$11:$AS$74)*(AX$48&lt;=$AT$11:$AT$74)&gt;0),$B54,"")</f>
        <v/>
      </c>
      <c r="AY54" s="84" t="str">
        <f t="array" aca="1" ref="AY54" ca="1">IF(OR((AY$48&gt;=$AS$11:$AS$74)*(AY$48&lt;=$AT$11:$AT$74)&gt;0),$B54,"")</f>
        <v/>
      </c>
      <c r="AZ54" s="84" t="str">
        <f t="array" aca="1" ref="AZ54" ca="1">IF(OR((AZ$48&gt;=$AS$11:$AS$74)*(AZ$48&lt;=$AT$11:$AT$74)&gt;0),$B54,"")</f>
        <v/>
      </c>
      <c r="BA54" s="84" t="str">
        <f t="array" aca="1" ref="BA54" ca="1">IF(OR((BA$48&gt;=$AS$11:$AS$74)*(BA$48&lt;=$AT$11:$AT$74)&gt;0),$B54,"")</f>
        <v/>
      </c>
      <c r="BB54" s="84" t="str">
        <f t="array" aca="1" ref="BB54" ca="1">IF(OR((BB$48&gt;=$AS$11:$AS$74)*(BB$48&lt;=$AT$11:$AT$74)&gt;0),$B54,"")</f>
        <v/>
      </c>
      <c r="BC54" s="84" t="str">
        <f t="array" aca="1" ref="BC54" ca="1">IF(OR((BC$48&gt;=$AS$11:$AS$74)*(BC$48&lt;=$AT$11:$AT$74)&gt;0),$B54,"")</f>
        <v/>
      </c>
      <c r="BD54" s="84" t="str">
        <f t="array" aca="1" ref="BD54" ca="1">IF(OR((BD$48&gt;=$AS$11:$AS$74)*(BD$48&lt;=$AT$11:$AT$74)&gt;0),$B54,"")</f>
        <v/>
      </c>
      <c r="BE54" s="84" t="str">
        <f t="array" aca="1" ref="BE54" ca="1">IF(OR((BE$48&gt;=$AS$11:$AS$74)*(BE$48&lt;=$AT$11:$AT$74)&gt;0),$B54,"")</f>
        <v/>
      </c>
      <c r="BF54" s="84" t="str">
        <f t="array" aca="1" ref="BF54" ca="1">IF(OR((BF$48&gt;=$AS$11:$AS$74)*(BF$48&lt;=$AT$11:$AT$74)&gt;0),$B54,"")</f>
        <v/>
      </c>
      <c r="BG54" s="84" t="str">
        <f t="array" aca="1" ref="BG54" ca="1">IF(OR((BG$48&gt;=$AS$11:$AS$74)*(BG$48&lt;=$AT$11:$AT$74)&gt;0),$B54,"")</f>
        <v/>
      </c>
      <c r="BH54" s="84" t="str">
        <f t="array" aca="1" ref="BH54" ca="1">IF(OR((BH$48&gt;=$AS$11:$AS$74)*(BH$48&lt;=$AT$11:$AT$74)&gt;0),$B54,"")</f>
        <v/>
      </c>
      <c r="BI54" s="84" t="str">
        <f t="array" aca="1" ref="BI54" ca="1">IF(OR((BI$48&gt;=$AS$11:$AS$74)*(BI$48&lt;=$AT$11:$AT$74)&gt;0),$B54,"")</f>
        <v/>
      </c>
      <c r="BJ54" s="84" t="str">
        <f t="array" aca="1" ref="BJ54" ca="1">IF(OR((BJ$48&gt;=$AS$11:$AS$74)*(BJ$48&lt;=$AT$11:$AT$74)&gt;0),$B54,"")</f>
        <v/>
      </c>
      <c r="BK54" s="84" t="str">
        <f t="array" aca="1" ref="BK54" ca="1">IF(OR((BK$48&gt;=$AS$11:$AS$74)*(BK$48&lt;=$AT$11:$AT$74)&gt;0),$B54,"")</f>
        <v/>
      </c>
      <c r="BL54" s="84" t="str">
        <f t="array" aca="1" ref="BL54" ca="1">IF(OR((BL$48&gt;=$AS$11:$AS$74)*(BL$48&lt;=$AT$11:$AT$74)&gt;0),$B54,"")</f>
        <v/>
      </c>
      <c r="BM54" s="84" t="str">
        <f t="array" aca="1" ref="BM54" ca="1">IF(OR((BM$48&gt;=$AS$11:$AS$74)*(BM$48&lt;=$AT$11:$AT$74)&gt;0),$B54,"")</f>
        <v/>
      </c>
      <c r="BN54" s="84" t="str">
        <f t="array" aca="1" ref="BN54" ca="1">IF(OR((BN$48&gt;=$AS$11:$AS$74)*(BN$48&lt;=$AT$11:$AT$74)&gt;0),$B54,"")</f>
        <v/>
      </c>
      <c r="BO54" s="84" t="str">
        <f t="array" aca="1" ref="BO54" ca="1">IF(OR((BO$48&gt;=$AS$11:$AS$74)*(BO$48&lt;=$AT$11:$AT$74)&gt;0),$B54,"")</f>
        <v/>
      </c>
      <c r="BP54" s="84" t="str">
        <f t="array" aca="1" ref="BP54" ca="1">IF(OR((BP$48&gt;=$AS$11:$AS$74)*(BP$48&lt;=$AT$11:$AT$74)&gt;0),$B54,"")</f>
        <v/>
      </c>
      <c r="BQ54" s="84" t="str">
        <f t="array" aca="1" ref="BQ54" ca="1">IF(OR((BQ$48&gt;=$AS$11:$AS$74)*(BQ$48&lt;=$AT$11:$AT$74)&gt;0),$B54,"")</f>
        <v/>
      </c>
      <c r="BR54" s="84" t="str">
        <f t="array" aca="1" ref="BR54" ca="1">IF(OR((BR$48&gt;=$AS$11:$AS$74)*(BR$48&lt;=$AT$11:$AT$74)&gt;0),$B54,"")</f>
        <v/>
      </c>
      <c r="BS54" s="84" t="str">
        <f t="array" aca="1" ref="BS54" ca="1">IF(OR((BS$48&gt;=$AS$11:$AS$74)*(BS$48&lt;=$AT$11:$AT$74)&gt;0),$B54,"")</f>
        <v/>
      </c>
      <c r="BU54" s="75" t="s">
        <v>163</v>
      </c>
      <c r="BV54" s="74">
        <v>4</v>
      </c>
      <c r="BW54" s="84" t="str">
        <f t="array" aca="1" ref="BW54" ca="1">IF(OR((BW$48&gt;=$AS$11:$AS$74)*(BW$48&lt;=$AT$11:$AT$74)&gt;0),$B54,"")</f>
        <v/>
      </c>
      <c r="BX54" s="84" t="str">
        <f t="array" aca="1" ref="BX54" ca="1">IF(OR((BX$48&gt;=$AS$11:$AS$74)*(BX$48&lt;=$AT$11:$AT$74)&gt;0),$B54,"")</f>
        <v/>
      </c>
      <c r="BY54" s="84" t="str">
        <f t="array" aca="1" ref="BY54" ca="1">IF(OR((BY$48&gt;=$AS$11:$AS$74)*(BY$48&lt;=$AT$11:$AT$74)&gt;0),$B54,"")</f>
        <v/>
      </c>
      <c r="BZ54" s="84" t="str">
        <f t="array" aca="1" ref="BZ54" ca="1">IF(OR((BZ$48&gt;=$AS$11:$AS$74)*(BZ$48&lt;=$AT$11:$AT$74)&gt;0),$B54,"")</f>
        <v/>
      </c>
      <c r="CA54" s="84" t="str">
        <f t="array" aca="1" ref="CA54" ca="1">IF(OR((CA$48&gt;=$AS$11:$AS$74)*(CA$48&lt;=$AT$11:$AT$74)&gt;0),$B54,"")</f>
        <v/>
      </c>
      <c r="CB54" s="84" t="str">
        <f t="array" aca="1" ref="CB54" ca="1">IF(OR((CB$48&gt;=$AS$11:$AS$74)*(CB$48&lt;=$AT$11:$AT$74)&gt;0),$B54,"")</f>
        <v/>
      </c>
      <c r="CC54" s="84" t="str">
        <f t="array" aca="1" ref="CC54" ca="1">IF(OR((CC$48&gt;=$AS$11:$AS$74)*(CC$48&lt;=$AT$11:$AT$74)&gt;0),$B54,"")</f>
        <v/>
      </c>
      <c r="CD54" s="84" t="str">
        <f t="array" aca="1" ref="CD54" ca="1">IF(OR((CD$48&gt;=$AS$11:$AS$74)*(CD$48&lt;=$AT$11:$AT$74)&gt;0),$B54,"")</f>
        <v/>
      </c>
      <c r="CE54" s="84" t="str">
        <f t="array" aca="1" ref="CE54" ca="1">IF(OR((CE$48&gt;=$AS$11:$AS$74)*(CE$48&lt;=$AT$11:$AT$74)&gt;0),$B54,"")</f>
        <v/>
      </c>
      <c r="CF54" s="84" t="str">
        <f t="array" aca="1" ref="CF54" ca="1">IF(OR((CF$48&gt;=$AS$11:$AS$74)*(CF$48&lt;=$AT$11:$AT$74)&gt;0),$B54,"")</f>
        <v/>
      </c>
      <c r="CG54" s="84" t="str">
        <f t="array" aca="1" ref="CG54" ca="1">IF(OR((CG$48&gt;=$AS$11:$AS$74)*(CG$48&lt;=$AT$11:$AT$74)&gt;0),$B54,"")</f>
        <v/>
      </c>
      <c r="CH54" s="84" t="str">
        <f t="array" aca="1" ref="CH54" ca="1">IF(OR((CH$48&gt;=$AS$11:$AS$74)*(CH$48&lt;=$AT$11:$AT$74)&gt;0),$B54,"")</f>
        <v/>
      </c>
      <c r="CI54" s="84" t="str">
        <f t="array" aca="1" ref="CI54" ca="1">IF(OR((CI$48&gt;=$AS$11:$AS$74)*(CI$48&lt;=$AT$11:$AT$74)&gt;0),$B54,"")</f>
        <v/>
      </c>
      <c r="CJ54" s="84" t="str">
        <f t="array" aca="1" ref="CJ54" ca="1">IF(OR((CJ$48&gt;=$AS$11:$AS$74)*(CJ$48&lt;=$AT$11:$AT$74)&gt;0),$B54,"")</f>
        <v/>
      </c>
      <c r="CK54" s="84" t="str">
        <f t="array" aca="1" ref="CK54" ca="1">IF(OR((CK$48&gt;=$AS$11:$AS$74)*(CK$48&lt;=$AT$11:$AT$74)&gt;0),$B54,"")</f>
        <v/>
      </c>
      <c r="CL54" s="84" t="str">
        <f t="array" aca="1" ref="CL54" ca="1">IF(OR((CL$48&gt;=$AS$11:$AS$74)*(CL$48&lt;=$AT$11:$AT$74)&gt;0),$B54,"")</f>
        <v/>
      </c>
      <c r="CM54" s="84" t="str">
        <f t="array" aca="1" ref="CM54" ca="1">IF(OR((CM$48&gt;=$AS$11:$AS$74)*(CM$48&lt;=$AT$11:$AT$74)&gt;0),$B54,"")</f>
        <v/>
      </c>
      <c r="CN54" s="84" t="str">
        <f t="array" aca="1" ref="CN54" ca="1">IF(OR((CN$48&gt;=$AS$11:$AS$74)*(CN$48&lt;=$AT$11:$AT$74)&gt;0),$B54,"")</f>
        <v/>
      </c>
      <c r="CO54" s="84" t="str">
        <f t="array" aca="1" ref="CO54" ca="1">IF(OR((CO$48&gt;=$AS$11:$AS$74)*(CO$48&lt;=$AT$11:$AT$74)&gt;0),$B54,"")</f>
        <v/>
      </c>
      <c r="CP54" s="84" t="str">
        <f t="array" aca="1" ref="CP54" ca="1">IF(OR((CP$48&gt;=$AS$11:$AS$74)*(CP$48&lt;=$AT$11:$AT$74)&gt;0),$B54,"")</f>
        <v/>
      </c>
      <c r="CQ54" s="84" t="str">
        <f t="array" aca="1" ref="CQ54" ca="1">IF(OR((CQ$48&gt;=$AS$11:$AS$74)*(CQ$48&lt;=$AT$11:$AT$74)&gt;0),$B54,"")</f>
        <v/>
      </c>
      <c r="CR54" s="84" t="str">
        <f t="array" aca="1" ref="CR54" ca="1">IF(OR((CR$48&gt;=$AS$11:$AS$74)*(CR$48&lt;=$AT$11:$AT$74)&gt;0),$B54,"")</f>
        <v/>
      </c>
      <c r="CS54" s="84" t="str">
        <f t="array" aca="1" ref="CS54" ca="1">IF(OR((CS$48&gt;=$AS$11:$AS$74)*(CS$48&lt;=$AT$11:$AT$74)&gt;0),$B54,"")</f>
        <v/>
      </c>
      <c r="CT54" s="84" t="str">
        <f t="array" aca="1" ref="CT54" ca="1">IF(OR((CT$48&gt;=$AS$11:$AS$74)*(CT$48&lt;=$AT$11:$AT$74)&gt;0),$B54,"")</f>
        <v/>
      </c>
      <c r="CU54" s="84" t="str">
        <f t="array" aca="1" ref="CU54" ca="1">IF(OR((CU$48&gt;=$AS$11:$AS$74)*(CU$48&lt;=$AT$11:$AT$74)&gt;0),$B54,"")</f>
        <v/>
      </c>
      <c r="CV54" s="84" t="str">
        <f t="array" aca="1" ref="CV54" ca="1">IF(OR((CV$48&gt;=$AS$11:$AS$74)*(CV$48&lt;=$AT$11:$AT$74)&gt;0),$B54,"")</f>
        <v/>
      </c>
      <c r="CW54" s="84" t="str">
        <f t="array" aca="1" ref="CW54" ca="1">IF(OR((CW$48&gt;=$AS$11:$AS$74)*(CW$48&lt;=$AT$11:$AT$74)&gt;0),$B54,"")</f>
        <v/>
      </c>
      <c r="CX54" s="84" t="str">
        <f t="array" aca="1" ref="CX54" ca="1">IF(OR((CX$48&gt;=$AS$11:$AS$74)*(CX$48&lt;=$AT$11:$AT$74)&gt;0),$B54,"")</f>
        <v/>
      </c>
      <c r="CY54" s="84" t="str">
        <f t="array" aca="1" ref="CY54" ca="1">IF(OR((CY$48&gt;=$AS$11:$AS$74)*(CY$48&lt;=$AT$11:$AT$74)&gt;0),$B54,"")</f>
        <v/>
      </c>
      <c r="CZ54" s="84" t="str">
        <f t="array" aca="1" ref="CZ54" ca="1">IF(OR((CZ$48&gt;=$AS$11:$AS$74)*(CZ$48&lt;=$AT$11:$AT$74)&gt;0),$B54,"")</f>
        <v/>
      </c>
      <c r="DA54" s="84" t="str">
        <f t="array" aca="1" ref="DA54" ca="1">IF(OR((DA$48&gt;=$AS$11:$AS$74)*(DA$48&lt;=$AT$11:$AT$74)&gt;0),$B54,"")</f>
        <v/>
      </c>
      <c r="DB54" s="84" t="str">
        <f t="array" aca="1" ref="DB54" ca="1">IF(OR((DB$48&gt;=$AS$11:$AS$74)*(DB$48&lt;=$AT$11:$AT$74)&gt;0),$B54,"")</f>
        <v/>
      </c>
      <c r="DC54" s="84" t="str">
        <f t="array" aca="1" ref="DC54" ca="1">IF(OR((DC$48&gt;=$AS$11:$AS$74)*(DC$48&lt;=$AT$11:$AT$74)&gt;0),$B54,"")</f>
        <v/>
      </c>
    </row>
    <row r="55" spans="1:107">
      <c r="A55" s="75" t="s">
        <v>164</v>
      </c>
      <c r="B55" s="74">
        <v>8</v>
      </c>
      <c r="C55" s="84" t="str">
        <f t="array" aca="1" ref="C55" ca="1">IF(OR((C$48&gt;=$AS$11:$AS$74)*(C$48&lt;=$AT$11:$AT$74)&gt;0),$B55,"")</f>
        <v/>
      </c>
      <c r="D55" s="84" t="str">
        <f t="array" aca="1" ref="D55" ca="1">IF(OR((D$48&gt;=$AS$11:$AS$74)*(D$48&lt;=$AT$11:$AT$74)&gt;0),$B55,"")</f>
        <v/>
      </c>
      <c r="E55" s="84" t="str">
        <f t="array" aca="1" ref="E55" ca="1">IF(OR((E$48&gt;=$AS$11:$AS$74)*(E$48&lt;=$AT$11:$AT$74)&gt;0),$B55,"")</f>
        <v/>
      </c>
      <c r="F55" s="84" t="str">
        <f t="array" aca="1" ref="F55" ca="1">IF(OR((F$48&gt;=$AS$11:$AS$74)*(F$48&lt;=$AT$11:$AT$74)&gt;0),$B55,"")</f>
        <v/>
      </c>
      <c r="G55" s="84" t="str">
        <f t="array" aca="1" ref="G55" ca="1">IF(OR((G$48&gt;=$AS$11:$AS$74)*(G$48&lt;=$AT$11:$AT$74)&gt;0),$B55,"")</f>
        <v/>
      </c>
      <c r="H55" s="84" t="str">
        <f t="array" aca="1" ref="H55" ca="1">IF(OR((H$48&gt;=$AS$11:$AS$74)*(H$48&lt;=$AT$11:$AT$74)&gt;0),$B55,"")</f>
        <v/>
      </c>
      <c r="I55" s="84" t="str">
        <f t="array" aca="1" ref="I55" ca="1">IF(OR((I$48&gt;=$AS$11:$AS$74)*(I$48&lt;=$AT$11:$AT$74)&gt;0),$B55,"")</f>
        <v/>
      </c>
      <c r="J55" s="84" t="str">
        <f t="array" aca="1" ref="J55" ca="1">IF(OR((J$48&gt;=$AS$11:$AS$74)*(J$48&lt;=$AT$11:$AT$74)&gt;0),$B55,"")</f>
        <v/>
      </c>
      <c r="K55" s="84" t="str">
        <f t="array" aca="1" ref="K55" ca="1">IF(OR((K$48&gt;=$AS$11:$AS$74)*(K$48&lt;=$AT$11:$AT$74)&gt;0),$B55,"")</f>
        <v/>
      </c>
      <c r="L55" s="84" t="str">
        <f t="array" aca="1" ref="L55" ca="1">IF(OR((L$48&gt;=$AS$11:$AS$74)*(L$48&lt;=$AT$11:$AT$74)&gt;0),$B55,"")</f>
        <v/>
      </c>
      <c r="M55" s="84" t="str">
        <f t="array" aca="1" ref="M55" ca="1">IF(OR((M$48&gt;=$AS$11:$AS$74)*(M$48&lt;=$AT$11:$AT$74)&gt;0),$B55,"")</f>
        <v/>
      </c>
      <c r="N55" s="84" t="str">
        <f t="array" aca="1" ref="N55" ca="1">IF(OR((N$48&gt;=$AS$11:$AS$74)*(N$48&lt;=$AT$11:$AT$74)&gt;0),$B55,"")</f>
        <v/>
      </c>
      <c r="O55" s="84" t="str">
        <f t="array" aca="1" ref="O55" ca="1">IF(OR((O$48&gt;=$AS$11:$AS$74)*(O$48&lt;=$AT$11:$AT$74)&gt;0),$B55,"")</f>
        <v/>
      </c>
      <c r="P55" s="84" t="str">
        <f t="array" aca="1" ref="P55" ca="1">IF(OR((P$48&gt;=$AS$11:$AS$74)*(P$48&lt;=$AT$11:$AT$74)&gt;0),$B55,"")</f>
        <v/>
      </c>
      <c r="Q55" s="84" t="str">
        <f t="array" aca="1" ref="Q55" ca="1">IF(OR((Q$48&gt;=$AS$11:$AS$74)*(Q$48&lt;=$AT$11:$AT$74)&gt;0),$B55,"")</f>
        <v/>
      </c>
      <c r="R55" s="84" t="str">
        <f t="array" aca="1" ref="R55" ca="1">IF(OR((R$48&gt;=$AS$11:$AS$74)*(R$48&lt;=$AT$11:$AT$74)&gt;0),$B55,"")</f>
        <v/>
      </c>
      <c r="S55" s="84" t="str">
        <f t="array" aca="1" ref="S55" ca="1">IF(OR((S$48&gt;=$AS$11:$AS$74)*(S$48&lt;=$AT$11:$AT$74)&gt;0),$B55,"")</f>
        <v/>
      </c>
      <c r="T55" s="84" t="str">
        <f t="array" aca="1" ref="T55" ca="1">IF(OR((T$48&gt;=$AS$11:$AS$74)*(T$48&lt;=$AT$11:$AT$74)&gt;0),$B55,"")</f>
        <v/>
      </c>
      <c r="U55" s="84" t="str">
        <f t="array" aca="1" ref="U55" ca="1">IF(OR((U$48&gt;=$AS$11:$AS$74)*(U$48&lt;=$AT$11:$AT$74)&gt;0),$B55,"")</f>
        <v/>
      </c>
      <c r="V55" s="84" t="str">
        <f t="array" aca="1" ref="V55" ca="1">IF(OR((V$48&gt;=$AS$11:$AS$74)*(V$48&lt;=$AT$11:$AT$74)&gt;0),$B55,"")</f>
        <v/>
      </c>
      <c r="W55" s="84" t="str">
        <f t="array" aca="1" ref="W55" ca="1">IF(OR((W$48&gt;=$AS$11:$AS$74)*(W$48&lt;=$AT$11:$AT$74)&gt;0),$B55,"")</f>
        <v/>
      </c>
      <c r="X55" s="84" t="str">
        <f t="array" aca="1" ref="X55" ca="1">IF(OR((X$48&gt;=$AS$11:$AS$74)*(X$48&lt;=$AT$11:$AT$74)&gt;0),$B55,"")</f>
        <v/>
      </c>
      <c r="Y55" s="84" t="str">
        <f t="array" aca="1" ref="Y55" ca="1">IF(OR((Y$48&gt;=$AS$11:$AS$74)*(Y$48&lt;=$AT$11:$AT$74)&gt;0),$B55,"")</f>
        <v/>
      </c>
      <c r="Z55" s="84" t="str">
        <f t="array" aca="1" ref="Z55" ca="1">IF(OR((Z$48&gt;=$AS$11:$AS$74)*(Z$48&lt;=$AT$11:$AT$74)&gt;0),$B55,"")</f>
        <v/>
      </c>
      <c r="AA55" s="84" t="str">
        <f t="array" aca="1" ref="AA55" ca="1">IF(OR((AA$48&gt;=$AS$11:$AS$74)*(AA$48&lt;=$AT$11:$AT$74)&gt;0),$B55,"")</f>
        <v/>
      </c>
      <c r="AB55" s="84" t="str">
        <f t="array" aca="1" ref="AB55" ca="1">IF(OR((AB$48&gt;=$AS$11:$AS$74)*(AB$48&lt;=$AT$11:$AT$74)&gt;0),$B55,"")</f>
        <v/>
      </c>
      <c r="AC55" s="84" t="str">
        <f t="array" aca="1" ref="AC55" ca="1">IF(OR((AC$48&gt;=$AS$11:$AS$74)*(AC$48&lt;=$AT$11:$AT$74)&gt;0),$B55,"")</f>
        <v/>
      </c>
      <c r="AD55" s="84" t="str">
        <f t="array" aca="1" ref="AD55" ca="1">IF(OR((AD$48&gt;=$AS$11:$AS$74)*(AD$48&lt;=$AT$11:$AT$74)&gt;0),$B55,"")</f>
        <v/>
      </c>
      <c r="AE55" s="84" t="str">
        <f t="array" aca="1" ref="AE55" ca="1">IF(OR((AE$48&gt;=$AS$11:$AS$74)*(AE$48&lt;=$AT$11:$AT$74)&gt;0),$B55,"")</f>
        <v/>
      </c>
      <c r="AF55" s="84" t="str">
        <f t="array" aca="1" ref="AF55" ca="1">IF(OR((AF$48&gt;=$AS$11:$AS$74)*(AF$48&lt;=$AT$11:$AT$74)&gt;0),$B55,"")</f>
        <v/>
      </c>
      <c r="AG55" s="84" t="str">
        <f t="array" aca="1" ref="AG55" ca="1">IF(OR((AG$48&gt;=$AS$11:$AS$74)*(AG$48&lt;=$AT$11:$AT$74)&gt;0),$B55,"")</f>
        <v/>
      </c>
      <c r="AH55" s="84" t="str">
        <f t="array" aca="1" ref="AH55" ca="1">IF(OR((AH$48&gt;=$AS$11:$AS$74)*(AH$48&lt;=$AT$11:$AT$74)&gt;0),$B55,"")</f>
        <v/>
      </c>
      <c r="AI55" s="84" t="str">
        <f t="array" aca="1" ref="AI55" ca="1">IF(OR((AI$48&gt;=$AS$11:$AS$74)*(AI$48&lt;=$AT$11:$AT$74)&gt;0),$B55,"")</f>
        <v/>
      </c>
      <c r="AJ55" s="85"/>
      <c r="AK55" s="75" t="s">
        <v>164</v>
      </c>
      <c r="AL55" s="74">
        <v>8</v>
      </c>
      <c r="AM55" s="84" t="str">
        <f t="array" aca="1" ref="AM55" ca="1">IF(OR((AM$48&gt;=$AS$11:$AS$74)*(AM$48&lt;=$AT$11:$AT$74)&gt;0),$B55,"")</f>
        <v/>
      </c>
      <c r="AN55" s="84" t="str">
        <f t="array" aca="1" ref="AN55" ca="1">IF(OR((AN$48&gt;=$AS$11:$AS$74)*(AN$48&lt;=$AT$11:$AT$74)&gt;0),$B55,"")</f>
        <v/>
      </c>
      <c r="AO55" s="84" t="str">
        <f t="array" aca="1" ref="AO55" ca="1">IF(OR((AO$48&gt;=$AS$11:$AS$74)*(AO$48&lt;=$AT$11:$AT$74)&gt;0),$B55,"")</f>
        <v/>
      </c>
      <c r="AP55" s="84" t="str">
        <f t="array" aca="1" ref="AP55" ca="1">IF(OR((AP$48&gt;=$AS$11:$AS$74)*(AP$48&lt;=$AT$11:$AT$74)&gt;0),$B55,"")</f>
        <v/>
      </c>
      <c r="AQ55" s="84" t="str">
        <f t="array" aca="1" ref="AQ55" ca="1">IF(OR((AQ$48&gt;=$AS$11:$AS$74)*(AQ$48&lt;=$AT$11:$AT$74)&gt;0),$B55,"")</f>
        <v/>
      </c>
      <c r="AR55" s="84" t="str">
        <f t="array" aca="1" ref="AR55" ca="1">IF(OR((AR$48&gt;=$AS$11:$AS$74)*(AR$48&lt;=$AT$11:$AT$74)&gt;0),$B55,"")</f>
        <v/>
      </c>
      <c r="AS55" s="84" t="str">
        <f t="array" aca="1" ref="AS55" ca="1">IF(OR((AS$48&gt;=$AS$11:$AS$74)*(AS$48&lt;=$AT$11:$AT$74)&gt;0),$B55,"")</f>
        <v/>
      </c>
      <c r="AT55" s="84" t="str">
        <f t="array" aca="1" ref="AT55" ca="1">IF(OR((AT$48&gt;=$AS$11:$AS$74)*(AT$48&lt;=$AT$11:$AT$74)&gt;0),$B55,"")</f>
        <v/>
      </c>
      <c r="AU55" s="84" t="str">
        <f t="array" aca="1" ref="AU55" ca="1">IF(OR((AU$48&gt;=$AS$11:$AS$74)*(AU$48&lt;=$AT$11:$AT$74)&gt;0),$B55,"")</f>
        <v/>
      </c>
      <c r="AV55" s="84" t="str">
        <f t="array" aca="1" ref="AV55" ca="1">IF(OR((AV$48&gt;=$AS$11:$AS$74)*(AV$48&lt;=$AT$11:$AT$74)&gt;0),$B55,"")</f>
        <v/>
      </c>
      <c r="AW55" s="84" t="str">
        <f t="array" aca="1" ref="AW55" ca="1">IF(OR((AW$48&gt;=$AS$11:$AS$74)*(AW$48&lt;=$AT$11:$AT$74)&gt;0),$B55,"")</f>
        <v/>
      </c>
      <c r="AX55" s="84" t="str">
        <f t="array" aca="1" ref="AX55" ca="1">IF(OR((AX$48&gt;=$AS$11:$AS$74)*(AX$48&lt;=$AT$11:$AT$74)&gt;0),$B55,"")</f>
        <v/>
      </c>
      <c r="AY55" s="84" t="str">
        <f t="array" aca="1" ref="AY55" ca="1">IF(OR((AY$48&gt;=$AS$11:$AS$74)*(AY$48&lt;=$AT$11:$AT$74)&gt;0),$B55,"")</f>
        <v/>
      </c>
      <c r="AZ55" s="84" t="str">
        <f t="array" aca="1" ref="AZ55" ca="1">IF(OR((AZ$48&gt;=$AS$11:$AS$74)*(AZ$48&lt;=$AT$11:$AT$74)&gt;0),$B55,"")</f>
        <v/>
      </c>
      <c r="BA55" s="84" t="str">
        <f t="array" aca="1" ref="BA55" ca="1">IF(OR((BA$48&gt;=$AS$11:$AS$74)*(BA$48&lt;=$AT$11:$AT$74)&gt;0),$B55,"")</f>
        <v/>
      </c>
      <c r="BB55" s="84" t="str">
        <f t="array" aca="1" ref="BB55" ca="1">IF(OR((BB$48&gt;=$AS$11:$AS$74)*(BB$48&lt;=$AT$11:$AT$74)&gt;0),$B55,"")</f>
        <v/>
      </c>
      <c r="BC55" s="84" t="str">
        <f t="array" aca="1" ref="BC55" ca="1">IF(OR((BC$48&gt;=$AS$11:$AS$74)*(BC$48&lt;=$AT$11:$AT$74)&gt;0),$B55,"")</f>
        <v/>
      </c>
      <c r="BD55" s="84" t="str">
        <f t="array" aca="1" ref="BD55" ca="1">IF(OR((BD$48&gt;=$AS$11:$AS$74)*(BD$48&lt;=$AT$11:$AT$74)&gt;0),$B55,"")</f>
        <v/>
      </c>
      <c r="BE55" s="84" t="str">
        <f t="array" aca="1" ref="BE55" ca="1">IF(OR((BE$48&gt;=$AS$11:$AS$74)*(BE$48&lt;=$AT$11:$AT$74)&gt;0),$B55,"")</f>
        <v/>
      </c>
      <c r="BF55" s="84" t="str">
        <f t="array" aca="1" ref="BF55" ca="1">IF(OR((BF$48&gt;=$AS$11:$AS$74)*(BF$48&lt;=$AT$11:$AT$74)&gt;0),$B55,"")</f>
        <v/>
      </c>
      <c r="BG55" s="84" t="str">
        <f t="array" aca="1" ref="BG55" ca="1">IF(OR((BG$48&gt;=$AS$11:$AS$74)*(BG$48&lt;=$AT$11:$AT$74)&gt;0),$B55,"")</f>
        <v/>
      </c>
      <c r="BH55" s="84" t="str">
        <f t="array" aca="1" ref="BH55" ca="1">IF(OR((BH$48&gt;=$AS$11:$AS$74)*(BH$48&lt;=$AT$11:$AT$74)&gt;0),$B55,"")</f>
        <v/>
      </c>
      <c r="BI55" s="84" t="str">
        <f t="array" aca="1" ref="BI55" ca="1">IF(OR((BI$48&gt;=$AS$11:$AS$74)*(BI$48&lt;=$AT$11:$AT$74)&gt;0),$B55,"")</f>
        <v/>
      </c>
      <c r="BJ55" s="84" t="str">
        <f t="array" aca="1" ref="BJ55" ca="1">IF(OR((BJ$48&gt;=$AS$11:$AS$74)*(BJ$48&lt;=$AT$11:$AT$74)&gt;0),$B55,"")</f>
        <v/>
      </c>
      <c r="BK55" s="84" t="str">
        <f t="array" aca="1" ref="BK55" ca="1">IF(OR((BK$48&gt;=$AS$11:$AS$74)*(BK$48&lt;=$AT$11:$AT$74)&gt;0),$B55,"")</f>
        <v/>
      </c>
      <c r="BL55" s="84" t="str">
        <f t="array" aca="1" ref="BL55" ca="1">IF(OR((BL$48&gt;=$AS$11:$AS$74)*(BL$48&lt;=$AT$11:$AT$74)&gt;0),$B55,"")</f>
        <v/>
      </c>
      <c r="BM55" s="84" t="str">
        <f t="array" aca="1" ref="BM55" ca="1">IF(OR((BM$48&gt;=$AS$11:$AS$74)*(BM$48&lt;=$AT$11:$AT$74)&gt;0),$B55,"")</f>
        <v/>
      </c>
      <c r="BN55" s="84" t="str">
        <f t="array" aca="1" ref="BN55" ca="1">IF(OR((BN$48&gt;=$AS$11:$AS$74)*(BN$48&lt;=$AT$11:$AT$74)&gt;0),$B55,"")</f>
        <v/>
      </c>
      <c r="BO55" s="84" t="str">
        <f t="array" aca="1" ref="BO55" ca="1">IF(OR((BO$48&gt;=$AS$11:$AS$74)*(BO$48&lt;=$AT$11:$AT$74)&gt;0),$B55,"")</f>
        <v/>
      </c>
      <c r="BP55" s="84" t="str">
        <f t="array" aca="1" ref="BP55" ca="1">IF(OR((BP$48&gt;=$AS$11:$AS$74)*(BP$48&lt;=$AT$11:$AT$74)&gt;0),$B55,"")</f>
        <v/>
      </c>
      <c r="BQ55" s="84" t="str">
        <f t="array" aca="1" ref="BQ55" ca="1">IF(OR((BQ$48&gt;=$AS$11:$AS$74)*(BQ$48&lt;=$AT$11:$AT$74)&gt;0),$B55,"")</f>
        <v/>
      </c>
      <c r="BR55" s="84" t="str">
        <f t="array" aca="1" ref="BR55" ca="1">IF(OR((BR$48&gt;=$AS$11:$AS$74)*(BR$48&lt;=$AT$11:$AT$74)&gt;0),$B55,"")</f>
        <v/>
      </c>
      <c r="BS55" s="84" t="str">
        <f t="array" aca="1" ref="BS55" ca="1">IF(OR((BS$48&gt;=$AS$11:$AS$74)*(BS$48&lt;=$AT$11:$AT$74)&gt;0),$B55,"")</f>
        <v/>
      </c>
      <c r="BU55" s="75" t="s">
        <v>164</v>
      </c>
      <c r="BV55" s="74">
        <v>8</v>
      </c>
      <c r="BW55" s="84" t="str">
        <f t="array" aca="1" ref="BW55" ca="1">IF(OR((BW$48&gt;=$AS$11:$AS$74)*(BW$48&lt;=$AT$11:$AT$74)&gt;0),$B55,"")</f>
        <v/>
      </c>
      <c r="BX55" s="84" t="str">
        <f t="array" aca="1" ref="BX55" ca="1">IF(OR((BX$48&gt;=$AS$11:$AS$74)*(BX$48&lt;=$AT$11:$AT$74)&gt;0),$B55,"")</f>
        <v/>
      </c>
      <c r="BY55" s="84" t="str">
        <f t="array" aca="1" ref="BY55" ca="1">IF(OR((BY$48&gt;=$AS$11:$AS$74)*(BY$48&lt;=$AT$11:$AT$74)&gt;0),$B55,"")</f>
        <v/>
      </c>
      <c r="BZ55" s="84" t="str">
        <f t="array" aca="1" ref="BZ55" ca="1">IF(OR((BZ$48&gt;=$AS$11:$AS$74)*(BZ$48&lt;=$AT$11:$AT$74)&gt;0),$B55,"")</f>
        <v/>
      </c>
      <c r="CA55" s="84" t="str">
        <f t="array" aca="1" ref="CA55" ca="1">IF(OR((CA$48&gt;=$AS$11:$AS$74)*(CA$48&lt;=$AT$11:$AT$74)&gt;0),$B55,"")</f>
        <v/>
      </c>
      <c r="CB55" s="84" t="str">
        <f t="array" aca="1" ref="CB55" ca="1">IF(OR((CB$48&gt;=$AS$11:$AS$74)*(CB$48&lt;=$AT$11:$AT$74)&gt;0),$B55,"")</f>
        <v/>
      </c>
      <c r="CC55" s="84" t="str">
        <f t="array" aca="1" ref="CC55" ca="1">IF(OR((CC$48&gt;=$AS$11:$AS$74)*(CC$48&lt;=$AT$11:$AT$74)&gt;0),$B55,"")</f>
        <v/>
      </c>
      <c r="CD55" s="84" t="str">
        <f t="array" aca="1" ref="CD55" ca="1">IF(OR((CD$48&gt;=$AS$11:$AS$74)*(CD$48&lt;=$AT$11:$AT$74)&gt;0),$B55,"")</f>
        <v/>
      </c>
      <c r="CE55" s="84" t="str">
        <f t="array" aca="1" ref="CE55" ca="1">IF(OR((CE$48&gt;=$AS$11:$AS$74)*(CE$48&lt;=$AT$11:$AT$74)&gt;0),$B55,"")</f>
        <v/>
      </c>
      <c r="CF55" s="84" t="str">
        <f t="array" aca="1" ref="CF55" ca="1">IF(OR((CF$48&gt;=$AS$11:$AS$74)*(CF$48&lt;=$AT$11:$AT$74)&gt;0),$B55,"")</f>
        <v/>
      </c>
      <c r="CG55" s="84" t="str">
        <f t="array" aca="1" ref="CG55" ca="1">IF(OR((CG$48&gt;=$AS$11:$AS$74)*(CG$48&lt;=$AT$11:$AT$74)&gt;0),$B55,"")</f>
        <v/>
      </c>
      <c r="CH55" s="84" t="str">
        <f t="array" aca="1" ref="CH55" ca="1">IF(OR((CH$48&gt;=$AS$11:$AS$74)*(CH$48&lt;=$AT$11:$AT$74)&gt;0),$B55,"")</f>
        <v/>
      </c>
      <c r="CI55" s="84" t="str">
        <f t="array" aca="1" ref="CI55" ca="1">IF(OR((CI$48&gt;=$AS$11:$AS$74)*(CI$48&lt;=$AT$11:$AT$74)&gt;0),$B55,"")</f>
        <v/>
      </c>
      <c r="CJ55" s="84" t="str">
        <f t="array" aca="1" ref="CJ55" ca="1">IF(OR((CJ$48&gt;=$AS$11:$AS$74)*(CJ$48&lt;=$AT$11:$AT$74)&gt;0),$B55,"")</f>
        <v/>
      </c>
      <c r="CK55" s="84" t="str">
        <f t="array" aca="1" ref="CK55" ca="1">IF(OR((CK$48&gt;=$AS$11:$AS$74)*(CK$48&lt;=$AT$11:$AT$74)&gt;0),$B55,"")</f>
        <v/>
      </c>
      <c r="CL55" s="84" t="str">
        <f t="array" aca="1" ref="CL55" ca="1">IF(OR((CL$48&gt;=$AS$11:$AS$74)*(CL$48&lt;=$AT$11:$AT$74)&gt;0),$B55,"")</f>
        <v/>
      </c>
      <c r="CM55" s="84" t="str">
        <f t="array" aca="1" ref="CM55" ca="1">IF(OR((CM$48&gt;=$AS$11:$AS$74)*(CM$48&lt;=$AT$11:$AT$74)&gt;0),$B55,"")</f>
        <v/>
      </c>
      <c r="CN55" s="84" t="str">
        <f t="array" aca="1" ref="CN55" ca="1">IF(OR((CN$48&gt;=$AS$11:$AS$74)*(CN$48&lt;=$AT$11:$AT$74)&gt;0),$B55,"")</f>
        <v/>
      </c>
      <c r="CO55" s="84" t="str">
        <f t="array" aca="1" ref="CO55" ca="1">IF(OR((CO$48&gt;=$AS$11:$AS$74)*(CO$48&lt;=$AT$11:$AT$74)&gt;0),$B55,"")</f>
        <v/>
      </c>
      <c r="CP55" s="84" t="str">
        <f t="array" aca="1" ref="CP55" ca="1">IF(OR((CP$48&gt;=$AS$11:$AS$74)*(CP$48&lt;=$AT$11:$AT$74)&gt;0),$B55,"")</f>
        <v/>
      </c>
      <c r="CQ55" s="84" t="str">
        <f t="array" aca="1" ref="CQ55" ca="1">IF(OR((CQ$48&gt;=$AS$11:$AS$74)*(CQ$48&lt;=$AT$11:$AT$74)&gt;0),$B55,"")</f>
        <v/>
      </c>
      <c r="CR55" s="84" t="str">
        <f t="array" aca="1" ref="CR55" ca="1">IF(OR((CR$48&gt;=$AS$11:$AS$74)*(CR$48&lt;=$AT$11:$AT$74)&gt;0),$B55,"")</f>
        <v/>
      </c>
      <c r="CS55" s="84" t="str">
        <f t="array" aca="1" ref="CS55" ca="1">IF(OR((CS$48&gt;=$AS$11:$AS$74)*(CS$48&lt;=$AT$11:$AT$74)&gt;0),$B55,"")</f>
        <v/>
      </c>
      <c r="CT55" s="84" t="str">
        <f t="array" aca="1" ref="CT55" ca="1">IF(OR((CT$48&gt;=$AS$11:$AS$74)*(CT$48&lt;=$AT$11:$AT$74)&gt;0),$B55,"")</f>
        <v/>
      </c>
      <c r="CU55" s="84" t="str">
        <f t="array" aca="1" ref="CU55" ca="1">IF(OR((CU$48&gt;=$AS$11:$AS$74)*(CU$48&lt;=$AT$11:$AT$74)&gt;0),$B55,"")</f>
        <v/>
      </c>
      <c r="CV55" s="84" t="str">
        <f t="array" aca="1" ref="CV55" ca="1">IF(OR((CV$48&gt;=$AS$11:$AS$74)*(CV$48&lt;=$AT$11:$AT$74)&gt;0),$B55,"")</f>
        <v/>
      </c>
      <c r="CW55" s="84" t="str">
        <f t="array" aca="1" ref="CW55" ca="1">IF(OR((CW$48&gt;=$AS$11:$AS$74)*(CW$48&lt;=$AT$11:$AT$74)&gt;0),$B55,"")</f>
        <v/>
      </c>
      <c r="CX55" s="84" t="str">
        <f t="array" aca="1" ref="CX55" ca="1">IF(OR((CX$48&gt;=$AS$11:$AS$74)*(CX$48&lt;=$AT$11:$AT$74)&gt;0),$B55,"")</f>
        <v/>
      </c>
      <c r="CY55" s="84" t="str">
        <f t="array" aca="1" ref="CY55" ca="1">IF(OR((CY$48&gt;=$AS$11:$AS$74)*(CY$48&lt;=$AT$11:$AT$74)&gt;0),$B55,"")</f>
        <v/>
      </c>
      <c r="CZ55" s="84" t="str">
        <f t="array" aca="1" ref="CZ55" ca="1">IF(OR((CZ$48&gt;=$AS$11:$AS$74)*(CZ$48&lt;=$AT$11:$AT$74)&gt;0),$B55,"")</f>
        <v/>
      </c>
      <c r="DA55" s="84" t="str">
        <f t="array" aca="1" ref="DA55" ca="1">IF(OR((DA$48&gt;=$AS$11:$AS$74)*(DA$48&lt;=$AT$11:$AT$74)&gt;0),$B55,"")</f>
        <v/>
      </c>
      <c r="DB55" s="84" t="str">
        <f t="array" aca="1" ref="DB55" ca="1">IF(OR((DB$48&gt;=$AS$11:$AS$74)*(DB$48&lt;=$AT$11:$AT$74)&gt;0),$B55,"")</f>
        <v/>
      </c>
      <c r="DC55" s="84" t="str">
        <f t="array" aca="1" ref="DC55" ca="1">IF(OR((DC$48&gt;=$AS$11:$AS$74)*(DC$48&lt;=$AT$11:$AT$74)&gt;0),$B55,"")</f>
        <v/>
      </c>
    </row>
    <row r="56" spans="1:107">
      <c r="A56" s="75" t="s">
        <v>165</v>
      </c>
      <c r="B56" s="74">
        <v>24</v>
      </c>
      <c r="C56" s="84" t="str">
        <f t="array" aca="1" ref="C56" ca="1">IF(OR((C$48&gt;=$AS$11:$AS$74)*(C$48&lt;=$AT$11:$AT$74)&gt;0),$B56,"")</f>
        <v/>
      </c>
      <c r="D56" s="84" t="str">
        <f t="array" aca="1" ref="D56" ca="1">IF(OR((D$48&gt;=$AS$11:$AS$74)*(D$48&lt;=$AT$11:$AT$74)&gt;0),$B56,"")</f>
        <v/>
      </c>
      <c r="E56" s="84" t="str">
        <f t="array" aca="1" ref="E56" ca="1">IF(OR((E$48&gt;=$AS$11:$AS$74)*(E$48&lt;=$AT$11:$AT$74)&gt;0),$B56,"")</f>
        <v/>
      </c>
      <c r="F56" s="84" t="str">
        <f t="array" aca="1" ref="F56" ca="1">IF(OR((F$48&gt;=$AS$11:$AS$74)*(F$48&lt;=$AT$11:$AT$74)&gt;0),$B56,"")</f>
        <v/>
      </c>
      <c r="G56" s="84" t="str">
        <f t="array" aca="1" ref="G56" ca="1">IF(OR((G$48&gt;=$AS$11:$AS$74)*(G$48&lt;=$AT$11:$AT$74)&gt;0),$B56,"")</f>
        <v/>
      </c>
      <c r="H56" s="84" t="str">
        <f t="array" aca="1" ref="H56" ca="1">IF(OR((H$48&gt;=$AS$11:$AS$74)*(H$48&lt;=$AT$11:$AT$74)&gt;0),$B56,"")</f>
        <v/>
      </c>
      <c r="I56" s="84" t="str">
        <f t="array" aca="1" ref="I56" ca="1">IF(OR((I$48&gt;=$AS$11:$AS$74)*(I$48&lt;=$AT$11:$AT$74)&gt;0),$B56,"")</f>
        <v/>
      </c>
      <c r="J56" s="84" t="str">
        <f t="array" aca="1" ref="J56" ca="1">IF(OR((J$48&gt;=$AS$11:$AS$74)*(J$48&lt;=$AT$11:$AT$74)&gt;0),$B56,"")</f>
        <v/>
      </c>
      <c r="K56" s="84" t="str">
        <f t="array" aca="1" ref="K56" ca="1">IF(OR((K$48&gt;=$AS$11:$AS$74)*(K$48&lt;=$AT$11:$AT$74)&gt;0),$B56,"")</f>
        <v/>
      </c>
      <c r="L56" s="84" t="str">
        <f t="array" aca="1" ref="L56" ca="1">IF(OR((L$48&gt;=$AS$11:$AS$74)*(L$48&lt;=$AT$11:$AT$74)&gt;0),$B56,"")</f>
        <v/>
      </c>
      <c r="M56" s="84" t="str">
        <f t="array" aca="1" ref="M56" ca="1">IF(OR((M$48&gt;=$AS$11:$AS$74)*(M$48&lt;=$AT$11:$AT$74)&gt;0),$B56,"")</f>
        <v/>
      </c>
      <c r="N56" s="84" t="str">
        <f t="array" aca="1" ref="N56" ca="1">IF(OR((N$48&gt;=$AS$11:$AS$74)*(N$48&lt;=$AT$11:$AT$74)&gt;0),$B56,"")</f>
        <v/>
      </c>
      <c r="O56" s="84" t="str">
        <f t="array" aca="1" ref="O56" ca="1">IF(OR((O$48&gt;=$AS$11:$AS$74)*(O$48&lt;=$AT$11:$AT$74)&gt;0),$B56,"")</f>
        <v/>
      </c>
      <c r="P56" s="84" t="str">
        <f t="array" aca="1" ref="P56" ca="1">IF(OR((P$48&gt;=$AS$11:$AS$74)*(P$48&lt;=$AT$11:$AT$74)&gt;0),$B56,"")</f>
        <v/>
      </c>
      <c r="Q56" s="84" t="str">
        <f t="array" aca="1" ref="Q56" ca="1">IF(OR((Q$48&gt;=$AS$11:$AS$74)*(Q$48&lt;=$AT$11:$AT$74)&gt;0),$B56,"")</f>
        <v/>
      </c>
      <c r="R56" s="84" t="str">
        <f t="array" aca="1" ref="R56" ca="1">IF(OR((R$48&gt;=$AS$11:$AS$74)*(R$48&lt;=$AT$11:$AT$74)&gt;0),$B56,"")</f>
        <v/>
      </c>
      <c r="S56" s="84" t="str">
        <f t="array" aca="1" ref="S56" ca="1">IF(OR((S$48&gt;=$AS$11:$AS$74)*(S$48&lt;=$AT$11:$AT$74)&gt;0),$B56,"")</f>
        <v/>
      </c>
      <c r="T56" s="84" t="str">
        <f t="array" aca="1" ref="T56" ca="1">IF(OR((T$48&gt;=$AS$11:$AS$74)*(T$48&lt;=$AT$11:$AT$74)&gt;0),$B56,"")</f>
        <v/>
      </c>
      <c r="U56" s="84" t="str">
        <f t="array" aca="1" ref="U56" ca="1">IF(OR((U$48&gt;=$AS$11:$AS$74)*(U$48&lt;=$AT$11:$AT$74)&gt;0),$B56,"")</f>
        <v/>
      </c>
      <c r="V56" s="84" t="str">
        <f t="array" aca="1" ref="V56" ca="1">IF(OR((V$48&gt;=$AS$11:$AS$74)*(V$48&lt;=$AT$11:$AT$74)&gt;0),$B56,"")</f>
        <v/>
      </c>
      <c r="W56" s="84" t="str">
        <f t="array" aca="1" ref="W56" ca="1">IF(OR((W$48&gt;=$AS$11:$AS$74)*(W$48&lt;=$AT$11:$AT$74)&gt;0),$B56,"")</f>
        <v/>
      </c>
      <c r="X56" s="84" t="str">
        <f t="array" aca="1" ref="X56" ca="1">IF(OR((X$48&gt;=$AS$11:$AS$74)*(X$48&lt;=$AT$11:$AT$74)&gt;0),$B56,"")</f>
        <v/>
      </c>
      <c r="Y56" s="84" t="str">
        <f t="array" aca="1" ref="Y56" ca="1">IF(OR((Y$48&gt;=$AS$11:$AS$74)*(Y$48&lt;=$AT$11:$AT$74)&gt;0),$B56,"")</f>
        <v/>
      </c>
      <c r="Z56" s="84" t="str">
        <f t="array" aca="1" ref="Z56" ca="1">IF(OR((Z$48&gt;=$AS$11:$AS$74)*(Z$48&lt;=$AT$11:$AT$74)&gt;0),$B56,"")</f>
        <v/>
      </c>
      <c r="AA56" s="84" t="str">
        <f t="array" aca="1" ref="AA56" ca="1">IF(OR((AA$48&gt;=$AS$11:$AS$74)*(AA$48&lt;=$AT$11:$AT$74)&gt;0),$B56,"")</f>
        <v/>
      </c>
      <c r="AB56" s="84" t="str">
        <f t="array" aca="1" ref="AB56" ca="1">IF(OR((AB$48&gt;=$AS$11:$AS$74)*(AB$48&lt;=$AT$11:$AT$74)&gt;0),$B56,"")</f>
        <v/>
      </c>
      <c r="AC56" s="84" t="str">
        <f t="array" aca="1" ref="AC56" ca="1">IF(OR((AC$48&gt;=$AS$11:$AS$74)*(AC$48&lt;=$AT$11:$AT$74)&gt;0),$B56,"")</f>
        <v/>
      </c>
      <c r="AD56" s="84" t="str">
        <f t="array" aca="1" ref="AD56" ca="1">IF(OR((AD$48&gt;=$AS$11:$AS$74)*(AD$48&lt;=$AT$11:$AT$74)&gt;0),$B56,"")</f>
        <v/>
      </c>
      <c r="AE56" s="84" t="str">
        <f t="array" aca="1" ref="AE56" ca="1">IF(OR((AE$48&gt;=$AS$11:$AS$74)*(AE$48&lt;=$AT$11:$AT$74)&gt;0),$B56,"")</f>
        <v/>
      </c>
      <c r="AF56" s="84" t="str">
        <f t="array" aca="1" ref="AF56" ca="1">IF(OR((AF$48&gt;=$AS$11:$AS$74)*(AF$48&lt;=$AT$11:$AT$74)&gt;0),$B56,"")</f>
        <v/>
      </c>
      <c r="AG56" s="84" t="str">
        <f t="array" aca="1" ref="AG56" ca="1">IF(OR((AG$48&gt;=$AS$11:$AS$74)*(AG$48&lt;=$AT$11:$AT$74)&gt;0),$B56,"")</f>
        <v/>
      </c>
      <c r="AH56" s="84" t="str">
        <f t="array" aca="1" ref="AH56" ca="1">IF(OR((AH$48&gt;=$AS$11:$AS$74)*(AH$48&lt;=$AT$11:$AT$74)&gt;0),$B56,"")</f>
        <v/>
      </c>
      <c r="AI56" s="84" t="str">
        <f t="array" aca="1" ref="AI56" ca="1">IF(OR((AI$48&gt;=$AS$11:$AS$74)*(AI$48&lt;=$AT$11:$AT$74)&gt;0),$B56,"")</f>
        <v/>
      </c>
      <c r="AJ56" s="85"/>
      <c r="AK56" s="75" t="s">
        <v>165</v>
      </c>
      <c r="AL56" s="74">
        <v>24</v>
      </c>
      <c r="AM56" s="84" t="str">
        <f t="array" aca="1" ref="AM56" ca="1">IF(OR((AM$48&gt;=$AS$11:$AS$74)*(AM$48&lt;=$AT$11:$AT$74)&gt;0),$B56,"")</f>
        <v/>
      </c>
      <c r="AN56" s="84" t="str">
        <f t="array" aca="1" ref="AN56" ca="1">IF(OR((AN$48&gt;=$AS$11:$AS$74)*(AN$48&lt;=$AT$11:$AT$74)&gt;0),$B56,"")</f>
        <v/>
      </c>
      <c r="AO56" s="84" t="str">
        <f t="array" aca="1" ref="AO56" ca="1">IF(OR((AO$48&gt;=$AS$11:$AS$74)*(AO$48&lt;=$AT$11:$AT$74)&gt;0),$B56,"")</f>
        <v/>
      </c>
      <c r="AP56" s="84" t="str">
        <f t="array" aca="1" ref="AP56" ca="1">IF(OR((AP$48&gt;=$AS$11:$AS$74)*(AP$48&lt;=$AT$11:$AT$74)&gt;0),$B56,"")</f>
        <v/>
      </c>
      <c r="AQ56" s="84" t="str">
        <f t="array" aca="1" ref="AQ56" ca="1">IF(OR((AQ$48&gt;=$AS$11:$AS$74)*(AQ$48&lt;=$AT$11:$AT$74)&gt;0),$B56,"")</f>
        <v/>
      </c>
      <c r="AR56" s="84" t="str">
        <f t="array" aca="1" ref="AR56" ca="1">IF(OR((AR$48&gt;=$AS$11:$AS$74)*(AR$48&lt;=$AT$11:$AT$74)&gt;0),$B56,"")</f>
        <v/>
      </c>
      <c r="AS56" s="84" t="str">
        <f t="array" aca="1" ref="AS56" ca="1">IF(OR((AS$48&gt;=$AS$11:$AS$74)*(AS$48&lt;=$AT$11:$AT$74)&gt;0),$B56,"")</f>
        <v/>
      </c>
      <c r="AT56" s="84" t="str">
        <f t="array" aca="1" ref="AT56" ca="1">IF(OR((AT$48&gt;=$AS$11:$AS$74)*(AT$48&lt;=$AT$11:$AT$74)&gt;0),$B56,"")</f>
        <v/>
      </c>
      <c r="AU56" s="84" t="str">
        <f t="array" aca="1" ref="AU56" ca="1">IF(OR((AU$48&gt;=$AS$11:$AS$74)*(AU$48&lt;=$AT$11:$AT$74)&gt;0),$B56,"")</f>
        <v/>
      </c>
      <c r="AV56" s="84" t="str">
        <f t="array" aca="1" ref="AV56" ca="1">IF(OR((AV$48&gt;=$AS$11:$AS$74)*(AV$48&lt;=$AT$11:$AT$74)&gt;0),$B56,"")</f>
        <v/>
      </c>
      <c r="AW56" s="84" t="str">
        <f t="array" aca="1" ref="AW56" ca="1">IF(OR((AW$48&gt;=$AS$11:$AS$74)*(AW$48&lt;=$AT$11:$AT$74)&gt;0),$B56,"")</f>
        <v/>
      </c>
      <c r="AX56" s="84" t="str">
        <f t="array" aca="1" ref="AX56" ca="1">IF(OR((AX$48&gt;=$AS$11:$AS$74)*(AX$48&lt;=$AT$11:$AT$74)&gt;0),$B56,"")</f>
        <v/>
      </c>
      <c r="AY56" s="84" t="str">
        <f t="array" aca="1" ref="AY56" ca="1">IF(OR((AY$48&gt;=$AS$11:$AS$74)*(AY$48&lt;=$AT$11:$AT$74)&gt;0),$B56,"")</f>
        <v/>
      </c>
      <c r="AZ56" s="84" t="str">
        <f t="array" aca="1" ref="AZ56" ca="1">IF(OR((AZ$48&gt;=$AS$11:$AS$74)*(AZ$48&lt;=$AT$11:$AT$74)&gt;0),$B56,"")</f>
        <v/>
      </c>
      <c r="BA56" s="84" t="str">
        <f t="array" aca="1" ref="BA56" ca="1">IF(OR((BA$48&gt;=$AS$11:$AS$74)*(BA$48&lt;=$AT$11:$AT$74)&gt;0),$B56,"")</f>
        <v/>
      </c>
      <c r="BB56" s="84" t="str">
        <f t="array" aca="1" ref="BB56" ca="1">IF(OR((BB$48&gt;=$AS$11:$AS$74)*(BB$48&lt;=$AT$11:$AT$74)&gt;0),$B56,"")</f>
        <v/>
      </c>
      <c r="BC56" s="84" t="str">
        <f t="array" aca="1" ref="BC56" ca="1">IF(OR((BC$48&gt;=$AS$11:$AS$74)*(BC$48&lt;=$AT$11:$AT$74)&gt;0),$B56,"")</f>
        <v/>
      </c>
      <c r="BD56" s="84" t="str">
        <f t="array" aca="1" ref="BD56" ca="1">IF(OR((BD$48&gt;=$AS$11:$AS$74)*(BD$48&lt;=$AT$11:$AT$74)&gt;0),$B56,"")</f>
        <v/>
      </c>
      <c r="BE56" s="84" t="str">
        <f t="array" aca="1" ref="BE56" ca="1">IF(OR((BE$48&gt;=$AS$11:$AS$74)*(BE$48&lt;=$AT$11:$AT$74)&gt;0),$B56,"")</f>
        <v/>
      </c>
      <c r="BF56" s="84" t="str">
        <f t="array" aca="1" ref="BF56" ca="1">IF(OR((BF$48&gt;=$AS$11:$AS$74)*(BF$48&lt;=$AT$11:$AT$74)&gt;0),$B56,"")</f>
        <v/>
      </c>
      <c r="BG56" s="84" t="str">
        <f t="array" aca="1" ref="BG56" ca="1">IF(OR((BG$48&gt;=$AS$11:$AS$74)*(BG$48&lt;=$AT$11:$AT$74)&gt;0),$B56,"")</f>
        <v/>
      </c>
      <c r="BH56" s="84" t="str">
        <f t="array" aca="1" ref="BH56" ca="1">IF(OR((BH$48&gt;=$AS$11:$AS$74)*(BH$48&lt;=$AT$11:$AT$74)&gt;0),$B56,"")</f>
        <v/>
      </c>
      <c r="BI56" s="84" t="str">
        <f t="array" aca="1" ref="BI56" ca="1">IF(OR((BI$48&gt;=$AS$11:$AS$74)*(BI$48&lt;=$AT$11:$AT$74)&gt;0),$B56,"")</f>
        <v/>
      </c>
      <c r="BJ56" s="84" t="str">
        <f t="array" aca="1" ref="BJ56" ca="1">IF(OR((BJ$48&gt;=$AS$11:$AS$74)*(BJ$48&lt;=$AT$11:$AT$74)&gt;0),$B56,"")</f>
        <v/>
      </c>
      <c r="BK56" s="84" t="str">
        <f t="array" aca="1" ref="BK56" ca="1">IF(OR((BK$48&gt;=$AS$11:$AS$74)*(BK$48&lt;=$AT$11:$AT$74)&gt;0),$B56,"")</f>
        <v/>
      </c>
      <c r="BL56" s="84" t="str">
        <f t="array" aca="1" ref="BL56" ca="1">IF(OR((BL$48&gt;=$AS$11:$AS$74)*(BL$48&lt;=$AT$11:$AT$74)&gt;0),$B56,"")</f>
        <v/>
      </c>
      <c r="BM56" s="84" t="str">
        <f t="array" aca="1" ref="BM56" ca="1">IF(OR((BM$48&gt;=$AS$11:$AS$74)*(BM$48&lt;=$AT$11:$AT$74)&gt;0),$B56,"")</f>
        <v/>
      </c>
      <c r="BN56" s="84" t="str">
        <f t="array" aca="1" ref="BN56" ca="1">IF(OR((BN$48&gt;=$AS$11:$AS$74)*(BN$48&lt;=$AT$11:$AT$74)&gt;0),$B56,"")</f>
        <v/>
      </c>
      <c r="BO56" s="84" t="str">
        <f t="array" aca="1" ref="BO56" ca="1">IF(OR((BO$48&gt;=$AS$11:$AS$74)*(BO$48&lt;=$AT$11:$AT$74)&gt;0),$B56,"")</f>
        <v/>
      </c>
      <c r="BP56" s="84" t="str">
        <f t="array" aca="1" ref="BP56" ca="1">IF(OR((BP$48&gt;=$AS$11:$AS$74)*(BP$48&lt;=$AT$11:$AT$74)&gt;0),$B56,"")</f>
        <v/>
      </c>
      <c r="BQ56" s="84" t="str">
        <f t="array" aca="1" ref="BQ56" ca="1">IF(OR((BQ$48&gt;=$AS$11:$AS$74)*(BQ$48&lt;=$AT$11:$AT$74)&gt;0),$B56,"")</f>
        <v/>
      </c>
      <c r="BR56" s="84" t="str">
        <f t="array" aca="1" ref="BR56" ca="1">IF(OR((BR$48&gt;=$AS$11:$AS$74)*(BR$48&lt;=$AT$11:$AT$74)&gt;0),$B56,"")</f>
        <v/>
      </c>
      <c r="BS56" s="84" t="str">
        <f t="array" aca="1" ref="BS56" ca="1">IF(OR((BS$48&gt;=$AS$11:$AS$74)*(BS$48&lt;=$AT$11:$AT$74)&gt;0),$B56,"")</f>
        <v/>
      </c>
      <c r="BU56" s="75" t="s">
        <v>165</v>
      </c>
      <c r="BV56" s="74">
        <v>24</v>
      </c>
      <c r="BW56" s="84" t="str">
        <f t="array" aca="1" ref="BW56" ca="1">IF(OR((BW$48&gt;=$AS$11:$AS$74)*(BW$48&lt;=$AT$11:$AT$74)&gt;0),$B56,"")</f>
        <v/>
      </c>
      <c r="BX56" s="84" t="str">
        <f t="array" aca="1" ref="BX56" ca="1">IF(OR((BX$48&gt;=$AS$11:$AS$74)*(BX$48&lt;=$AT$11:$AT$74)&gt;0),$B56,"")</f>
        <v/>
      </c>
      <c r="BY56" s="84" t="str">
        <f t="array" aca="1" ref="BY56" ca="1">IF(OR((BY$48&gt;=$AS$11:$AS$74)*(BY$48&lt;=$AT$11:$AT$74)&gt;0),$B56,"")</f>
        <v/>
      </c>
      <c r="BZ56" s="84" t="str">
        <f t="array" aca="1" ref="BZ56" ca="1">IF(OR((BZ$48&gt;=$AS$11:$AS$74)*(BZ$48&lt;=$AT$11:$AT$74)&gt;0),$B56,"")</f>
        <v/>
      </c>
      <c r="CA56" s="84" t="str">
        <f t="array" aca="1" ref="CA56" ca="1">IF(OR((CA$48&gt;=$AS$11:$AS$74)*(CA$48&lt;=$AT$11:$AT$74)&gt;0),$B56,"")</f>
        <v/>
      </c>
      <c r="CB56" s="84" t="str">
        <f t="array" aca="1" ref="CB56" ca="1">IF(OR((CB$48&gt;=$AS$11:$AS$74)*(CB$48&lt;=$AT$11:$AT$74)&gt;0),$B56,"")</f>
        <v/>
      </c>
      <c r="CC56" s="84" t="str">
        <f t="array" aca="1" ref="CC56" ca="1">IF(OR((CC$48&gt;=$AS$11:$AS$74)*(CC$48&lt;=$AT$11:$AT$74)&gt;0),$B56,"")</f>
        <v/>
      </c>
      <c r="CD56" s="84" t="str">
        <f t="array" aca="1" ref="CD56" ca="1">IF(OR((CD$48&gt;=$AS$11:$AS$74)*(CD$48&lt;=$AT$11:$AT$74)&gt;0),$B56,"")</f>
        <v/>
      </c>
      <c r="CE56" s="84" t="str">
        <f t="array" aca="1" ref="CE56" ca="1">IF(OR((CE$48&gt;=$AS$11:$AS$74)*(CE$48&lt;=$AT$11:$AT$74)&gt;0),$B56,"")</f>
        <v/>
      </c>
      <c r="CF56" s="84" t="str">
        <f t="array" aca="1" ref="CF56" ca="1">IF(OR((CF$48&gt;=$AS$11:$AS$74)*(CF$48&lt;=$AT$11:$AT$74)&gt;0),$B56,"")</f>
        <v/>
      </c>
      <c r="CG56" s="84" t="str">
        <f t="array" aca="1" ref="CG56" ca="1">IF(OR((CG$48&gt;=$AS$11:$AS$74)*(CG$48&lt;=$AT$11:$AT$74)&gt;0),$B56,"")</f>
        <v/>
      </c>
      <c r="CH56" s="84" t="str">
        <f t="array" aca="1" ref="CH56" ca="1">IF(OR((CH$48&gt;=$AS$11:$AS$74)*(CH$48&lt;=$AT$11:$AT$74)&gt;0),$B56,"")</f>
        <v/>
      </c>
      <c r="CI56" s="84" t="str">
        <f t="array" aca="1" ref="CI56" ca="1">IF(OR((CI$48&gt;=$AS$11:$AS$74)*(CI$48&lt;=$AT$11:$AT$74)&gt;0),$B56,"")</f>
        <v/>
      </c>
      <c r="CJ56" s="84" t="str">
        <f t="array" aca="1" ref="CJ56" ca="1">IF(OR((CJ$48&gt;=$AS$11:$AS$74)*(CJ$48&lt;=$AT$11:$AT$74)&gt;0),$B56,"")</f>
        <v/>
      </c>
      <c r="CK56" s="84" t="str">
        <f t="array" aca="1" ref="CK56" ca="1">IF(OR((CK$48&gt;=$AS$11:$AS$74)*(CK$48&lt;=$AT$11:$AT$74)&gt;0),$B56,"")</f>
        <v/>
      </c>
      <c r="CL56" s="84" t="str">
        <f t="array" aca="1" ref="CL56" ca="1">IF(OR((CL$48&gt;=$AS$11:$AS$74)*(CL$48&lt;=$AT$11:$AT$74)&gt;0),$B56,"")</f>
        <v/>
      </c>
      <c r="CM56" s="84" t="str">
        <f t="array" aca="1" ref="CM56" ca="1">IF(OR((CM$48&gt;=$AS$11:$AS$74)*(CM$48&lt;=$AT$11:$AT$74)&gt;0),$B56,"")</f>
        <v/>
      </c>
      <c r="CN56" s="84" t="str">
        <f t="array" aca="1" ref="CN56" ca="1">IF(OR((CN$48&gt;=$AS$11:$AS$74)*(CN$48&lt;=$AT$11:$AT$74)&gt;0),$B56,"")</f>
        <v/>
      </c>
      <c r="CO56" s="84" t="str">
        <f t="array" aca="1" ref="CO56" ca="1">IF(OR((CO$48&gt;=$AS$11:$AS$74)*(CO$48&lt;=$AT$11:$AT$74)&gt;0),$B56,"")</f>
        <v/>
      </c>
      <c r="CP56" s="84" t="str">
        <f t="array" aca="1" ref="CP56" ca="1">IF(OR((CP$48&gt;=$AS$11:$AS$74)*(CP$48&lt;=$AT$11:$AT$74)&gt;0),$B56,"")</f>
        <v/>
      </c>
      <c r="CQ56" s="84" t="str">
        <f t="array" aca="1" ref="CQ56" ca="1">IF(OR((CQ$48&gt;=$AS$11:$AS$74)*(CQ$48&lt;=$AT$11:$AT$74)&gt;0),$B56,"")</f>
        <v/>
      </c>
      <c r="CR56" s="84" t="str">
        <f t="array" aca="1" ref="CR56" ca="1">IF(OR((CR$48&gt;=$AS$11:$AS$74)*(CR$48&lt;=$AT$11:$AT$74)&gt;0),$B56,"")</f>
        <v/>
      </c>
      <c r="CS56" s="84" t="str">
        <f t="array" aca="1" ref="CS56" ca="1">IF(OR((CS$48&gt;=$AS$11:$AS$74)*(CS$48&lt;=$AT$11:$AT$74)&gt;0),$B56,"")</f>
        <v/>
      </c>
      <c r="CT56" s="84" t="str">
        <f t="array" aca="1" ref="CT56" ca="1">IF(OR((CT$48&gt;=$AS$11:$AS$74)*(CT$48&lt;=$AT$11:$AT$74)&gt;0),$B56,"")</f>
        <v/>
      </c>
      <c r="CU56" s="84" t="str">
        <f t="array" aca="1" ref="CU56" ca="1">IF(OR((CU$48&gt;=$AS$11:$AS$74)*(CU$48&lt;=$AT$11:$AT$74)&gt;0),$B56,"")</f>
        <v/>
      </c>
      <c r="CV56" s="84" t="str">
        <f t="array" aca="1" ref="CV56" ca="1">IF(OR((CV$48&gt;=$AS$11:$AS$74)*(CV$48&lt;=$AT$11:$AT$74)&gt;0),$B56,"")</f>
        <v/>
      </c>
      <c r="CW56" s="84" t="str">
        <f t="array" aca="1" ref="CW56" ca="1">IF(OR((CW$48&gt;=$AS$11:$AS$74)*(CW$48&lt;=$AT$11:$AT$74)&gt;0),$B56,"")</f>
        <v/>
      </c>
      <c r="CX56" s="84" t="str">
        <f t="array" aca="1" ref="CX56" ca="1">IF(OR((CX$48&gt;=$AS$11:$AS$74)*(CX$48&lt;=$AT$11:$AT$74)&gt;0),$B56,"")</f>
        <v/>
      </c>
      <c r="CY56" s="84" t="str">
        <f t="array" aca="1" ref="CY56" ca="1">IF(OR((CY$48&gt;=$AS$11:$AS$74)*(CY$48&lt;=$AT$11:$AT$74)&gt;0),$B56,"")</f>
        <v/>
      </c>
      <c r="CZ56" s="84" t="str">
        <f t="array" aca="1" ref="CZ56" ca="1">IF(OR((CZ$48&gt;=$AS$11:$AS$74)*(CZ$48&lt;=$AT$11:$AT$74)&gt;0),$B56,"")</f>
        <v/>
      </c>
      <c r="DA56" s="84" t="str">
        <f t="array" aca="1" ref="DA56" ca="1">IF(OR((DA$48&gt;=$AS$11:$AS$74)*(DA$48&lt;=$AT$11:$AT$74)&gt;0),$B56,"")</f>
        <v/>
      </c>
      <c r="DB56" s="84" t="str">
        <f t="array" aca="1" ref="DB56" ca="1">IF(OR((DB$48&gt;=$AS$11:$AS$74)*(DB$48&lt;=$AT$11:$AT$74)&gt;0),$B56,"")</f>
        <v/>
      </c>
      <c r="DC56" s="84" t="str">
        <f t="array" aca="1" ref="DC56" ca="1">IF(OR((DC$48&gt;=$AS$11:$AS$74)*(DC$48&lt;=$AT$11:$AT$74)&gt;0),$B56,"")</f>
        <v/>
      </c>
    </row>
    <row r="57" spans="1:107">
      <c r="A57" s="75" t="s">
        <v>166</v>
      </c>
      <c r="B57" s="74">
        <v>24</v>
      </c>
      <c r="C57" s="84" t="str">
        <f t="array" aca="1" ref="C57" ca="1">IF(OR((C$48&gt;=$AS$11:$AS$74)*(C$48&lt;=$AT$11:$AT$74)&gt;0),$B57,"")</f>
        <v/>
      </c>
      <c r="D57" s="84" t="str">
        <f t="array" aca="1" ref="D57" ca="1">IF(OR((D$48&gt;=$AS$11:$AS$74)*(D$48&lt;=$AT$11:$AT$74)&gt;0),$B57,"")</f>
        <v/>
      </c>
      <c r="E57" s="84" t="str">
        <f t="array" aca="1" ref="E57" ca="1">IF(OR((E$48&gt;=$AS$11:$AS$74)*(E$48&lt;=$AT$11:$AT$74)&gt;0),$B57,"")</f>
        <v/>
      </c>
      <c r="F57" s="84" t="str">
        <f t="array" aca="1" ref="F57" ca="1">IF(OR((F$48&gt;=$AS$11:$AS$74)*(F$48&lt;=$AT$11:$AT$74)&gt;0),$B57,"")</f>
        <v/>
      </c>
      <c r="G57" s="84" t="str">
        <f t="array" aca="1" ref="G57" ca="1">IF(OR((G$48&gt;=$AS$11:$AS$74)*(G$48&lt;=$AT$11:$AT$74)&gt;0),$B57,"")</f>
        <v/>
      </c>
      <c r="H57" s="84" t="str">
        <f t="array" aca="1" ref="H57" ca="1">IF(OR((H$48&gt;=$AS$11:$AS$74)*(H$48&lt;=$AT$11:$AT$74)&gt;0),$B57,"")</f>
        <v/>
      </c>
      <c r="I57" s="84" t="str">
        <f t="array" aca="1" ref="I57" ca="1">IF(OR((I$48&gt;=$AS$11:$AS$74)*(I$48&lt;=$AT$11:$AT$74)&gt;0),$B57,"")</f>
        <v/>
      </c>
      <c r="J57" s="84" t="str">
        <f t="array" aca="1" ref="J57" ca="1">IF(OR((J$48&gt;=$AS$11:$AS$74)*(J$48&lt;=$AT$11:$AT$74)&gt;0),$B57,"")</f>
        <v/>
      </c>
      <c r="K57" s="84" t="str">
        <f t="array" aca="1" ref="K57" ca="1">IF(OR((K$48&gt;=$AS$11:$AS$74)*(K$48&lt;=$AT$11:$AT$74)&gt;0),$B57,"")</f>
        <v/>
      </c>
      <c r="L57" s="84" t="str">
        <f t="array" aca="1" ref="L57" ca="1">IF(OR((L$48&gt;=$AS$11:$AS$74)*(L$48&lt;=$AT$11:$AT$74)&gt;0),$B57,"")</f>
        <v/>
      </c>
      <c r="M57" s="84" t="str">
        <f t="array" aca="1" ref="M57" ca="1">IF(OR((M$48&gt;=$AS$11:$AS$74)*(M$48&lt;=$AT$11:$AT$74)&gt;0),$B57,"")</f>
        <v/>
      </c>
      <c r="N57" s="84" t="str">
        <f t="array" aca="1" ref="N57" ca="1">IF(OR((N$48&gt;=$AS$11:$AS$74)*(N$48&lt;=$AT$11:$AT$74)&gt;0),$B57,"")</f>
        <v/>
      </c>
      <c r="O57" s="84" t="str">
        <f t="array" aca="1" ref="O57" ca="1">IF(OR((O$48&gt;=$AS$11:$AS$74)*(O$48&lt;=$AT$11:$AT$74)&gt;0),$B57,"")</f>
        <v/>
      </c>
      <c r="P57" s="84" t="str">
        <f t="array" aca="1" ref="P57" ca="1">IF(OR((P$48&gt;=$AS$11:$AS$74)*(P$48&lt;=$AT$11:$AT$74)&gt;0),$B57,"")</f>
        <v/>
      </c>
      <c r="Q57" s="84" t="str">
        <f t="array" aca="1" ref="Q57" ca="1">IF(OR((Q$48&gt;=$AS$11:$AS$74)*(Q$48&lt;=$AT$11:$AT$74)&gt;0),$B57,"")</f>
        <v/>
      </c>
      <c r="R57" s="84" t="str">
        <f t="array" aca="1" ref="R57" ca="1">IF(OR((R$48&gt;=$AS$11:$AS$74)*(R$48&lt;=$AT$11:$AT$74)&gt;0),$B57,"")</f>
        <v/>
      </c>
      <c r="S57" s="84" t="str">
        <f t="array" aca="1" ref="S57" ca="1">IF(OR((S$48&gt;=$AS$11:$AS$74)*(S$48&lt;=$AT$11:$AT$74)&gt;0),$B57,"")</f>
        <v/>
      </c>
      <c r="T57" s="84" t="str">
        <f t="array" aca="1" ref="T57" ca="1">IF(OR((T$48&gt;=$AS$11:$AS$74)*(T$48&lt;=$AT$11:$AT$74)&gt;0),$B57,"")</f>
        <v/>
      </c>
      <c r="U57" s="84" t="str">
        <f t="array" aca="1" ref="U57" ca="1">IF(OR((U$48&gt;=$AS$11:$AS$74)*(U$48&lt;=$AT$11:$AT$74)&gt;0),$B57,"")</f>
        <v/>
      </c>
      <c r="V57" s="84" t="str">
        <f t="array" aca="1" ref="V57" ca="1">IF(OR((V$48&gt;=$AS$11:$AS$74)*(V$48&lt;=$AT$11:$AT$74)&gt;0),$B57,"")</f>
        <v/>
      </c>
      <c r="W57" s="84" t="str">
        <f t="array" aca="1" ref="W57" ca="1">IF(OR((W$48&gt;=$AS$11:$AS$74)*(W$48&lt;=$AT$11:$AT$74)&gt;0),$B57,"")</f>
        <v/>
      </c>
      <c r="X57" s="84" t="str">
        <f t="array" aca="1" ref="X57" ca="1">IF(OR((X$48&gt;=$AS$11:$AS$74)*(X$48&lt;=$AT$11:$AT$74)&gt;0),$B57,"")</f>
        <v/>
      </c>
      <c r="Y57" s="84" t="str">
        <f t="array" aca="1" ref="Y57" ca="1">IF(OR((Y$48&gt;=$AS$11:$AS$74)*(Y$48&lt;=$AT$11:$AT$74)&gt;0),$B57,"")</f>
        <v/>
      </c>
      <c r="Z57" s="84" t="str">
        <f t="array" aca="1" ref="Z57" ca="1">IF(OR((Z$48&gt;=$AS$11:$AS$74)*(Z$48&lt;=$AT$11:$AT$74)&gt;0),$B57,"")</f>
        <v/>
      </c>
      <c r="AA57" s="84" t="str">
        <f t="array" aca="1" ref="AA57" ca="1">IF(OR((AA$48&gt;=$AS$11:$AS$74)*(AA$48&lt;=$AT$11:$AT$74)&gt;0),$B57,"")</f>
        <v/>
      </c>
      <c r="AB57" s="84" t="str">
        <f t="array" aca="1" ref="AB57" ca="1">IF(OR((AB$48&gt;=$AS$11:$AS$74)*(AB$48&lt;=$AT$11:$AT$74)&gt;0),$B57,"")</f>
        <v/>
      </c>
      <c r="AC57" s="84" t="str">
        <f t="array" aca="1" ref="AC57" ca="1">IF(OR((AC$48&gt;=$AS$11:$AS$74)*(AC$48&lt;=$AT$11:$AT$74)&gt;0),$B57,"")</f>
        <v/>
      </c>
      <c r="AD57" s="84" t="str">
        <f t="array" aca="1" ref="AD57" ca="1">IF(OR((AD$48&gt;=$AS$11:$AS$74)*(AD$48&lt;=$AT$11:$AT$74)&gt;0),$B57,"")</f>
        <v/>
      </c>
      <c r="AE57" s="84" t="str">
        <f t="array" aca="1" ref="AE57" ca="1">IF(OR((AE$48&gt;=$AS$11:$AS$74)*(AE$48&lt;=$AT$11:$AT$74)&gt;0),$B57,"")</f>
        <v/>
      </c>
      <c r="AF57" s="84" t="str">
        <f t="array" aca="1" ref="AF57" ca="1">IF(OR((AF$48&gt;=$AS$11:$AS$74)*(AF$48&lt;=$AT$11:$AT$74)&gt;0),$B57,"")</f>
        <v/>
      </c>
      <c r="AG57" s="84" t="str">
        <f t="array" aca="1" ref="AG57" ca="1">IF(OR((AG$48&gt;=$AS$11:$AS$74)*(AG$48&lt;=$AT$11:$AT$74)&gt;0),$B57,"")</f>
        <v/>
      </c>
      <c r="AH57" s="84" t="str">
        <f t="array" aca="1" ref="AH57" ca="1">IF(OR((AH$48&gt;=$AS$11:$AS$74)*(AH$48&lt;=$AT$11:$AT$74)&gt;0),$B57,"")</f>
        <v/>
      </c>
      <c r="AI57" s="84" t="str">
        <f t="array" aca="1" ref="AI57" ca="1">IF(OR((AI$48&gt;=$AS$11:$AS$74)*(AI$48&lt;=$AT$11:$AT$74)&gt;0),$B57,"")</f>
        <v/>
      </c>
      <c r="AJ57" s="85"/>
      <c r="AK57" s="75" t="s">
        <v>166</v>
      </c>
      <c r="AL57" s="74">
        <v>24</v>
      </c>
      <c r="AM57" s="84" t="str">
        <f t="array" aca="1" ref="AM57" ca="1">IF(OR((AM$48&gt;=$AS$11:$AS$74)*(AM$48&lt;=$AT$11:$AT$74)&gt;0),$B57,"")</f>
        <v/>
      </c>
      <c r="AN57" s="84" t="str">
        <f t="array" aca="1" ref="AN57" ca="1">IF(OR((AN$48&gt;=$AS$11:$AS$74)*(AN$48&lt;=$AT$11:$AT$74)&gt;0),$B57,"")</f>
        <v/>
      </c>
      <c r="AO57" s="84" t="str">
        <f t="array" aca="1" ref="AO57" ca="1">IF(OR((AO$48&gt;=$AS$11:$AS$74)*(AO$48&lt;=$AT$11:$AT$74)&gt;0),$B57,"")</f>
        <v/>
      </c>
      <c r="AP57" s="84" t="str">
        <f t="array" aca="1" ref="AP57" ca="1">IF(OR((AP$48&gt;=$AS$11:$AS$74)*(AP$48&lt;=$AT$11:$AT$74)&gt;0),$B57,"")</f>
        <v/>
      </c>
      <c r="AQ57" s="84" t="str">
        <f t="array" aca="1" ref="AQ57" ca="1">IF(OR((AQ$48&gt;=$AS$11:$AS$74)*(AQ$48&lt;=$AT$11:$AT$74)&gt;0),$B57,"")</f>
        <v/>
      </c>
      <c r="AR57" s="84" t="str">
        <f t="array" aca="1" ref="AR57" ca="1">IF(OR((AR$48&gt;=$AS$11:$AS$74)*(AR$48&lt;=$AT$11:$AT$74)&gt;0),$B57,"")</f>
        <v/>
      </c>
      <c r="AS57" s="84" t="str">
        <f t="array" aca="1" ref="AS57" ca="1">IF(OR((AS$48&gt;=$AS$11:$AS$74)*(AS$48&lt;=$AT$11:$AT$74)&gt;0),$B57,"")</f>
        <v/>
      </c>
      <c r="AT57" s="84" t="str">
        <f t="array" aca="1" ref="AT57" ca="1">IF(OR((AT$48&gt;=$AS$11:$AS$74)*(AT$48&lt;=$AT$11:$AT$74)&gt;0),$B57,"")</f>
        <v/>
      </c>
      <c r="AU57" s="84" t="str">
        <f t="array" aca="1" ref="AU57" ca="1">IF(OR((AU$48&gt;=$AS$11:$AS$74)*(AU$48&lt;=$AT$11:$AT$74)&gt;0),$B57,"")</f>
        <v/>
      </c>
      <c r="AV57" s="84" t="str">
        <f t="array" aca="1" ref="AV57" ca="1">IF(OR((AV$48&gt;=$AS$11:$AS$74)*(AV$48&lt;=$AT$11:$AT$74)&gt;0),$B57,"")</f>
        <v/>
      </c>
      <c r="AW57" s="84" t="str">
        <f t="array" aca="1" ref="AW57" ca="1">IF(OR((AW$48&gt;=$AS$11:$AS$74)*(AW$48&lt;=$AT$11:$AT$74)&gt;0),$B57,"")</f>
        <v/>
      </c>
      <c r="AX57" s="84" t="str">
        <f t="array" aca="1" ref="AX57" ca="1">IF(OR((AX$48&gt;=$AS$11:$AS$74)*(AX$48&lt;=$AT$11:$AT$74)&gt;0),$B57,"")</f>
        <v/>
      </c>
      <c r="AY57" s="84" t="str">
        <f t="array" aca="1" ref="AY57" ca="1">IF(OR((AY$48&gt;=$AS$11:$AS$74)*(AY$48&lt;=$AT$11:$AT$74)&gt;0),$B57,"")</f>
        <v/>
      </c>
      <c r="AZ57" s="84" t="str">
        <f t="array" aca="1" ref="AZ57" ca="1">IF(OR((AZ$48&gt;=$AS$11:$AS$74)*(AZ$48&lt;=$AT$11:$AT$74)&gt;0),$B57,"")</f>
        <v/>
      </c>
      <c r="BA57" s="84" t="str">
        <f t="array" aca="1" ref="BA57" ca="1">IF(OR((BA$48&gt;=$AS$11:$AS$74)*(BA$48&lt;=$AT$11:$AT$74)&gt;0),$B57,"")</f>
        <v/>
      </c>
      <c r="BB57" s="84" t="str">
        <f t="array" aca="1" ref="BB57" ca="1">IF(OR((BB$48&gt;=$AS$11:$AS$74)*(BB$48&lt;=$AT$11:$AT$74)&gt;0),$B57,"")</f>
        <v/>
      </c>
      <c r="BC57" s="84" t="str">
        <f t="array" aca="1" ref="BC57" ca="1">IF(OR((BC$48&gt;=$AS$11:$AS$74)*(BC$48&lt;=$AT$11:$AT$74)&gt;0),$B57,"")</f>
        <v/>
      </c>
      <c r="BD57" s="84" t="str">
        <f t="array" aca="1" ref="BD57" ca="1">IF(OR((BD$48&gt;=$AS$11:$AS$74)*(BD$48&lt;=$AT$11:$AT$74)&gt;0),$B57,"")</f>
        <v/>
      </c>
      <c r="BE57" s="84" t="str">
        <f t="array" aca="1" ref="BE57" ca="1">IF(OR((BE$48&gt;=$AS$11:$AS$74)*(BE$48&lt;=$AT$11:$AT$74)&gt;0),$B57,"")</f>
        <v/>
      </c>
      <c r="BF57" s="84" t="str">
        <f t="array" aca="1" ref="BF57" ca="1">IF(OR((BF$48&gt;=$AS$11:$AS$74)*(BF$48&lt;=$AT$11:$AT$74)&gt;0),$B57,"")</f>
        <v/>
      </c>
      <c r="BG57" s="84" t="str">
        <f t="array" aca="1" ref="BG57" ca="1">IF(OR((BG$48&gt;=$AS$11:$AS$74)*(BG$48&lt;=$AT$11:$AT$74)&gt;0),$B57,"")</f>
        <v/>
      </c>
      <c r="BH57" s="84" t="str">
        <f t="array" aca="1" ref="BH57" ca="1">IF(OR((BH$48&gt;=$AS$11:$AS$74)*(BH$48&lt;=$AT$11:$AT$74)&gt;0),$B57,"")</f>
        <v/>
      </c>
      <c r="BI57" s="84" t="str">
        <f t="array" aca="1" ref="BI57" ca="1">IF(OR((BI$48&gt;=$AS$11:$AS$74)*(BI$48&lt;=$AT$11:$AT$74)&gt;0),$B57,"")</f>
        <v/>
      </c>
      <c r="BJ57" s="84" t="str">
        <f t="array" aca="1" ref="BJ57" ca="1">IF(OR((BJ$48&gt;=$AS$11:$AS$74)*(BJ$48&lt;=$AT$11:$AT$74)&gt;0),$B57,"")</f>
        <v/>
      </c>
      <c r="BK57" s="84" t="str">
        <f t="array" aca="1" ref="BK57" ca="1">IF(OR((BK$48&gt;=$AS$11:$AS$74)*(BK$48&lt;=$AT$11:$AT$74)&gt;0),$B57,"")</f>
        <v/>
      </c>
      <c r="BL57" s="84" t="str">
        <f t="array" aca="1" ref="BL57" ca="1">IF(OR((BL$48&gt;=$AS$11:$AS$74)*(BL$48&lt;=$AT$11:$AT$74)&gt;0),$B57,"")</f>
        <v/>
      </c>
      <c r="BM57" s="84" t="str">
        <f t="array" aca="1" ref="BM57" ca="1">IF(OR((BM$48&gt;=$AS$11:$AS$74)*(BM$48&lt;=$AT$11:$AT$74)&gt;0),$B57,"")</f>
        <v/>
      </c>
      <c r="BN57" s="84" t="str">
        <f t="array" aca="1" ref="BN57" ca="1">IF(OR((BN$48&gt;=$AS$11:$AS$74)*(BN$48&lt;=$AT$11:$AT$74)&gt;0),$B57,"")</f>
        <v/>
      </c>
      <c r="BO57" s="84" t="str">
        <f t="array" aca="1" ref="BO57" ca="1">IF(OR((BO$48&gt;=$AS$11:$AS$74)*(BO$48&lt;=$AT$11:$AT$74)&gt;0),$B57,"")</f>
        <v/>
      </c>
      <c r="BP57" s="84" t="str">
        <f t="array" aca="1" ref="BP57" ca="1">IF(OR((BP$48&gt;=$AS$11:$AS$74)*(BP$48&lt;=$AT$11:$AT$74)&gt;0),$B57,"")</f>
        <v/>
      </c>
      <c r="BQ57" s="84" t="str">
        <f t="array" aca="1" ref="BQ57" ca="1">IF(OR((BQ$48&gt;=$AS$11:$AS$74)*(BQ$48&lt;=$AT$11:$AT$74)&gt;0),$B57,"")</f>
        <v/>
      </c>
      <c r="BR57" s="84" t="str">
        <f t="array" aca="1" ref="BR57" ca="1">IF(OR((BR$48&gt;=$AS$11:$AS$74)*(BR$48&lt;=$AT$11:$AT$74)&gt;0),$B57,"")</f>
        <v/>
      </c>
      <c r="BS57" s="84" t="str">
        <f t="array" aca="1" ref="BS57" ca="1">IF(OR((BS$48&gt;=$AS$11:$AS$74)*(BS$48&lt;=$AT$11:$AT$74)&gt;0),$B57,"")</f>
        <v/>
      </c>
      <c r="BU57" s="75" t="s">
        <v>166</v>
      </c>
      <c r="BV57" s="74">
        <v>24</v>
      </c>
      <c r="BW57" s="84" t="str">
        <f t="array" aca="1" ref="BW57" ca="1">IF(OR((BW$48&gt;=$AS$11:$AS$74)*(BW$48&lt;=$AT$11:$AT$74)&gt;0),$B57,"")</f>
        <v/>
      </c>
      <c r="BX57" s="84" t="str">
        <f t="array" aca="1" ref="BX57" ca="1">IF(OR((BX$48&gt;=$AS$11:$AS$74)*(BX$48&lt;=$AT$11:$AT$74)&gt;0),$B57,"")</f>
        <v/>
      </c>
      <c r="BY57" s="84" t="str">
        <f t="array" aca="1" ref="BY57" ca="1">IF(OR((BY$48&gt;=$AS$11:$AS$74)*(BY$48&lt;=$AT$11:$AT$74)&gt;0),$B57,"")</f>
        <v/>
      </c>
      <c r="BZ57" s="84" t="str">
        <f t="array" aca="1" ref="BZ57" ca="1">IF(OR((BZ$48&gt;=$AS$11:$AS$74)*(BZ$48&lt;=$AT$11:$AT$74)&gt;0),$B57,"")</f>
        <v/>
      </c>
      <c r="CA57" s="84" t="str">
        <f t="array" aca="1" ref="CA57" ca="1">IF(OR((CA$48&gt;=$AS$11:$AS$74)*(CA$48&lt;=$AT$11:$AT$74)&gt;0),$B57,"")</f>
        <v/>
      </c>
      <c r="CB57" s="84" t="str">
        <f t="array" aca="1" ref="CB57" ca="1">IF(OR((CB$48&gt;=$AS$11:$AS$74)*(CB$48&lt;=$AT$11:$AT$74)&gt;0),$B57,"")</f>
        <v/>
      </c>
      <c r="CC57" s="84" t="str">
        <f t="array" aca="1" ref="CC57" ca="1">IF(OR((CC$48&gt;=$AS$11:$AS$74)*(CC$48&lt;=$AT$11:$AT$74)&gt;0),$B57,"")</f>
        <v/>
      </c>
      <c r="CD57" s="84" t="str">
        <f t="array" aca="1" ref="CD57" ca="1">IF(OR((CD$48&gt;=$AS$11:$AS$74)*(CD$48&lt;=$AT$11:$AT$74)&gt;0),$B57,"")</f>
        <v/>
      </c>
      <c r="CE57" s="84" t="str">
        <f t="array" aca="1" ref="CE57" ca="1">IF(OR((CE$48&gt;=$AS$11:$AS$74)*(CE$48&lt;=$AT$11:$AT$74)&gt;0),$B57,"")</f>
        <v/>
      </c>
      <c r="CF57" s="84" t="str">
        <f t="array" aca="1" ref="CF57" ca="1">IF(OR((CF$48&gt;=$AS$11:$AS$74)*(CF$48&lt;=$AT$11:$AT$74)&gt;0),$B57,"")</f>
        <v/>
      </c>
      <c r="CG57" s="84" t="str">
        <f t="array" aca="1" ref="CG57" ca="1">IF(OR((CG$48&gt;=$AS$11:$AS$74)*(CG$48&lt;=$AT$11:$AT$74)&gt;0),$B57,"")</f>
        <v/>
      </c>
      <c r="CH57" s="84" t="str">
        <f t="array" aca="1" ref="CH57" ca="1">IF(OR((CH$48&gt;=$AS$11:$AS$74)*(CH$48&lt;=$AT$11:$AT$74)&gt;0),$B57,"")</f>
        <v/>
      </c>
      <c r="CI57" s="84" t="str">
        <f t="array" aca="1" ref="CI57" ca="1">IF(OR((CI$48&gt;=$AS$11:$AS$74)*(CI$48&lt;=$AT$11:$AT$74)&gt;0),$B57,"")</f>
        <v/>
      </c>
      <c r="CJ57" s="84" t="str">
        <f t="array" aca="1" ref="CJ57" ca="1">IF(OR((CJ$48&gt;=$AS$11:$AS$74)*(CJ$48&lt;=$AT$11:$AT$74)&gt;0),$B57,"")</f>
        <v/>
      </c>
      <c r="CK57" s="84" t="str">
        <f t="array" aca="1" ref="CK57" ca="1">IF(OR((CK$48&gt;=$AS$11:$AS$74)*(CK$48&lt;=$AT$11:$AT$74)&gt;0),$B57,"")</f>
        <v/>
      </c>
      <c r="CL57" s="84" t="str">
        <f t="array" aca="1" ref="CL57" ca="1">IF(OR((CL$48&gt;=$AS$11:$AS$74)*(CL$48&lt;=$AT$11:$AT$74)&gt;0),$B57,"")</f>
        <v/>
      </c>
      <c r="CM57" s="84" t="str">
        <f t="array" aca="1" ref="CM57" ca="1">IF(OR((CM$48&gt;=$AS$11:$AS$74)*(CM$48&lt;=$AT$11:$AT$74)&gt;0),$B57,"")</f>
        <v/>
      </c>
      <c r="CN57" s="84" t="str">
        <f t="array" aca="1" ref="CN57" ca="1">IF(OR((CN$48&gt;=$AS$11:$AS$74)*(CN$48&lt;=$AT$11:$AT$74)&gt;0),$B57,"")</f>
        <v/>
      </c>
      <c r="CO57" s="84" t="str">
        <f t="array" aca="1" ref="CO57" ca="1">IF(OR((CO$48&gt;=$AS$11:$AS$74)*(CO$48&lt;=$AT$11:$AT$74)&gt;0),$B57,"")</f>
        <v/>
      </c>
      <c r="CP57" s="84" t="str">
        <f t="array" aca="1" ref="CP57" ca="1">IF(OR((CP$48&gt;=$AS$11:$AS$74)*(CP$48&lt;=$AT$11:$AT$74)&gt;0),$B57,"")</f>
        <v/>
      </c>
      <c r="CQ57" s="84" t="str">
        <f t="array" aca="1" ref="CQ57" ca="1">IF(OR((CQ$48&gt;=$AS$11:$AS$74)*(CQ$48&lt;=$AT$11:$AT$74)&gt;0),$B57,"")</f>
        <v/>
      </c>
      <c r="CR57" s="84" t="str">
        <f t="array" aca="1" ref="CR57" ca="1">IF(OR((CR$48&gt;=$AS$11:$AS$74)*(CR$48&lt;=$AT$11:$AT$74)&gt;0),$B57,"")</f>
        <v/>
      </c>
      <c r="CS57" s="84" t="str">
        <f t="array" aca="1" ref="CS57" ca="1">IF(OR((CS$48&gt;=$AS$11:$AS$74)*(CS$48&lt;=$AT$11:$AT$74)&gt;0),$B57,"")</f>
        <v/>
      </c>
      <c r="CT57" s="84" t="str">
        <f t="array" aca="1" ref="CT57" ca="1">IF(OR((CT$48&gt;=$AS$11:$AS$74)*(CT$48&lt;=$AT$11:$AT$74)&gt;0),$B57,"")</f>
        <v/>
      </c>
      <c r="CU57" s="84" t="str">
        <f t="array" aca="1" ref="CU57" ca="1">IF(OR((CU$48&gt;=$AS$11:$AS$74)*(CU$48&lt;=$AT$11:$AT$74)&gt;0),$B57,"")</f>
        <v/>
      </c>
      <c r="CV57" s="84" t="str">
        <f t="array" aca="1" ref="CV57" ca="1">IF(OR((CV$48&gt;=$AS$11:$AS$74)*(CV$48&lt;=$AT$11:$AT$74)&gt;0),$B57,"")</f>
        <v/>
      </c>
      <c r="CW57" s="84" t="str">
        <f t="array" aca="1" ref="CW57" ca="1">IF(OR((CW$48&gt;=$AS$11:$AS$74)*(CW$48&lt;=$AT$11:$AT$74)&gt;0),$B57,"")</f>
        <v/>
      </c>
      <c r="CX57" s="84" t="str">
        <f t="array" aca="1" ref="CX57" ca="1">IF(OR((CX$48&gt;=$AS$11:$AS$74)*(CX$48&lt;=$AT$11:$AT$74)&gt;0),$B57,"")</f>
        <v/>
      </c>
      <c r="CY57" s="84" t="str">
        <f t="array" aca="1" ref="CY57" ca="1">IF(OR((CY$48&gt;=$AS$11:$AS$74)*(CY$48&lt;=$AT$11:$AT$74)&gt;0),$B57,"")</f>
        <v/>
      </c>
      <c r="CZ57" s="84" t="str">
        <f t="array" aca="1" ref="CZ57" ca="1">IF(OR((CZ$48&gt;=$AS$11:$AS$74)*(CZ$48&lt;=$AT$11:$AT$74)&gt;0),$B57,"")</f>
        <v/>
      </c>
      <c r="DA57" s="84" t="str">
        <f t="array" aca="1" ref="DA57" ca="1">IF(OR((DA$48&gt;=$AS$11:$AS$74)*(DA$48&lt;=$AT$11:$AT$74)&gt;0),$B57,"")</f>
        <v/>
      </c>
      <c r="DB57" s="84" t="str">
        <f t="array" aca="1" ref="DB57" ca="1">IF(OR((DB$48&gt;=$AS$11:$AS$74)*(DB$48&lt;=$AT$11:$AT$74)&gt;0),$B57,"")</f>
        <v/>
      </c>
      <c r="DC57" s="84" t="str">
        <f t="array" aca="1" ref="DC57" ca="1">IF(OR((DC$48&gt;=$AS$11:$AS$74)*(DC$48&lt;=$AT$11:$AT$74)&gt;0),$B57,"")</f>
        <v/>
      </c>
    </row>
    <row r="58" spans="1:107">
      <c r="A58" s="8"/>
      <c r="B58" s="12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85"/>
      <c r="AK58" s="8"/>
      <c r="AL58" s="12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U58" s="8"/>
      <c r="BV58" s="12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</row>
    <row r="59" spans="1:107">
      <c r="A59" s="7" t="s">
        <v>90</v>
      </c>
      <c r="B59" s="1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5"/>
      <c r="AK59" s="7" t="s">
        <v>90</v>
      </c>
      <c r="AL59" s="1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0"/>
      <c r="BK59" s="80"/>
      <c r="BL59" s="80"/>
      <c r="BM59" s="80"/>
      <c r="BN59" s="80"/>
      <c r="BO59" s="80"/>
      <c r="BP59" s="80"/>
      <c r="BQ59" s="80"/>
      <c r="BR59" s="80"/>
      <c r="BS59" s="80"/>
      <c r="BU59" s="7" t="s">
        <v>90</v>
      </c>
      <c r="BV59" s="10"/>
      <c r="BW59" s="80"/>
      <c r="BX59" s="80"/>
      <c r="BY59" s="80"/>
      <c r="BZ59" s="80"/>
      <c r="CA59" s="80"/>
      <c r="CB59" s="80"/>
      <c r="CC59" s="80"/>
      <c r="CD59" s="80"/>
      <c r="CE59" s="80"/>
      <c r="CF59" s="80"/>
      <c r="CG59" s="80"/>
      <c r="CH59" s="80"/>
      <c r="CI59" s="80"/>
      <c r="CJ59" s="80"/>
      <c r="CK59" s="80"/>
      <c r="CL59" s="80"/>
      <c r="CM59" s="80"/>
      <c r="CN59" s="80"/>
      <c r="CO59" s="80"/>
      <c r="CP59" s="80"/>
      <c r="CQ59" s="80"/>
      <c r="CR59" s="80"/>
      <c r="CS59" s="80"/>
      <c r="CT59" s="80"/>
      <c r="CU59" s="80"/>
      <c r="CV59" s="80"/>
      <c r="CW59" s="80"/>
      <c r="CX59" s="80"/>
      <c r="CY59" s="80"/>
      <c r="CZ59" s="80"/>
      <c r="DA59" s="80"/>
      <c r="DB59" s="80"/>
      <c r="DC59" s="80"/>
    </row>
    <row r="60" spans="1:107">
      <c r="A60" s="75"/>
      <c r="B60" s="11" t="s">
        <v>154</v>
      </c>
      <c r="C60" s="112">
        <f>EOMONTH($A$1,-1)</f>
        <v>46265</v>
      </c>
      <c r="D60" s="112">
        <f t="shared" ref="D60:AI60" si="195">C60+1</f>
        <v>46266</v>
      </c>
      <c r="E60" s="112">
        <f t="shared" si="195"/>
        <v>46267</v>
      </c>
      <c r="F60" s="112">
        <f t="shared" si="195"/>
        <v>46268</v>
      </c>
      <c r="G60" s="112">
        <f t="shared" si="195"/>
        <v>46269</v>
      </c>
      <c r="H60" s="112">
        <f t="shared" si="195"/>
        <v>46270</v>
      </c>
      <c r="I60" s="112">
        <f t="shared" si="195"/>
        <v>46271</v>
      </c>
      <c r="J60" s="112">
        <f t="shared" si="195"/>
        <v>46272</v>
      </c>
      <c r="K60" s="112">
        <f t="shared" si="195"/>
        <v>46273</v>
      </c>
      <c r="L60" s="112">
        <f t="shared" si="195"/>
        <v>46274</v>
      </c>
      <c r="M60" s="112">
        <f t="shared" si="195"/>
        <v>46275</v>
      </c>
      <c r="N60" s="112">
        <f t="shared" si="195"/>
        <v>46276</v>
      </c>
      <c r="O60" s="112">
        <f t="shared" si="195"/>
        <v>46277</v>
      </c>
      <c r="P60" s="112">
        <f t="shared" si="195"/>
        <v>46278</v>
      </c>
      <c r="Q60" s="112">
        <f t="shared" si="195"/>
        <v>46279</v>
      </c>
      <c r="R60" s="112">
        <f t="shared" si="195"/>
        <v>46280</v>
      </c>
      <c r="S60" s="112">
        <f t="shared" si="195"/>
        <v>46281</v>
      </c>
      <c r="T60" s="112">
        <f t="shared" si="195"/>
        <v>46282</v>
      </c>
      <c r="U60" s="112">
        <f t="shared" si="195"/>
        <v>46283</v>
      </c>
      <c r="V60" s="112">
        <f t="shared" si="195"/>
        <v>46284</v>
      </c>
      <c r="W60" s="112">
        <f t="shared" si="195"/>
        <v>46285</v>
      </c>
      <c r="X60" s="112">
        <f t="shared" si="195"/>
        <v>46286</v>
      </c>
      <c r="Y60" s="112">
        <f t="shared" si="195"/>
        <v>46287</v>
      </c>
      <c r="Z60" s="112">
        <f t="shared" si="195"/>
        <v>46288</v>
      </c>
      <c r="AA60" s="112">
        <f t="shared" si="195"/>
        <v>46289</v>
      </c>
      <c r="AB60" s="112">
        <f t="shared" si="195"/>
        <v>46290</v>
      </c>
      <c r="AC60" s="112">
        <f t="shared" si="195"/>
        <v>46291</v>
      </c>
      <c r="AD60" s="112">
        <f t="shared" si="195"/>
        <v>46292</v>
      </c>
      <c r="AE60" s="112">
        <f t="shared" si="195"/>
        <v>46293</v>
      </c>
      <c r="AF60" s="112">
        <f t="shared" si="195"/>
        <v>46294</v>
      </c>
      <c r="AG60" s="112">
        <f t="shared" si="195"/>
        <v>46295</v>
      </c>
      <c r="AH60" s="112">
        <f t="shared" si="195"/>
        <v>46296</v>
      </c>
      <c r="AI60" s="112">
        <f t="shared" si="195"/>
        <v>46297</v>
      </c>
      <c r="AJ60" s="85"/>
      <c r="AK60" s="75"/>
      <c r="AL60" s="11" t="s">
        <v>154</v>
      </c>
      <c r="AM60" s="112">
        <f>EOMONTH($A$1,-1)</f>
        <v>46265</v>
      </c>
      <c r="AN60" s="112">
        <f t="shared" ref="AN60" si="196">AM60+1</f>
        <v>46266</v>
      </c>
      <c r="AO60" s="112">
        <f t="shared" ref="AO60" si="197">AN60+1</f>
        <v>46267</v>
      </c>
      <c r="AP60" s="112">
        <f t="shared" ref="AP60" si="198">AO60+1</f>
        <v>46268</v>
      </c>
      <c r="AQ60" s="112">
        <f t="shared" ref="AQ60" si="199">AP60+1</f>
        <v>46269</v>
      </c>
      <c r="AR60" s="112">
        <f t="shared" ref="AR60" si="200">AQ60+1</f>
        <v>46270</v>
      </c>
      <c r="AS60" s="112">
        <f t="shared" ref="AS60" si="201">AR60+1</f>
        <v>46271</v>
      </c>
      <c r="AT60" s="112">
        <f t="shared" ref="AT60" si="202">AS60+1</f>
        <v>46272</v>
      </c>
      <c r="AU60" s="112">
        <f t="shared" ref="AU60" si="203">AT60+1</f>
        <v>46273</v>
      </c>
      <c r="AV60" s="112">
        <f t="shared" ref="AV60" si="204">AU60+1</f>
        <v>46274</v>
      </c>
      <c r="AW60" s="112">
        <f t="shared" ref="AW60" si="205">AV60+1</f>
        <v>46275</v>
      </c>
      <c r="AX60" s="112">
        <f t="shared" ref="AX60" si="206">AW60+1</f>
        <v>46276</v>
      </c>
      <c r="AY60" s="112">
        <f t="shared" ref="AY60" si="207">AX60+1</f>
        <v>46277</v>
      </c>
      <c r="AZ60" s="112">
        <f t="shared" ref="AZ60" si="208">AY60+1</f>
        <v>46278</v>
      </c>
      <c r="BA60" s="112">
        <f t="shared" ref="BA60" si="209">AZ60+1</f>
        <v>46279</v>
      </c>
      <c r="BB60" s="112">
        <f t="shared" ref="BB60" si="210">BA60+1</f>
        <v>46280</v>
      </c>
      <c r="BC60" s="112">
        <f t="shared" ref="BC60" si="211">BB60+1</f>
        <v>46281</v>
      </c>
      <c r="BD60" s="112">
        <f t="shared" ref="BD60" si="212">BC60+1</f>
        <v>46282</v>
      </c>
      <c r="BE60" s="112">
        <f t="shared" ref="BE60" si="213">BD60+1</f>
        <v>46283</v>
      </c>
      <c r="BF60" s="112">
        <f t="shared" ref="BF60" si="214">BE60+1</f>
        <v>46284</v>
      </c>
      <c r="BG60" s="112">
        <f t="shared" ref="BG60" si="215">BF60+1</f>
        <v>46285</v>
      </c>
      <c r="BH60" s="112">
        <f t="shared" ref="BH60" si="216">BG60+1</f>
        <v>46286</v>
      </c>
      <c r="BI60" s="112">
        <f t="shared" ref="BI60" si="217">BH60+1</f>
        <v>46287</v>
      </c>
      <c r="BJ60" s="112">
        <f t="shared" ref="BJ60" si="218">BI60+1</f>
        <v>46288</v>
      </c>
      <c r="BK60" s="112">
        <f t="shared" ref="BK60" si="219">BJ60+1</f>
        <v>46289</v>
      </c>
      <c r="BL60" s="112">
        <f t="shared" ref="BL60" si="220">BK60+1</f>
        <v>46290</v>
      </c>
      <c r="BM60" s="112">
        <f t="shared" ref="BM60" si="221">BL60+1</f>
        <v>46291</v>
      </c>
      <c r="BN60" s="112">
        <f t="shared" ref="BN60" si="222">BM60+1</f>
        <v>46292</v>
      </c>
      <c r="BO60" s="112">
        <f t="shared" ref="BO60" si="223">BN60+1</f>
        <v>46293</v>
      </c>
      <c r="BP60" s="112">
        <f t="shared" ref="BP60" si="224">BO60+1</f>
        <v>46294</v>
      </c>
      <c r="BQ60" s="112">
        <f t="shared" ref="BQ60" si="225">BP60+1</f>
        <v>46295</v>
      </c>
      <c r="BR60" s="112">
        <f t="shared" ref="BR60" si="226">BQ60+1</f>
        <v>46296</v>
      </c>
      <c r="BS60" s="112">
        <f t="shared" ref="BS60" si="227">BR60+1</f>
        <v>46297</v>
      </c>
      <c r="BU60" s="75"/>
      <c r="BV60" s="11" t="s">
        <v>154</v>
      </c>
      <c r="BW60" s="112">
        <f>EOMONTH($A$1,-1)</f>
        <v>46265</v>
      </c>
      <c r="BX60" s="112">
        <f t="shared" ref="BX60" si="228">BW60+1</f>
        <v>46266</v>
      </c>
      <c r="BY60" s="112">
        <f t="shared" ref="BY60" si="229">BX60+1</f>
        <v>46267</v>
      </c>
      <c r="BZ60" s="112">
        <f t="shared" ref="BZ60" si="230">BY60+1</f>
        <v>46268</v>
      </c>
      <c r="CA60" s="112">
        <f t="shared" ref="CA60" si="231">BZ60+1</f>
        <v>46269</v>
      </c>
      <c r="CB60" s="112">
        <f t="shared" ref="CB60" si="232">CA60+1</f>
        <v>46270</v>
      </c>
      <c r="CC60" s="112">
        <f t="shared" ref="CC60" si="233">CB60+1</f>
        <v>46271</v>
      </c>
      <c r="CD60" s="112">
        <f t="shared" ref="CD60" si="234">CC60+1</f>
        <v>46272</v>
      </c>
      <c r="CE60" s="112">
        <f t="shared" ref="CE60" si="235">CD60+1</f>
        <v>46273</v>
      </c>
      <c r="CF60" s="112">
        <f t="shared" ref="CF60" si="236">CE60+1</f>
        <v>46274</v>
      </c>
      <c r="CG60" s="112">
        <f t="shared" ref="CG60" si="237">CF60+1</f>
        <v>46275</v>
      </c>
      <c r="CH60" s="112">
        <f t="shared" ref="CH60" si="238">CG60+1</f>
        <v>46276</v>
      </c>
      <c r="CI60" s="112">
        <f t="shared" ref="CI60" si="239">CH60+1</f>
        <v>46277</v>
      </c>
      <c r="CJ60" s="112">
        <f t="shared" ref="CJ60" si="240">CI60+1</f>
        <v>46278</v>
      </c>
      <c r="CK60" s="112">
        <f t="shared" ref="CK60" si="241">CJ60+1</f>
        <v>46279</v>
      </c>
      <c r="CL60" s="112">
        <f t="shared" ref="CL60" si="242">CK60+1</f>
        <v>46280</v>
      </c>
      <c r="CM60" s="112">
        <f t="shared" ref="CM60" si="243">CL60+1</f>
        <v>46281</v>
      </c>
      <c r="CN60" s="112">
        <f t="shared" ref="CN60" si="244">CM60+1</f>
        <v>46282</v>
      </c>
      <c r="CO60" s="112">
        <f t="shared" ref="CO60" si="245">CN60+1</f>
        <v>46283</v>
      </c>
      <c r="CP60" s="112">
        <f t="shared" ref="CP60" si="246">CO60+1</f>
        <v>46284</v>
      </c>
      <c r="CQ60" s="112">
        <f t="shared" ref="CQ60" si="247">CP60+1</f>
        <v>46285</v>
      </c>
      <c r="CR60" s="112">
        <f t="shared" ref="CR60" si="248">CQ60+1</f>
        <v>46286</v>
      </c>
      <c r="CS60" s="112">
        <f t="shared" ref="CS60" si="249">CR60+1</f>
        <v>46287</v>
      </c>
      <c r="CT60" s="112">
        <f t="shared" ref="CT60" si="250">CS60+1</f>
        <v>46288</v>
      </c>
      <c r="CU60" s="112">
        <f t="shared" ref="CU60" si="251">CT60+1</f>
        <v>46289</v>
      </c>
      <c r="CV60" s="112">
        <f t="shared" ref="CV60" si="252">CU60+1</f>
        <v>46290</v>
      </c>
      <c r="CW60" s="112">
        <f t="shared" ref="CW60" si="253">CV60+1</f>
        <v>46291</v>
      </c>
      <c r="CX60" s="112">
        <f t="shared" ref="CX60" si="254">CW60+1</f>
        <v>46292</v>
      </c>
      <c r="CY60" s="112">
        <f t="shared" ref="CY60" si="255">CX60+1</f>
        <v>46293</v>
      </c>
      <c r="CZ60" s="112">
        <f t="shared" ref="CZ60" si="256">CY60+1</f>
        <v>46294</v>
      </c>
      <c r="DA60" s="112">
        <f t="shared" ref="DA60" si="257">CZ60+1</f>
        <v>46295</v>
      </c>
      <c r="DB60" s="112">
        <f t="shared" ref="DB60" si="258">DA60+1</f>
        <v>46296</v>
      </c>
      <c r="DC60" s="112">
        <f t="shared" ref="DC60" si="259">DB60+1</f>
        <v>46297</v>
      </c>
    </row>
    <row r="61" spans="1:107">
      <c r="A61" s="75" t="s">
        <v>167</v>
      </c>
      <c r="B61" s="74">
        <v>12</v>
      </c>
      <c r="C61" s="84" t="str">
        <f t="array" aca="1" ref="C61" ca="1">IF(OR((C$60&gt;=$AU$11:$AU$74)*(C$48&lt;=$AV$11:$AV$74)&gt;0),$B61,"")</f>
        <v/>
      </c>
      <c r="D61" s="84" t="str">
        <f t="array" aca="1" ref="D61" ca="1">IF(OR((D$60&gt;=$AU$11:$AU$74)*(D$48&lt;=$AV$11:$AV$74)&gt;0),$B61,"")</f>
        <v/>
      </c>
      <c r="E61" s="84" t="str">
        <f t="array" aca="1" ref="E61" ca="1">IF(OR((E$60&gt;=$AU$11:$AU$74)*(E$48&lt;=$AV$11:$AV$74)&gt;0),$B61,"")</f>
        <v/>
      </c>
      <c r="F61" s="84" t="str">
        <f t="array" aca="1" ref="F61" ca="1">IF(OR((F$60&gt;=$AU$11:$AU$74)*(F$48&lt;=$AV$11:$AV$74)&gt;0),$B61,"")</f>
        <v/>
      </c>
      <c r="G61" s="84" t="str">
        <f t="array" aca="1" ref="G61" ca="1">IF(OR((G$60&gt;=$AU$11:$AU$74)*(G$48&lt;=$AV$11:$AV$74)&gt;0),$B61,"")</f>
        <v/>
      </c>
      <c r="H61" s="84" t="str">
        <f t="array" aca="1" ref="H61" ca="1">IF(OR((H$60&gt;=$AU$11:$AU$74)*(H$48&lt;=$AV$11:$AV$74)&gt;0),$B61,"")</f>
        <v/>
      </c>
      <c r="I61" s="84" t="str">
        <f t="array" aca="1" ref="I61" ca="1">IF(OR((I$60&gt;=$AU$11:$AU$74)*(I$48&lt;=$AV$11:$AV$74)&gt;0),$B61,"")</f>
        <v/>
      </c>
      <c r="J61" s="84" t="str">
        <f t="array" aca="1" ref="J61" ca="1">IF(OR((J$60&gt;=$AU$11:$AU$74)*(J$48&lt;=$AV$11:$AV$74)&gt;0),$B61,"")</f>
        <v/>
      </c>
      <c r="K61" s="84" t="str">
        <f t="array" aca="1" ref="K61" ca="1">IF(OR((K$60&gt;=$AU$11:$AU$74)*(K$48&lt;=$AV$11:$AV$74)&gt;0),$B61,"")</f>
        <v/>
      </c>
      <c r="L61" s="84" t="str">
        <f t="array" aca="1" ref="L61" ca="1">IF(OR((L$60&gt;=$AU$11:$AU$74)*(L$48&lt;=$AV$11:$AV$74)&gt;0),$B61,"")</f>
        <v/>
      </c>
      <c r="M61" s="84" t="str">
        <f t="array" aca="1" ref="M61" ca="1">IF(OR((M$60&gt;=$AU$11:$AU$74)*(M$48&lt;=$AV$11:$AV$74)&gt;0),$B61,"")</f>
        <v/>
      </c>
      <c r="N61" s="84" t="str">
        <f t="array" aca="1" ref="N61" ca="1">IF(OR((N$60&gt;=$AU$11:$AU$74)*(N$48&lt;=$AV$11:$AV$74)&gt;0),$B61,"")</f>
        <v/>
      </c>
      <c r="O61" s="84" t="str">
        <f t="array" aca="1" ref="O61" ca="1">IF(OR((O$60&gt;=$AU$11:$AU$74)*(O$48&lt;=$AV$11:$AV$74)&gt;0),$B61,"")</f>
        <v/>
      </c>
      <c r="P61" s="84" t="str">
        <f t="array" aca="1" ref="P61" ca="1">IF(OR((P$60&gt;=$AU$11:$AU$74)*(P$48&lt;=$AV$11:$AV$74)&gt;0),$B61,"")</f>
        <v/>
      </c>
      <c r="Q61" s="84" t="str">
        <f t="array" aca="1" ref="Q61" ca="1">IF(OR((Q$60&gt;=$AU$11:$AU$74)*(Q$48&lt;=$AV$11:$AV$74)&gt;0),$B61,"")</f>
        <v/>
      </c>
      <c r="R61" s="84" t="str">
        <f t="array" aca="1" ref="R61" ca="1">IF(OR((R$60&gt;=$AU$11:$AU$74)*(R$48&lt;=$AV$11:$AV$74)&gt;0),$B61,"")</f>
        <v/>
      </c>
      <c r="S61" s="84" t="str">
        <f t="array" aca="1" ref="S61" ca="1">IF(OR((S$60&gt;=$AU$11:$AU$74)*(S$48&lt;=$AV$11:$AV$74)&gt;0),$B61,"")</f>
        <v/>
      </c>
      <c r="T61" s="84" t="str">
        <f t="array" aca="1" ref="T61" ca="1">IF(OR((T$60&gt;=$AU$11:$AU$74)*(T$48&lt;=$AV$11:$AV$74)&gt;0),$B61,"")</f>
        <v/>
      </c>
      <c r="U61" s="84" t="str">
        <f t="array" aca="1" ref="U61" ca="1">IF(OR((U$60&gt;=$AU$11:$AU$74)*(U$48&lt;=$AV$11:$AV$74)&gt;0),$B61,"")</f>
        <v/>
      </c>
      <c r="V61" s="84" t="str">
        <f t="array" aca="1" ref="V61" ca="1">IF(OR((V$60&gt;=$AU$11:$AU$74)*(V$48&lt;=$AV$11:$AV$74)&gt;0),$B61,"")</f>
        <v/>
      </c>
      <c r="W61" s="84" t="str">
        <f t="array" aca="1" ref="W61" ca="1">IF(OR((W$60&gt;=$AU$11:$AU$74)*(W$48&lt;=$AV$11:$AV$74)&gt;0),$B61,"")</f>
        <v/>
      </c>
      <c r="X61" s="84" t="str">
        <f t="array" aca="1" ref="X61" ca="1">IF(OR((X$60&gt;=$AU$11:$AU$74)*(X$48&lt;=$AV$11:$AV$74)&gt;0),$B61,"")</f>
        <v/>
      </c>
      <c r="Y61" s="84" t="str">
        <f t="array" aca="1" ref="Y61" ca="1">IF(OR((Y$60&gt;=$AU$11:$AU$74)*(Y$48&lt;=$AV$11:$AV$74)&gt;0),$B61,"")</f>
        <v/>
      </c>
      <c r="Z61" s="84" t="str">
        <f t="array" aca="1" ref="Z61" ca="1">IF(OR((Z$60&gt;=$AU$11:$AU$74)*(Z$48&lt;=$AV$11:$AV$74)&gt;0),$B61,"")</f>
        <v/>
      </c>
      <c r="AA61" s="84" t="str">
        <f t="array" aca="1" ref="AA61" ca="1">IF(OR((AA$60&gt;=$AU$11:$AU$74)*(AA$48&lt;=$AV$11:$AV$74)&gt;0),$B61,"")</f>
        <v/>
      </c>
      <c r="AB61" s="84" t="str">
        <f t="array" aca="1" ref="AB61" ca="1">IF(OR((AB$60&gt;=$AU$11:$AU$74)*(AB$48&lt;=$AV$11:$AV$74)&gt;0),$B61,"")</f>
        <v/>
      </c>
      <c r="AC61" s="84" t="str">
        <f t="array" aca="1" ref="AC61" ca="1">IF(OR((AC$60&gt;=$AU$11:$AU$74)*(AC$48&lt;=$AV$11:$AV$74)&gt;0),$B61,"")</f>
        <v/>
      </c>
      <c r="AD61" s="84" t="str">
        <f t="array" aca="1" ref="AD61" ca="1">IF(OR((AD$60&gt;=$AU$11:$AU$74)*(AD$48&lt;=$AV$11:$AV$74)&gt;0),$B61,"")</f>
        <v/>
      </c>
      <c r="AE61" s="84" t="str">
        <f t="array" aca="1" ref="AE61" ca="1">IF(OR((AE$60&gt;=$AU$11:$AU$74)*(AE$48&lt;=$AV$11:$AV$74)&gt;0),$B61,"")</f>
        <v/>
      </c>
      <c r="AF61" s="84" t="str">
        <f t="array" aca="1" ref="AF61" ca="1">IF(OR((AF$60&gt;=$AU$11:$AU$74)*(AF$48&lt;=$AV$11:$AV$74)&gt;0),$B61,"")</f>
        <v/>
      </c>
      <c r="AG61" s="84" t="str">
        <f t="array" aca="1" ref="AG61" ca="1">IF(OR((AG$60&gt;=$AU$11:$AU$74)*(AG$48&lt;=$AV$11:$AV$74)&gt;0),$B61,"")</f>
        <v/>
      </c>
      <c r="AH61" s="84" t="str">
        <f t="array" aca="1" ref="AH61" ca="1">IF(OR((AH$60&gt;=$AU$11:$AU$74)*(AH$48&lt;=$AV$11:$AV$74)&gt;0),$B61,"")</f>
        <v/>
      </c>
      <c r="AI61" s="84" t="str">
        <f t="array" aca="1" ref="AI61" ca="1">IF(OR((AI$60&gt;=$AU$11:$AU$74)*(AI$48&lt;=$AV$11:$AV$74)&gt;0),$B61,"")</f>
        <v/>
      </c>
      <c r="AJ61" s="85"/>
      <c r="AK61" s="75" t="s">
        <v>167</v>
      </c>
      <c r="AL61" s="74">
        <v>12</v>
      </c>
      <c r="AM61" s="84" t="str">
        <f t="array" aca="1" ref="AM61" ca="1">IF(OR((AM$60&gt;=$AU$11:$AU$74)*(AM$48&lt;=$AV$11:$AV$74)&gt;0),$B61,"")</f>
        <v/>
      </c>
      <c r="AN61" s="84" t="str">
        <f t="array" aca="1" ref="AN61" ca="1">IF(OR((AN$60&gt;=$AU$11:$AU$74)*(AN$48&lt;=$AV$11:$AV$74)&gt;0),$B61,"")</f>
        <v/>
      </c>
      <c r="AO61" s="84" t="str">
        <f t="array" aca="1" ref="AO61" ca="1">IF(OR((AO$60&gt;=$AU$11:$AU$74)*(AO$48&lt;=$AV$11:$AV$74)&gt;0),$B61,"")</f>
        <v/>
      </c>
      <c r="AP61" s="84" t="str">
        <f t="array" aca="1" ref="AP61" ca="1">IF(OR((AP$60&gt;=$AU$11:$AU$74)*(AP$48&lt;=$AV$11:$AV$74)&gt;0),$B61,"")</f>
        <v/>
      </c>
      <c r="AQ61" s="84" t="str">
        <f t="array" aca="1" ref="AQ61" ca="1">IF(OR((AQ$60&gt;=$AU$11:$AU$74)*(AQ$48&lt;=$AV$11:$AV$74)&gt;0),$B61,"")</f>
        <v/>
      </c>
      <c r="AR61" s="84" t="str">
        <f t="array" aca="1" ref="AR61" ca="1">IF(OR((AR$60&gt;=$AU$11:$AU$74)*(AR$48&lt;=$AV$11:$AV$74)&gt;0),$B61,"")</f>
        <v/>
      </c>
      <c r="AS61" s="84" t="str">
        <f t="array" aca="1" ref="AS61" ca="1">IF(OR((AS$60&gt;=$AU$11:$AU$74)*(AS$48&lt;=$AV$11:$AV$74)&gt;0),$B61,"")</f>
        <v/>
      </c>
      <c r="AT61" s="84" t="str">
        <f t="array" aca="1" ref="AT61" ca="1">IF(OR((AT$60&gt;=$AU$11:$AU$74)*(AT$48&lt;=$AV$11:$AV$74)&gt;0),$B61,"")</f>
        <v/>
      </c>
      <c r="AU61" s="84" t="str">
        <f t="array" aca="1" ref="AU61" ca="1">IF(OR((AU$60&gt;=$AU$11:$AU$74)*(AU$48&lt;=$AV$11:$AV$74)&gt;0),$B61,"")</f>
        <v/>
      </c>
      <c r="AV61" s="84" t="str">
        <f t="array" aca="1" ref="AV61" ca="1">IF(OR((AV$60&gt;=$AU$11:$AU$74)*(AV$48&lt;=$AV$11:$AV$74)&gt;0),$B61,"")</f>
        <v/>
      </c>
      <c r="AW61" s="84" t="str">
        <f t="array" aca="1" ref="AW61" ca="1">IF(OR((AW$60&gt;=$AU$11:$AU$74)*(AW$48&lt;=$AV$11:$AV$74)&gt;0),$B61,"")</f>
        <v/>
      </c>
      <c r="AX61" s="84" t="str">
        <f t="array" aca="1" ref="AX61" ca="1">IF(OR((AX$60&gt;=$AU$11:$AU$74)*(AX$48&lt;=$AV$11:$AV$74)&gt;0),$B61,"")</f>
        <v/>
      </c>
      <c r="AY61" s="84" t="str">
        <f t="array" aca="1" ref="AY61" ca="1">IF(OR((AY$60&gt;=$AU$11:$AU$74)*(AY$48&lt;=$AV$11:$AV$74)&gt;0),$B61,"")</f>
        <v/>
      </c>
      <c r="AZ61" s="84" t="str">
        <f t="array" aca="1" ref="AZ61" ca="1">IF(OR((AZ$60&gt;=$AU$11:$AU$74)*(AZ$48&lt;=$AV$11:$AV$74)&gt;0),$B61,"")</f>
        <v/>
      </c>
      <c r="BA61" s="84" t="str">
        <f t="array" aca="1" ref="BA61" ca="1">IF(OR((BA$60&gt;=$AU$11:$AU$74)*(BA$48&lt;=$AV$11:$AV$74)&gt;0),$B61,"")</f>
        <v/>
      </c>
      <c r="BB61" s="84" t="str">
        <f t="array" aca="1" ref="BB61" ca="1">IF(OR((BB$60&gt;=$AU$11:$AU$74)*(BB$48&lt;=$AV$11:$AV$74)&gt;0),$B61,"")</f>
        <v/>
      </c>
      <c r="BC61" s="84" t="str">
        <f t="array" aca="1" ref="BC61" ca="1">IF(OR((BC$60&gt;=$AU$11:$AU$74)*(BC$48&lt;=$AV$11:$AV$74)&gt;0),$B61,"")</f>
        <v/>
      </c>
      <c r="BD61" s="84" t="str">
        <f t="array" aca="1" ref="BD61" ca="1">IF(OR((BD$60&gt;=$AU$11:$AU$74)*(BD$48&lt;=$AV$11:$AV$74)&gt;0),$B61,"")</f>
        <v/>
      </c>
      <c r="BE61" s="84" t="str">
        <f t="array" aca="1" ref="BE61" ca="1">IF(OR((BE$60&gt;=$AU$11:$AU$74)*(BE$48&lt;=$AV$11:$AV$74)&gt;0),$B61,"")</f>
        <v/>
      </c>
      <c r="BF61" s="84" t="str">
        <f t="array" aca="1" ref="BF61" ca="1">IF(OR((BF$60&gt;=$AU$11:$AU$74)*(BF$48&lt;=$AV$11:$AV$74)&gt;0),$B61,"")</f>
        <v/>
      </c>
      <c r="BG61" s="84" t="str">
        <f t="array" aca="1" ref="BG61" ca="1">IF(OR((BG$60&gt;=$AU$11:$AU$74)*(BG$48&lt;=$AV$11:$AV$74)&gt;0),$B61,"")</f>
        <v/>
      </c>
      <c r="BH61" s="84" t="str">
        <f t="array" aca="1" ref="BH61" ca="1">IF(OR((BH$60&gt;=$AU$11:$AU$74)*(BH$48&lt;=$AV$11:$AV$74)&gt;0),$B61,"")</f>
        <v/>
      </c>
      <c r="BI61" s="84" t="str">
        <f t="array" aca="1" ref="BI61" ca="1">IF(OR((BI$60&gt;=$AU$11:$AU$74)*(BI$48&lt;=$AV$11:$AV$74)&gt;0),$B61,"")</f>
        <v/>
      </c>
      <c r="BJ61" s="84" t="str">
        <f t="array" aca="1" ref="BJ61" ca="1">IF(OR((BJ$60&gt;=$AU$11:$AU$74)*(BJ$48&lt;=$AV$11:$AV$74)&gt;0),$B61,"")</f>
        <v/>
      </c>
      <c r="BK61" s="84" t="str">
        <f t="array" aca="1" ref="BK61" ca="1">IF(OR((BK$60&gt;=$AU$11:$AU$74)*(BK$48&lt;=$AV$11:$AV$74)&gt;0),$B61,"")</f>
        <v/>
      </c>
      <c r="BL61" s="84" t="str">
        <f t="array" aca="1" ref="BL61" ca="1">IF(OR((BL$60&gt;=$AU$11:$AU$74)*(BL$48&lt;=$AV$11:$AV$74)&gt;0),$B61,"")</f>
        <v/>
      </c>
      <c r="BM61" s="84" t="str">
        <f t="array" aca="1" ref="BM61" ca="1">IF(OR((BM$60&gt;=$AU$11:$AU$74)*(BM$48&lt;=$AV$11:$AV$74)&gt;0),$B61,"")</f>
        <v/>
      </c>
      <c r="BN61" s="84" t="str">
        <f t="array" aca="1" ref="BN61" ca="1">IF(OR((BN$60&gt;=$AU$11:$AU$74)*(BN$48&lt;=$AV$11:$AV$74)&gt;0),$B61,"")</f>
        <v/>
      </c>
      <c r="BO61" s="84" t="str">
        <f t="array" aca="1" ref="BO61" ca="1">IF(OR((BO$60&gt;=$AU$11:$AU$74)*(BO$48&lt;=$AV$11:$AV$74)&gt;0),$B61,"")</f>
        <v/>
      </c>
      <c r="BP61" s="84" t="str">
        <f t="array" aca="1" ref="BP61" ca="1">IF(OR((BP$60&gt;=$AU$11:$AU$74)*(BP$48&lt;=$AV$11:$AV$74)&gt;0),$B61,"")</f>
        <v/>
      </c>
      <c r="BQ61" s="84" t="str">
        <f t="array" aca="1" ref="BQ61" ca="1">IF(OR((BQ$60&gt;=$AU$11:$AU$74)*(BQ$48&lt;=$AV$11:$AV$74)&gt;0),$B61,"")</f>
        <v/>
      </c>
      <c r="BR61" s="84" t="str">
        <f t="array" aca="1" ref="BR61" ca="1">IF(OR((BR$60&gt;=$AU$11:$AU$74)*(BR$48&lt;=$AV$11:$AV$74)&gt;0),$B61,"")</f>
        <v/>
      </c>
      <c r="BS61" s="84" t="str">
        <f t="array" aca="1" ref="BS61" ca="1">IF(OR((BS$60&gt;=$AU$11:$AU$74)*(BS$48&lt;=$AV$11:$AV$74)&gt;0),$B61,"")</f>
        <v/>
      </c>
      <c r="BU61" s="75" t="s">
        <v>167</v>
      </c>
      <c r="BV61" s="74">
        <v>12</v>
      </c>
      <c r="BW61" s="84" t="str">
        <f t="array" aca="1" ref="BW61" ca="1">IF(OR((BW$60&gt;=$AU$11:$AU$74)*(BW$48&lt;=$AV$11:$AV$74)&gt;0),$B61,"")</f>
        <v/>
      </c>
      <c r="BX61" s="84" t="str">
        <f t="array" aca="1" ref="BX61" ca="1">IF(OR((BX$60&gt;=$AU$11:$AU$74)*(BX$48&lt;=$AV$11:$AV$74)&gt;0),$B61,"")</f>
        <v/>
      </c>
      <c r="BY61" s="84" t="str">
        <f t="array" aca="1" ref="BY61" ca="1">IF(OR((BY$60&gt;=$AU$11:$AU$74)*(BY$48&lt;=$AV$11:$AV$74)&gt;0),$B61,"")</f>
        <v/>
      </c>
      <c r="BZ61" s="84" t="str">
        <f t="array" aca="1" ref="BZ61" ca="1">IF(OR((BZ$60&gt;=$AU$11:$AU$74)*(BZ$48&lt;=$AV$11:$AV$74)&gt;0),$B61,"")</f>
        <v/>
      </c>
      <c r="CA61" s="84" t="str">
        <f t="array" aca="1" ref="CA61" ca="1">IF(OR((CA$60&gt;=$AU$11:$AU$74)*(CA$48&lt;=$AV$11:$AV$74)&gt;0),$B61,"")</f>
        <v/>
      </c>
      <c r="CB61" s="84" t="str">
        <f t="array" aca="1" ref="CB61" ca="1">IF(OR((CB$60&gt;=$AU$11:$AU$74)*(CB$48&lt;=$AV$11:$AV$74)&gt;0),$B61,"")</f>
        <v/>
      </c>
      <c r="CC61" s="84" t="str">
        <f t="array" aca="1" ref="CC61" ca="1">IF(OR((CC$60&gt;=$AU$11:$AU$74)*(CC$48&lt;=$AV$11:$AV$74)&gt;0),$B61,"")</f>
        <v/>
      </c>
      <c r="CD61" s="84" t="str">
        <f t="array" aca="1" ref="CD61" ca="1">IF(OR((CD$60&gt;=$AU$11:$AU$74)*(CD$48&lt;=$AV$11:$AV$74)&gt;0),$B61,"")</f>
        <v/>
      </c>
      <c r="CE61" s="84" t="str">
        <f t="array" aca="1" ref="CE61" ca="1">IF(OR((CE$60&gt;=$AU$11:$AU$74)*(CE$48&lt;=$AV$11:$AV$74)&gt;0),$B61,"")</f>
        <v/>
      </c>
      <c r="CF61" s="84" t="str">
        <f t="array" aca="1" ref="CF61" ca="1">IF(OR((CF$60&gt;=$AU$11:$AU$74)*(CF$48&lt;=$AV$11:$AV$74)&gt;0),$B61,"")</f>
        <v/>
      </c>
      <c r="CG61" s="84" t="str">
        <f t="array" aca="1" ref="CG61" ca="1">IF(OR((CG$60&gt;=$AU$11:$AU$74)*(CG$48&lt;=$AV$11:$AV$74)&gt;0),$B61,"")</f>
        <v/>
      </c>
      <c r="CH61" s="84" t="str">
        <f t="array" aca="1" ref="CH61" ca="1">IF(OR((CH$60&gt;=$AU$11:$AU$74)*(CH$48&lt;=$AV$11:$AV$74)&gt;0),$B61,"")</f>
        <v/>
      </c>
      <c r="CI61" s="84" t="str">
        <f t="array" aca="1" ref="CI61" ca="1">IF(OR((CI$60&gt;=$AU$11:$AU$74)*(CI$48&lt;=$AV$11:$AV$74)&gt;0),$B61,"")</f>
        <v/>
      </c>
      <c r="CJ61" s="84" t="str">
        <f t="array" aca="1" ref="CJ61" ca="1">IF(OR((CJ$60&gt;=$AU$11:$AU$74)*(CJ$48&lt;=$AV$11:$AV$74)&gt;0),$B61,"")</f>
        <v/>
      </c>
      <c r="CK61" s="84" t="str">
        <f t="array" aca="1" ref="CK61" ca="1">IF(OR((CK$60&gt;=$AU$11:$AU$74)*(CK$48&lt;=$AV$11:$AV$74)&gt;0),$B61,"")</f>
        <v/>
      </c>
      <c r="CL61" s="84" t="str">
        <f t="array" aca="1" ref="CL61" ca="1">IF(OR((CL$60&gt;=$AU$11:$AU$74)*(CL$48&lt;=$AV$11:$AV$74)&gt;0),$B61,"")</f>
        <v/>
      </c>
      <c r="CM61" s="84" t="str">
        <f t="array" aca="1" ref="CM61" ca="1">IF(OR((CM$60&gt;=$AU$11:$AU$74)*(CM$48&lt;=$AV$11:$AV$74)&gt;0),$B61,"")</f>
        <v/>
      </c>
      <c r="CN61" s="84" t="str">
        <f t="array" aca="1" ref="CN61" ca="1">IF(OR((CN$60&gt;=$AU$11:$AU$74)*(CN$48&lt;=$AV$11:$AV$74)&gt;0),$B61,"")</f>
        <v/>
      </c>
      <c r="CO61" s="84" t="str">
        <f t="array" aca="1" ref="CO61" ca="1">IF(OR((CO$60&gt;=$AU$11:$AU$74)*(CO$48&lt;=$AV$11:$AV$74)&gt;0),$B61,"")</f>
        <v/>
      </c>
      <c r="CP61" s="84" t="str">
        <f t="array" aca="1" ref="CP61" ca="1">IF(OR((CP$60&gt;=$AU$11:$AU$74)*(CP$48&lt;=$AV$11:$AV$74)&gt;0),$B61,"")</f>
        <v/>
      </c>
      <c r="CQ61" s="84" t="str">
        <f t="array" aca="1" ref="CQ61" ca="1">IF(OR((CQ$60&gt;=$AU$11:$AU$74)*(CQ$48&lt;=$AV$11:$AV$74)&gt;0),$B61,"")</f>
        <v/>
      </c>
      <c r="CR61" s="84" t="str">
        <f t="array" aca="1" ref="CR61" ca="1">IF(OR((CR$60&gt;=$AU$11:$AU$74)*(CR$48&lt;=$AV$11:$AV$74)&gt;0),$B61,"")</f>
        <v/>
      </c>
      <c r="CS61" s="84" t="str">
        <f t="array" aca="1" ref="CS61" ca="1">IF(OR((CS$60&gt;=$AU$11:$AU$74)*(CS$48&lt;=$AV$11:$AV$74)&gt;0),$B61,"")</f>
        <v/>
      </c>
      <c r="CT61" s="84" t="str">
        <f t="array" aca="1" ref="CT61" ca="1">IF(OR((CT$60&gt;=$AU$11:$AU$74)*(CT$48&lt;=$AV$11:$AV$74)&gt;0),$B61,"")</f>
        <v/>
      </c>
      <c r="CU61" s="84" t="str">
        <f t="array" aca="1" ref="CU61" ca="1">IF(OR((CU$60&gt;=$AU$11:$AU$74)*(CU$48&lt;=$AV$11:$AV$74)&gt;0),$B61,"")</f>
        <v/>
      </c>
      <c r="CV61" s="84" t="str">
        <f t="array" aca="1" ref="CV61" ca="1">IF(OR((CV$60&gt;=$AU$11:$AU$74)*(CV$48&lt;=$AV$11:$AV$74)&gt;0),$B61,"")</f>
        <v/>
      </c>
      <c r="CW61" s="84" t="str">
        <f t="array" aca="1" ref="CW61" ca="1">IF(OR((CW$60&gt;=$AU$11:$AU$74)*(CW$48&lt;=$AV$11:$AV$74)&gt;0),$B61,"")</f>
        <v/>
      </c>
      <c r="CX61" s="84" t="str">
        <f t="array" aca="1" ref="CX61" ca="1">IF(OR((CX$60&gt;=$AU$11:$AU$74)*(CX$48&lt;=$AV$11:$AV$74)&gt;0),$B61,"")</f>
        <v/>
      </c>
      <c r="CY61" s="84" t="str">
        <f t="array" aca="1" ref="CY61" ca="1">IF(OR((CY$60&gt;=$AU$11:$AU$74)*(CY$48&lt;=$AV$11:$AV$74)&gt;0),$B61,"")</f>
        <v/>
      </c>
      <c r="CZ61" s="84" t="str">
        <f t="array" aca="1" ref="CZ61" ca="1">IF(OR((CZ$60&gt;=$AU$11:$AU$74)*(CZ$48&lt;=$AV$11:$AV$74)&gt;0),$B61,"")</f>
        <v/>
      </c>
      <c r="DA61" s="84" t="str">
        <f t="array" aca="1" ref="DA61" ca="1">IF(OR((DA$60&gt;=$AU$11:$AU$74)*(DA$48&lt;=$AV$11:$AV$74)&gt;0),$B61,"")</f>
        <v/>
      </c>
      <c r="DB61" s="84" t="str">
        <f t="array" aca="1" ref="DB61" ca="1">IF(OR((DB$60&gt;=$AU$11:$AU$74)*(DB$48&lt;=$AV$11:$AV$74)&gt;0),$B61,"")</f>
        <v/>
      </c>
      <c r="DC61" s="84" t="str">
        <f t="array" aca="1" ref="DC61" ca="1">IF(OR((DC$60&gt;=$AU$11:$AU$74)*(DC$48&lt;=$AV$11:$AV$74)&gt;0),$B61,"")</f>
        <v/>
      </c>
    </row>
    <row r="62" spans="1:107">
      <c r="A62" s="75" t="s">
        <v>168</v>
      </c>
      <c r="B62" s="74">
        <v>12</v>
      </c>
      <c r="C62" s="84" t="str">
        <f t="array" aca="1" ref="C62" ca="1">IF(OR((C$60&gt;=$AU$11:$AU$74)*(C$48&lt;=$AV$11:$AV$74)&gt;0),$B62,"")</f>
        <v/>
      </c>
      <c r="D62" s="84" t="str">
        <f t="array" aca="1" ref="D62" ca="1">IF(OR((D$60&gt;=$AU$11:$AU$74)*(D$48&lt;=$AV$11:$AV$74)&gt;0),$B62,"")</f>
        <v/>
      </c>
      <c r="E62" s="84" t="str">
        <f t="array" aca="1" ref="E62" ca="1">IF(OR((E$60&gt;=$AU$11:$AU$74)*(E$48&lt;=$AV$11:$AV$74)&gt;0),$B62,"")</f>
        <v/>
      </c>
      <c r="F62" s="84" t="str">
        <f t="array" aca="1" ref="F62" ca="1">IF(OR((F$60&gt;=$AU$11:$AU$74)*(F$48&lt;=$AV$11:$AV$74)&gt;0),$B62,"")</f>
        <v/>
      </c>
      <c r="G62" s="84" t="str">
        <f t="array" aca="1" ref="G62" ca="1">IF(OR((G$60&gt;=$AU$11:$AU$74)*(G$48&lt;=$AV$11:$AV$74)&gt;0),$B62,"")</f>
        <v/>
      </c>
      <c r="H62" s="84" t="str">
        <f t="array" aca="1" ref="H62" ca="1">IF(OR((H$60&gt;=$AU$11:$AU$74)*(H$48&lt;=$AV$11:$AV$74)&gt;0),$B62,"")</f>
        <v/>
      </c>
      <c r="I62" s="84" t="str">
        <f t="array" aca="1" ref="I62" ca="1">IF(OR((I$60&gt;=$AU$11:$AU$74)*(I$48&lt;=$AV$11:$AV$74)&gt;0),$B62,"")</f>
        <v/>
      </c>
      <c r="J62" s="84" t="str">
        <f t="array" aca="1" ref="J62" ca="1">IF(OR((J$60&gt;=$AU$11:$AU$74)*(J$48&lt;=$AV$11:$AV$74)&gt;0),$B62,"")</f>
        <v/>
      </c>
      <c r="K62" s="84" t="str">
        <f t="array" aca="1" ref="K62" ca="1">IF(OR((K$60&gt;=$AU$11:$AU$74)*(K$48&lt;=$AV$11:$AV$74)&gt;0),$B62,"")</f>
        <v/>
      </c>
      <c r="L62" s="84" t="str">
        <f t="array" aca="1" ref="L62" ca="1">IF(OR((L$60&gt;=$AU$11:$AU$74)*(L$48&lt;=$AV$11:$AV$74)&gt;0),$B62,"")</f>
        <v/>
      </c>
      <c r="M62" s="84" t="str">
        <f t="array" aca="1" ref="M62" ca="1">IF(OR((M$60&gt;=$AU$11:$AU$74)*(M$48&lt;=$AV$11:$AV$74)&gt;0),$B62,"")</f>
        <v/>
      </c>
      <c r="N62" s="84" t="str">
        <f t="array" aca="1" ref="N62" ca="1">IF(OR((N$60&gt;=$AU$11:$AU$74)*(N$48&lt;=$AV$11:$AV$74)&gt;0),$B62,"")</f>
        <v/>
      </c>
      <c r="O62" s="84" t="str">
        <f t="array" aca="1" ref="O62" ca="1">IF(OR((O$60&gt;=$AU$11:$AU$74)*(O$48&lt;=$AV$11:$AV$74)&gt;0),$B62,"")</f>
        <v/>
      </c>
      <c r="P62" s="84" t="str">
        <f t="array" aca="1" ref="P62" ca="1">IF(OR((P$60&gt;=$AU$11:$AU$74)*(P$48&lt;=$AV$11:$AV$74)&gt;0),$B62,"")</f>
        <v/>
      </c>
      <c r="Q62" s="84" t="str">
        <f t="array" aca="1" ref="Q62" ca="1">IF(OR((Q$60&gt;=$AU$11:$AU$74)*(Q$48&lt;=$AV$11:$AV$74)&gt;0),$B62,"")</f>
        <v/>
      </c>
      <c r="R62" s="84" t="str">
        <f t="array" aca="1" ref="R62" ca="1">IF(OR((R$60&gt;=$AU$11:$AU$74)*(R$48&lt;=$AV$11:$AV$74)&gt;0),$B62,"")</f>
        <v/>
      </c>
      <c r="S62" s="84" t="str">
        <f t="array" aca="1" ref="S62" ca="1">IF(OR((S$60&gt;=$AU$11:$AU$74)*(S$48&lt;=$AV$11:$AV$74)&gt;0),$B62,"")</f>
        <v/>
      </c>
      <c r="T62" s="84" t="str">
        <f t="array" aca="1" ref="T62" ca="1">IF(OR((T$60&gt;=$AU$11:$AU$74)*(T$48&lt;=$AV$11:$AV$74)&gt;0),$B62,"")</f>
        <v/>
      </c>
      <c r="U62" s="84" t="str">
        <f t="array" aca="1" ref="U62" ca="1">IF(OR((U$60&gt;=$AU$11:$AU$74)*(U$48&lt;=$AV$11:$AV$74)&gt;0),$B62,"")</f>
        <v/>
      </c>
      <c r="V62" s="84" t="str">
        <f t="array" aca="1" ref="V62" ca="1">IF(OR((V$60&gt;=$AU$11:$AU$74)*(V$48&lt;=$AV$11:$AV$74)&gt;0),$B62,"")</f>
        <v/>
      </c>
      <c r="W62" s="84" t="str">
        <f t="array" aca="1" ref="W62" ca="1">IF(OR((W$60&gt;=$AU$11:$AU$74)*(W$48&lt;=$AV$11:$AV$74)&gt;0),$B62,"")</f>
        <v/>
      </c>
      <c r="X62" s="84" t="str">
        <f t="array" aca="1" ref="X62" ca="1">IF(OR((X$60&gt;=$AU$11:$AU$74)*(X$48&lt;=$AV$11:$AV$74)&gt;0),$B62,"")</f>
        <v/>
      </c>
      <c r="Y62" s="84" t="str">
        <f t="array" aca="1" ref="Y62" ca="1">IF(OR((Y$60&gt;=$AU$11:$AU$74)*(Y$48&lt;=$AV$11:$AV$74)&gt;0),$B62,"")</f>
        <v/>
      </c>
      <c r="Z62" s="84" t="str">
        <f t="array" aca="1" ref="Z62" ca="1">IF(OR((Z$60&gt;=$AU$11:$AU$74)*(Z$48&lt;=$AV$11:$AV$74)&gt;0),$B62,"")</f>
        <v/>
      </c>
      <c r="AA62" s="84" t="str">
        <f t="array" aca="1" ref="AA62" ca="1">IF(OR((AA$60&gt;=$AU$11:$AU$74)*(AA$48&lt;=$AV$11:$AV$74)&gt;0),$B62,"")</f>
        <v/>
      </c>
      <c r="AB62" s="84" t="str">
        <f t="array" aca="1" ref="AB62" ca="1">IF(OR((AB$60&gt;=$AU$11:$AU$74)*(AB$48&lt;=$AV$11:$AV$74)&gt;0),$B62,"")</f>
        <v/>
      </c>
      <c r="AC62" s="84" t="str">
        <f t="array" aca="1" ref="AC62" ca="1">IF(OR((AC$60&gt;=$AU$11:$AU$74)*(AC$48&lt;=$AV$11:$AV$74)&gt;0),$B62,"")</f>
        <v/>
      </c>
      <c r="AD62" s="84" t="str">
        <f t="array" aca="1" ref="AD62" ca="1">IF(OR((AD$60&gt;=$AU$11:$AU$74)*(AD$48&lt;=$AV$11:$AV$74)&gt;0),$B62,"")</f>
        <v/>
      </c>
      <c r="AE62" s="84" t="str">
        <f t="array" aca="1" ref="AE62" ca="1">IF(OR((AE$60&gt;=$AU$11:$AU$74)*(AE$48&lt;=$AV$11:$AV$74)&gt;0),$B62,"")</f>
        <v/>
      </c>
      <c r="AF62" s="84" t="str">
        <f t="array" aca="1" ref="AF62" ca="1">IF(OR((AF$60&gt;=$AU$11:$AU$74)*(AF$48&lt;=$AV$11:$AV$74)&gt;0),$B62,"")</f>
        <v/>
      </c>
      <c r="AG62" s="84" t="str">
        <f t="array" aca="1" ref="AG62" ca="1">IF(OR((AG$60&gt;=$AU$11:$AU$74)*(AG$48&lt;=$AV$11:$AV$74)&gt;0),$B62,"")</f>
        <v/>
      </c>
      <c r="AH62" s="84" t="str">
        <f t="array" aca="1" ref="AH62" ca="1">IF(OR((AH$60&gt;=$AU$11:$AU$74)*(AH$48&lt;=$AV$11:$AV$74)&gt;0),$B62,"")</f>
        <v/>
      </c>
      <c r="AI62" s="84" t="str">
        <f t="array" aca="1" ref="AI62" ca="1">IF(OR((AI$60&gt;=$AU$11:$AU$74)*(AI$48&lt;=$AV$11:$AV$74)&gt;0),$B62,"")</f>
        <v/>
      </c>
      <c r="AJ62" s="85"/>
      <c r="AK62" s="75" t="s">
        <v>168</v>
      </c>
      <c r="AL62" s="74">
        <v>12</v>
      </c>
      <c r="AM62" s="84" t="str">
        <f t="array" aca="1" ref="AM62" ca="1">IF(OR((AM$60&gt;=$AU$11:$AU$74)*(AM$48&lt;=$AV$11:$AV$74)&gt;0),$B62,"")</f>
        <v/>
      </c>
      <c r="AN62" s="84" t="str">
        <f t="array" aca="1" ref="AN62" ca="1">IF(OR((AN$60&gt;=$AU$11:$AU$74)*(AN$48&lt;=$AV$11:$AV$74)&gt;0),$B62,"")</f>
        <v/>
      </c>
      <c r="AO62" s="84" t="str">
        <f t="array" aca="1" ref="AO62" ca="1">IF(OR((AO$60&gt;=$AU$11:$AU$74)*(AO$48&lt;=$AV$11:$AV$74)&gt;0),$B62,"")</f>
        <v/>
      </c>
      <c r="AP62" s="84" t="str">
        <f t="array" aca="1" ref="AP62" ca="1">IF(OR((AP$60&gt;=$AU$11:$AU$74)*(AP$48&lt;=$AV$11:$AV$74)&gt;0),$B62,"")</f>
        <v/>
      </c>
      <c r="AQ62" s="84" t="str">
        <f t="array" aca="1" ref="AQ62" ca="1">IF(OR((AQ$60&gt;=$AU$11:$AU$74)*(AQ$48&lt;=$AV$11:$AV$74)&gt;0),$B62,"")</f>
        <v/>
      </c>
      <c r="AR62" s="84" t="str">
        <f t="array" aca="1" ref="AR62" ca="1">IF(OR((AR$60&gt;=$AU$11:$AU$74)*(AR$48&lt;=$AV$11:$AV$74)&gt;0),$B62,"")</f>
        <v/>
      </c>
      <c r="AS62" s="84" t="str">
        <f t="array" aca="1" ref="AS62" ca="1">IF(OR((AS$60&gt;=$AU$11:$AU$74)*(AS$48&lt;=$AV$11:$AV$74)&gt;0),$B62,"")</f>
        <v/>
      </c>
      <c r="AT62" s="84" t="str">
        <f t="array" aca="1" ref="AT62" ca="1">IF(OR((AT$60&gt;=$AU$11:$AU$74)*(AT$48&lt;=$AV$11:$AV$74)&gt;0),$B62,"")</f>
        <v/>
      </c>
      <c r="AU62" s="84" t="str">
        <f t="array" aca="1" ref="AU62" ca="1">IF(OR((AU$60&gt;=$AU$11:$AU$74)*(AU$48&lt;=$AV$11:$AV$74)&gt;0),$B62,"")</f>
        <v/>
      </c>
      <c r="AV62" s="84" t="str">
        <f t="array" aca="1" ref="AV62" ca="1">IF(OR((AV$60&gt;=$AU$11:$AU$74)*(AV$48&lt;=$AV$11:$AV$74)&gt;0),$B62,"")</f>
        <v/>
      </c>
      <c r="AW62" s="84" t="str">
        <f t="array" aca="1" ref="AW62" ca="1">IF(OR((AW$60&gt;=$AU$11:$AU$74)*(AW$48&lt;=$AV$11:$AV$74)&gt;0),$B62,"")</f>
        <v/>
      </c>
      <c r="AX62" s="84" t="str">
        <f t="array" aca="1" ref="AX62" ca="1">IF(OR((AX$60&gt;=$AU$11:$AU$74)*(AX$48&lt;=$AV$11:$AV$74)&gt;0),$B62,"")</f>
        <v/>
      </c>
      <c r="AY62" s="84" t="str">
        <f t="array" aca="1" ref="AY62" ca="1">IF(OR((AY$60&gt;=$AU$11:$AU$74)*(AY$48&lt;=$AV$11:$AV$74)&gt;0),$B62,"")</f>
        <v/>
      </c>
      <c r="AZ62" s="84" t="str">
        <f t="array" aca="1" ref="AZ62" ca="1">IF(OR((AZ$60&gt;=$AU$11:$AU$74)*(AZ$48&lt;=$AV$11:$AV$74)&gt;0),$B62,"")</f>
        <v/>
      </c>
      <c r="BA62" s="84" t="str">
        <f t="array" aca="1" ref="BA62" ca="1">IF(OR((BA$60&gt;=$AU$11:$AU$74)*(BA$48&lt;=$AV$11:$AV$74)&gt;0),$B62,"")</f>
        <v/>
      </c>
      <c r="BB62" s="84" t="str">
        <f t="array" aca="1" ref="BB62" ca="1">IF(OR((BB$60&gt;=$AU$11:$AU$74)*(BB$48&lt;=$AV$11:$AV$74)&gt;0),$B62,"")</f>
        <v/>
      </c>
      <c r="BC62" s="84" t="str">
        <f t="array" aca="1" ref="BC62" ca="1">IF(OR((BC$60&gt;=$AU$11:$AU$74)*(BC$48&lt;=$AV$11:$AV$74)&gt;0),$B62,"")</f>
        <v/>
      </c>
      <c r="BD62" s="84" t="str">
        <f t="array" aca="1" ref="BD62" ca="1">IF(OR((BD$60&gt;=$AU$11:$AU$74)*(BD$48&lt;=$AV$11:$AV$74)&gt;0),$B62,"")</f>
        <v/>
      </c>
      <c r="BE62" s="84" t="str">
        <f t="array" aca="1" ref="BE62" ca="1">IF(OR((BE$60&gt;=$AU$11:$AU$74)*(BE$48&lt;=$AV$11:$AV$74)&gt;0),$B62,"")</f>
        <v/>
      </c>
      <c r="BF62" s="84" t="str">
        <f t="array" aca="1" ref="BF62" ca="1">IF(OR((BF$60&gt;=$AU$11:$AU$74)*(BF$48&lt;=$AV$11:$AV$74)&gt;0),$B62,"")</f>
        <v/>
      </c>
      <c r="BG62" s="84" t="str">
        <f t="array" aca="1" ref="BG62" ca="1">IF(OR((BG$60&gt;=$AU$11:$AU$74)*(BG$48&lt;=$AV$11:$AV$74)&gt;0),$B62,"")</f>
        <v/>
      </c>
      <c r="BH62" s="84" t="str">
        <f t="array" aca="1" ref="BH62" ca="1">IF(OR((BH$60&gt;=$AU$11:$AU$74)*(BH$48&lt;=$AV$11:$AV$74)&gt;0),$B62,"")</f>
        <v/>
      </c>
      <c r="BI62" s="84" t="str">
        <f t="array" aca="1" ref="BI62" ca="1">IF(OR((BI$60&gt;=$AU$11:$AU$74)*(BI$48&lt;=$AV$11:$AV$74)&gt;0),$B62,"")</f>
        <v/>
      </c>
      <c r="BJ62" s="84" t="str">
        <f t="array" aca="1" ref="BJ62" ca="1">IF(OR((BJ$60&gt;=$AU$11:$AU$74)*(BJ$48&lt;=$AV$11:$AV$74)&gt;0),$B62,"")</f>
        <v/>
      </c>
      <c r="BK62" s="84" t="str">
        <f t="array" aca="1" ref="BK62" ca="1">IF(OR((BK$60&gt;=$AU$11:$AU$74)*(BK$48&lt;=$AV$11:$AV$74)&gt;0),$B62,"")</f>
        <v/>
      </c>
      <c r="BL62" s="84" t="str">
        <f t="array" aca="1" ref="BL62" ca="1">IF(OR((BL$60&gt;=$AU$11:$AU$74)*(BL$48&lt;=$AV$11:$AV$74)&gt;0),$B62,"")</f>
        <v/>
      </c>
      <c r="BM62" s="84" t="str">
        <f t="array" aca="1" ref="BM62" ca="1">IF(OR((BM$60&gt;=$AU$11:$AU$74)*(BM$48&lt;=$AV$11:$AV$74)&gt;0),$B62,"")</f>
        <v/>
      </c>
      <c r="BN62" s="84" t="str">
        <f t="array" aca="1" ref="BN62" ca="1">IF(OR((BN$60&gt;=$AU$11:$AU$74)*(BN$48&lt;=$AV$11:$AV$74)&gt;0),$B62,"")</f>
        <v/>
      </c>
      <c r="BO62" s="84" t="str">
        <f t="array" aca="1" ref="BO62" ca="1">IF(OR((BO$60&gt;=$AU$11:$AU$74)*(BO$48&lt;=$AV$11:$AV$74)&gt;0),$B62,"")</f>
        <v/>
      </c>
      <c r="BP62" s="84" t="str">
        <f t="array" aca="1" ref="BP62" ca="1">IF(OR((BP$60&gt;=$AU$11:$AU$74)*(BP$48&lt;=$AV$11:$AV$74)&gt;0),$B62,"")</f>
        <v/>
      </c>
      <c r="BQ62" s="84" t="str">
        <f t="array" aca="1" ref="BQ62" ca="1">IF(OR((BQ$60&gt;=$AU$11:$AU$74)*(BQ$48&lt;=$AV$11:$AV$74)&gt;0),$B62,"")</f>
        <v/>
      </c>
      <c r="BR62" s="84" t="str">
        <f t="array" aca="1" ref="BR62" ca="1">IF(OR((BR$60&gt;=$AU$11:$AU$74)*(BR$48&lt;=$AV$11:$AV$74)&gt;0),$B62,"")</f>
        <v/>
      </c>
      <c r="BS62" s="84" t="str">
        <f t="array" aca="1" ref="BS62" ca="1">IF(OR((BS$60&gt;=$AU$11:$AU$74)*(BS$48&lt;=$AV$11:$AV$74)&gt;0),$B62,"")</f>
        <v/>
      </c>
      <c r="BU62" s="75" t="s">
        <v>168</v>
      </c>
      <c r="BV62" s="74">
        <v>12</v>
      </c>
      <c r="BW62" s="84" t="str">
        <f t="array" aca="1" ref="BW62" ca="1">IF(OR((BW$60&gt;=$AU$11:$AU$74)*(BW$48&lt;=$AV$11:$AV$74)&gt;0),$B62,"")</f>
        <v/>
      </c>
      <c r="BX62" s="84" t="str">
        <f t="array" aca="1" ref="BX62" ca="1">IF(OR((BX$60&gt;=$AU$11:$AU$74)*(BX$48&lt;=$AV$11:$AV$74)&gt;0),$B62,"")</f>
        <v/>
      </c>
      <c r="BY62" s="84" t="str">
        <f t="array" aca="1" ref="BY62" ca="1">IF(OR((BY$60&gt;=$AU$11:$AU$74)*(BY$48&lt;=$AV$11:$AV$74)&gt;0),$B62,"")</f>
        <v/>
      </c>
      <c r="BZ62" s="84" t="str">
        <f t="array" aca="1" ref="BZ62" ca="1">IF(OR((BZ$60&gt;=$AU$11:$AU$74)*(BZ$48&lt;=$AV$11:$AV$74)&gt;0),$B62,"")</f>
        <v/>
      </c>
      <c r="CA62" s="84" t="str">
        <f t="array" aca="1" ref="CA62" ca="1">IF(OR((CA$60&gt;=$AU$11:$AU$74)*(CA$48&lt;=$AV$11:$AV$74)&gt;0),$B62,"")</f>
        <v/>
      </c>
      <c r="CB62" s="84" t="str">
        <f t="array" aca="1" ref="CB62" ca="1">IF(OR((CB$60&gt;=$AU$11:$AU$74)*(CB$48&lt;=$AV$11:$AV$74)&gt;0),$B62,"")</f>
        <v/>
      </c>
      <c r="CC62" s="84" t="str">
        <f t="array" aca="1" ref="CC62" ca="1">IF(OR((CC$60&gt;=$AU$11:$AU$74)*(CC$48&lt;=$AV$11:$AV$74)&gt;0),$B62,"")</f>
        <v/>
      </c>
      <c r="CD62" s="84" t="str">
        <f t="array" aca="1" ref="CD62" ca="1">IF(OR((CD$60&gt;=$AU$11:$AU$74)*(CD$48&lt;=$AV$11:$AV$74)&gt;0),$B62,"")</f>
        <v/>
      </c>
      <c r="CE62" s="84" t="str">
        <f t="array" aca="1" ref="CE62" ca="1">IF(OR((CE$60&gt;=$AU$11:$AU$74)*(CE$48&lt;=$AV$11:$AV$74)&gt;0),$B62,"")</f>
        <v/>
      </c>
      <c r="CF62" s="84" t="str">
        <f t="array" aca="1" ref="CF62" ca="1">IF(OR((CF$60&gt;=$AU$11:$AU$74)*(CF$48&lt;=$AV$11:$AV$74)&gt;0),$B62,"")</f>
        <v/>
      </c>
      <c r="CG62" s="84" t="str">
        <f t="array" aca="1" ref="CG62" ca="1">IF(OR((CG$60&gt;=$AU$11:$AU$74)*(CG$48&lt;=$AV$11:$AV$74)&gt;0),$B62,"")</f>
        <v/>
      </c>
      <c r="CH62" s="84" t="str">
        <f t="array" aca="1" ref="CH62" ca="1">IF(OR((CH$60&gt;=$AU$11:$AU$74)*(CH$48&lt;=$AV$11:$AV$74)&gt;0),$B62,"")</f>
        <v/>
      </c>
      <c r="CI62" s="84" t="str">
        <f t="array" aca="1" ref="CI62" ca="1">IF(OR((CI$60&gt;=$AU$11:$AU$74)*(CI$48&lt;=$AV$11:$AV$74)&gt;0),$B62,"")</f>
        <v/>
      </c>
      <c r="CJ62" s="84" t="str">
        <f t="array" aca="1" ref="CJ62" ca="1">IF(OR((CJ$60&gt;=$AU$11:$AU$74)*(CJ$48&lt;=$AV$11:$AV$74)&gt;0),$B62,"")</f>
        <v/>
      </c>
      <c r="CK62" s="84" t="str">
        <f t="array" aca="1" ref="CK62" ca="1">IF(OR((CK$60&gt;=$AU$11:$AU$74)*(CK$48&lt;=$AV$11:$AV$74)&gt;0),$B62,"")</f>
        <v/>
      </c>
      <c r="CL62" s="84" t="str">
        <f t="array" aca="1" ref="CL62" ca="1">IF(OR((CL$60&gt;=$AU$11:$AU$74)*(CL$48&lt;=$AV$11:$AV$74)&gt;0),$B62,"")</f>
        <v/>
      </c>
      <c r="CM62" s="84" t="str">
        <f t="array" aca="1" ref="CM62" ca="1">IF(OR((CM$60&gt;=$AU$11:$AU$74)*(CM$48&lt;=$AV$11:$AV$74)&gt;0),$B62,"")</f>
        <v/>
      </c>
      <c r="CN62" s="84" t="str">
        <f t="array" aca="1" ref="CN62" ca="1">IF(OR((CN$60&gt;=$AU$11:$AU$74)*(CN$48&lt;=$AV$11:$AV$74)&gt;0),$B62,"")</f>
        <v/>
      </c>
      <c r="CO62" s="84" t="str">
        <f t="array" aca="1" ref="CO62" ca="1">IF(OR((CO$60&gt;=$AU$11:$AU$74)*(CO$48&lt;=$AV$11:$AV$74)&gt;0),$B62,"")</f>
        <v/>
      </c>
      <c r="CP62" s="84" t="str">
        <f t="array" aca="1" ref="CP62" ca="1">IF(OR((CP$60&gt;=$AU$11:$AU$74)*(CP$48&lt;=$AV$11:$AV$74)&gt;0),$B62,"")</f>
        <v/>
      </c>
      <c r="CQ62" s="84" t="str">
        <f t="array" aca="1" ref="CQ62" ca="1">IF(OR((CQ$60&gt;=$AU$11:$AU$74)*(CQ$48&lt;=$AV$11:$AV$74)&gt;0),$B62,"")</f>
        <v/>
      </c>
      <c r="CR62" s="84" t="str">
        <f t="array" aca="1" ref="CR62" ca="1">IF(OR((CR$60&gt;=$AU$11:$AU$74)*(CR$48&lt;=$AV$11:$AV$74)&gt;0),$B62,"")</f>
        <v/>
      </c>
      <c r="CS62" s="84" t="str">
        <f t="array" aca="1" ref="CS62" ca="1">IF(OR((CS$60&gt;=$AU$11:$AU$74)*(CS$48&lt;=$AV$11:$AV$74)&gt;0),$B62,"")</f>
        <v/>
      </c>
      <c r="CT62" s="84" t="str">
        <f t="array" aca="1" ref="CT62" ca="1">IF(OR((CT$60&gt;=$AU$11:$AU$74)*(CT$48&lt;=$AV$11:$AV$74)&gt;0),$B62,"")</f>
        <v/>
      </c>
      <c r="CU62" s="84" t="str">
        <f t="array" aca="1" ref="CU62" ca="1">IF(OR((CU$60&gt;=$AU$11:$AU$74)*(CU$48&lt;=$AV$11:$AV$74)&gt;0),$B62,"")</f>
        <v/>
      </c>
      <c r="CV62" s="84" t="str">
        <f t="array" aca="1" ref="CV62" ca="1">IF(OR((CV$60&gt;=$AU$11:$AU$74)*(CV$48&lt;=$AV$11:$AV$74)&gt;0),$B62,"")</f>
        <v/>
      </c>
      <c r="CW62" s="84" t="str">
        <f t="array" aca="1" ref="CW62" ca="1">IF(OR((CW$60&gt;=$AU$11:$AU$74)*(CW$48&lt;=$AV$11:$AV$74)&gt;0),$B62,"")</f>
        <v/>
      </c>
      <c r="CX62" s="84" t="str">
        <f t="array" aca="1" ref="CX62" ca="1">IF(OR((CX$60&gt;=$AU$11:$AU$74)*(CX$48&lt;=$AV$11:$AV$74)&gt;0),$B62,"")</f>
        <v/>
      </c>
      <c r="CY62" s="84" t="str">
        <f t="array" aca="1" ref="CY62" ca="1">IF(OR((CY$60&gt;=$AU$11:$AU$74)*(CY$48&lt;=$AV$11:$AV$74)&gt;0),$B62,"")</f>
        <v/>
      </c>
      <c r="CZ62" s="84" t="str">
        <f t="array" aca="1" ref="CZ62" ca="1">IF(OR((CZ$60&gt;=$AU$11:$AU$74)*(CZ$48&lt;=$AV$11:$AV$74)&gt;0),$B62,"")</f>
        <v/>
      </c>
      <c r="DA62" s="84" t="str">
        <f t="array" aca="1" ref="DA62" ca="1">IF(OR((DA$60&gt;=$AU$11:$AU$74)*(DA$48&lt;=$AV$11:$AV$74)&gt;0),$B62,"")</f>
        <v/>
      </c>
      <c r="DB62" s="84" t="str">
        <f t="array" aca="1" ref="DB62" ca="1">IF(OR((DB$60&gt;=$AU$11:$AU$74)*(DB$48&lt;=$AV$11:$AV$74)&gt;0),$B62,"")</f>
        <v/>
      </c>
      <c r="DC62" s="84" t="str">
        <f t="array" aca="1" ref="DC62" ca="1">IF(OR((DC$60&gt;=$AU$11:$AU$74)*(DC$48&lt;=$AV$11:$AV$74)&gt;0),$B62,"")</f>
        <v/>
      </c>
    </row>
    <row r="63" spans="1:107">
      <c r="A63" s="75" t="s">
        <v>169</v>
      </c>
      <c r="B63" s="74">
        <v>4</v>
      </c>
      <c r="C63" s="84" t="str">
        <f t="array" aca="1" ref="C63" ca="1">IF(OR((C$60&gt;=$AU$11:$AU$74)*(C$48&lt;=$AV$11:$AV$74)&gt;0),$B63,"")</f>
        <v/>
      </c>
      <c r="D63" s="84" t="str">
        <f t="array" aca="1" ref="D63" ca="1">IF(OR((D$60&gt;=$AU$11:$AU$74)*(D$48&lt;=$AV$11:$AV$74)&gt;0),$B63,"")</f>
        <v/>
      </c>
      <c r="E63" s="84" t="str">
        <f t="array" aca="1" ref="E63" ca="1">IF(OR((E$60&gt;=$AU$11:$AU$74)*(E$48&lt;=$AV$11:$AV$74)&gt;0),$B63,"")</f>
        <v/>
      </c>
      <c r="F63" s="84" t="str">
        <f t="array" aca="1" ref="F63" ca="1">IF(OR((F$60&gt;=$AU$11:$AU$74)*(F$48&lt;=$AV$11:$AV$74)&gt;0),$B63,"")</f>
        <v/>
      </c>
      <c r="G63" s="84" t="str">
        <f t="array" aca="1" ref="G63" ca="1">IF(OR((G$60&gt;=$AU$11:$AU$74)*(G$48&lt;=$AV$11:$AV$74)&gt;0),$B63,"")</f>
        <v/>
      </c>
      <c r="H63" s="84" t="str">
        <f t="array" aca="1" ref="H63" ca="1">IF(OR((H$60&gt;=$AU$11:$AU$74)*(H$48&lt;=$AV$11:$AV$74)&gt;0),$B63,"")</f>
        <v/>
      </c>
      <c r="I63" s="84" t="str">
        <f t="array" aca="1" ref="I63" ca="1">IF(OR((I$60&gt;=$AU$11:$AU$74)*(I$48&lt;=$AV$11:$AV$74)&gt;0),$B63,"")</f>
        <v/>
      </c>
      <c r="J63" s="84" t="str">
        <f t="array" aca="1" ref="J63" ca="1">IF(OR((J$60&gt;=$AU$11:$AU$74)*(J$48&lt;=$AV$11:$AV$74)&gt;0),$B63,"")</f>
        <v/>
      </c>
      <c r="K63" s="84" t="str">
        <f t="array" aca="1" ref="K63" ca="1">IF(OR((K$60&gt;=$AU$11:$AU$74)*(K$48&lt;=$AV$11:$AV$74)&gt;0),$B63,"")</f>
        <v/>
      </c>
      <c r="L63" s="84" t="str">
        <f t="array" aca="1" ref="L63" ca="1">IF(OR((L$60&gt;=$AU$11:$AU$74)*(L$48&lt;=$AV$11:$AV$74)&gt;0),$B63,"")</f>
        <v/>
      </c>
      <c r="M63" s="84" t="str">
        <f t="array" aca="1" ref="M63" ca="1">IF(OR((M$60&gt;=$AU$11:$AU$74)*(M$48&lt;=$AV$11:$AV$74)&gt;0),$B63,"")</f>
        <v/>
      </c>
      <c r="N63" s="84" t="str">
        <f t="array" aca="1" ref="N63" ca="1">IF(OR((N$60&gt;=$AU$11:$AU$74)*(N$48&lt;=$AV$11:$AV$74)&gt;0),$B63,"")</f>
        <v/>
      </c>
      <c r="O63" s="84" t="str">
        <f t="array" aca="1" ref="O63" ca="1">IF(OR((O$60&gt;=$AU$11:$AU$74)*(O$48&lt;=$AV$11:$AV$74)&gt;0),$B63,"")</f>
        <v/>
      </c>
      <c r="P63" s="84" t="str">
        <f t="array" aca="1" ref="P63" ca="1">IF(OR((P$60&gt;=$AU$11:$AU$74)*(P$48&lt;=$AV$11:$AV$74)&gt;0),$B63,"")</f>
        <v/>
      </c>
      <c r="Q63" s="84" t="str">
        <f t="array" aca="1" ref="Q63" ca="1">IF(OR((Q$60&gt;=$AU$11:$AU$74)*(Q$48&lt;=$AV$11:$AV$74)&gt;0),$B63,"")</f>
        <v/>
      </c>
      <c r="R63" s="84" t="str">
        <f t="array" aca="1" ref="R63" ca="1">IF(OR((R$60&gt;=$AU$11:$AU$74)*(R$48&lt;=$AV$11:$AV$74)&gt;0),$B63,"")</f>
        <v/>
      </c>
      <c r="S63" s="84" t="str">
        <f t="array" aca="1" ref="S63" ca="1">IF(OR((S$60&gt;=$AU$11:$AU$74)*(S$48&lt;=$AV$11:$AV$74)&gt;0),$B63,"")</f>
        <v/>
      </c>
      <c r="T63" s="84" t="str">
        <f t="array" aca="1" ref="T63" ca="1">IF(OR((T$60&gt;=$AU$11:$AU$74)*(T$48&lt;=$AV$11:$AV$74)&gt;0),$B63,"")</f>
        <v/>
      </c>
      <c r="U63" s="84" t="str">
        <f t="array" aca="1" ref="U63" ca="1">IF(OR((U$60&gt;=$AU$11:$AU$74)*(U$48&lt;=$AV$11:$AV$74)&gt;0),$B63,"")</f>
        <v/>
      </c>
      <c r="V63" s="84" t="str">
        <f t="array" aca="1" ref="V63" ca="1">IF(OR((V$60&gt;=$AU$11:$AU$74)*(V$48&lt;=$AV$11:$AV$74)&gt;0),$B63,"")</f>
        <v/>
      </c>
      <c r="W63" s="84" t="str">
        <f t="array" aca="1" ref="W63" ca="1">IF(OR((W$60&gt;=$AU$11:$AU$74)*(W$48&lt;=$AV$11:$AV$74)&gt;0),$B63,"")</f>
        <v/>
      </c>
      <c r="X63" s="84" t="str">
        <f t="array" aca="1" ref="X63" ca="1">IF(OR((X$60&gt;=$AU$11:$AU$74)*(X$48&lt;=$AV$11:$AV$74)&gt;0),$B63,"")</f>
        <v/>
      </c>
      <c r="Y63" s="84" t="str">
        <f t="array" aca="1" ref="Y63" ca="1">IF(OR((Y$60&gt;=$AU$11:$AU$74)*(Y$48&lt;=$AV$11:$AV$74)&gt;0),$B63,"")</f>
        <v/>
      </c>
      <c r="Z63" s="84" t="str">
        <f t="array" aca="1" ref="Z63" ca="1">IF(OR((Z$60&gt;=$AU$11:$AU$74)*(Z$48&lt;=$AV$11:$AV$74)&gt;0),$B63,"")</f>
        <v/>
      </c>
      <c r="AA63" s="84" t="str">
        <f t="array" aca="1" ref="AA63" ca="1">IF(OR((AA$60&gt;=$AU$11:$AU$74)*(AA$48&lt;=$AV$11:$AV$74)&gt;0),$B63,"")</f>
        <v/>
      </c>
      <c r="AB63" s="84" t="str">
        <f t="array" aca="1" ref="AB63" ca="1">IF(OR((AB$60&gt;=$AU$11:$AU$74)*(AB$48&lt;=$AV$11:$AV$74)&gt;0),$B63,"")</f>
        <v/>
      </c>
      <c r="AC63" s="84" t="str">
        <f t="array" aca="1" ref="AC63" ca="1">IF(OR((AC$60&gt;=$AU$11:$AU$74)*(AC$48&lt;=$AV$11:$AV$74)&gt;0),$B63,"")</f>
        <v/>
      </c>
      <c r="AD63" s="84" t="str">
        <f t="array" aca="1" ref="AD63" ca="1">IF(OR((AD$60&gt;=$AU$11:$AU$74)*(AD$48&lt;=$AV$11:$AV$74)&gt;0),$B63,"")</f>
        <v/>
      </c>
      <c r="AE63" s="84" t="str">
        <f t="array" aca="1" ref="AE63" ca="1">IF(OR((AE$60&gt;=$AU$11:$AU$74)*(AE$48&lt;=$AV$11:$AV$74)&gt;0),$B63,"")</f>
        <v/>
      </c>
      <c r="AF63" s="84" t="str">
        <f t="array" aca="1" ref="AF63" ca="1">IF(OR((AF$60&gt;=$AU$11:$AU$74)*(AF$48&lt;=$AV$11:$AV$74)&gt;0),$B63,"")</f>
        <v/>
      </c>
      <c r="AG63" s="84" t="str">
        <f t="array" aca="1" ref="AG63" ca="1">IF(OR((AG$60&gt;=$AU$11:$AU$74)*(AG$48&lt;=$AV$11:$AV$74)&gt;0),$B63,"")</f>
        <v/>
      </c>
      <c r="AH63" s="84" t="str">
        <f t="array" aca="1" ref="AH63" ca="1">IF(OR((AH$60&gt;=$AU$11:$AU$74)*(AH$48&lt;=$AV$11:$AV$74)&gt;0),$B63,"")</f>
        <v/>
      </c>
      <c r="AI63" s="84" t="str">
        <f t="array" aca="1" ref="AI63" ca="1">IF(OR((AI$60&gt;=$AU$11:$AU$74)*(AI$48&lt;=$AV$11:$AV$74)&gt;0),$B63,"")</f>
        <v/>
      </c>
      <c r="AJ63" s="85"/>
      <c r="AK63" s="75" t="s">
        <v>169</v>
      </c>
      <c r="AL63" s="74">
        <v>4</v>
      </c>
      <c r="AM63" s="84" t="str">
        <f t="array" aca="1" ref="AM63" ca="1">IF(OR((AM$60&gt;=$AU$11:$AU$74)*(AM$48&lt;=$AV$11:$AV$74)&gt;0),$B63,"")</f>
        <v/>
      </c>
      <c r="AN63" s="84" t="str">
        <f t="array" aca="1" ref="AN63" ca="1">IF(OR((AN$60&gt;=$AU$11:$AU$74)*(AN$48&lt;=$AV$11:$AV$74)&gt;0),$B63,"")</f>
        <v/>
      </c>
      <c r="AO63" s="84" t="str">
        <f t="array" aca="1" ref="AO63" ca="1">IF(OR((AO$60&gt;=$AU$11:$AU$74)*(AO$48&lt;=$AV$11:$AV$74)&gt;0),$B63,"")</f>
        <v/>
      </c>
      <c r="AP63" s="84" t="str">
        <f t="array" aca="1" ref="AP63" ca="1">IF(OR((AP$60&gt;=$AU$11:$AU$74)*(AP$48&lt;=$AV$11:$AV$74)&gt;0),$B63,"")</f>
        <v/>
      </c>
      <c r="AQ63" s="84" t="str">
        <f t="array" aca="1" ref="AQ63" ca="1">IF(OR((AQ$60&gt;=$AU$11:$AU$74)*(AQ$48&lt;=$AV$11:$AV$74)&gt;0),$B63,"")</f>
        <v/>
      </c>
      <c r="AR63" s="84" t="str">
        <f t="array" aca="1" ref="AR63" ca="1">IF(OR((AR$60&gt;=$AU$11:$AU$74)*(AR$48&lt;=$AV$11:$AV$74)&gt;0),$B63,"")</f>
        <v/>
      </c>
      <c r="AS63" s="84" t="str">
        <f t="array" aca="1" ref="AS63" ca="1">IF(OR((AS$60&gt;=$AU$11:$AU$74)*(AS$48&lt;=$AV$11:$AV$74)&gt;0),$B63,"")</f>
        <v/>
      </c>
      <c r="AT63" s="84" t="str">
        <f t="array" aca="1" ref="AT63" ca="1">IF(OR((AT$60&gt;=$AU$11:$AU$74)*(AT$48&lt;=$AV$11:$AV$74)&gt;0),$B63,"")</f>
        <v/>
      </c>
      <c r="AU63" s="84" t="str">
        <f t="array" aca="1" ref="AU63" ca="1">IF(OR((AU$60&gt;=$AU$11:$AU$74)*(AU$48&lt;=$AV$11:$AV$74)&gt;0),$B63,"")</f>
        <v/>
      </c>
      <c r="AV63" s="84" t="str">
        <f t="array" aca="1" ref="AV63" ca="1">IF(OR((AV$60&gt;=$AU$11:$AU$74)*(AV$48&lt;=$AV$11:$AV$74)&gt;0),$B63,"")</f>
        <v/>
      </c>
      <c r="AW63" s="84" t="str">
        <f t="array" aca="1" ref="AW63" ca="1">IF(OR((AW$60&gt;=$AU$11:$AU$74)*(AW$48&lt;=$AV$11:$AV$74)&gt;0),$B63,"")</f>
        <v/>
      </c>
      <c r="AX63" s="84" t="str">
        <f t="array" aca="1" ref="AX63" ca="1">IF(OR((AX$60&gt;=$AU$11:$AU$74)*(AX$48&lt;=$AV$11:$AV$74)&gt;0),$B63,"")</f>
        <v/>
      </c>
      <c r="AY63" s="84" t="str">
        <f t="array" aca="1" ref="AY63" ca="1">IF(OR((AY$60&gt;=$AU$11:$AU$74)*(AY$48&lt;=$AV$11:$AV$74)&gt;0),$B63,"")</f>
        <v/>
      </c>
      <c r="AZ63" s="84" t="str">
        <f t="array" aca="1" ref="AZ63" ca="1">IF(OR((AZ$60&gt;=$AU$11:$AU$74)*(AZ$48&lt;=$AV$11:$AV$74)&gt;0),$B63,"")</f>
        <v/>
      </c>
      <c r="BA63" s="84" t="str">
        <f t="array" aca="1" ref="BA63" ca="1">IF(OR((BA$60&gt;=$AU$11:$AU$74)*(BA$48&lt;=$AV$11:$AV$74)&gt;0),$B63,"")</f>
        <v/>
      </c>
      <c r="BB63" s="84" t="str">
        <f t="array" aca="1" ref="BB63" ca="1">IF(OR((BB$60&gt;=$AU$11:$AU$74)*(BB$48&lt;=$AV$11:$AV$74)&gt;0),$B63,"")</f>
        <v/>
      </c>
      <c r="BC63" s="84" t="str">
        <f t="array" aca="1" ref="BC63" ca="1">IF(OR((BC$60&gt;=$AU$11:$AU$74)*(BC$48&lt;=$AV$11:$AV$74)&gt;0),$B63,"")</f>
        <v/>
      </c>
      <c r="BD63" s="84" t="str">
        <f t="array" aca="1" ref="BD63" ca="1">IF(OR((BD$60&gt;=$AU$11:$AU$74)*(BD$48&lt;=$AV$11:$AV$74)&gt;0),$B63,"")</f>
        <v/>
      </c>
      <c r="BE63" s="84" t="str">
        <f t="array" aca="1" ref="BE63" ca="1">IF(OR((BE$60&gt;=$AU$11:$AU$74)*(BE$48&lt;=$AV$11:$AV$74)&gt;0),$B63,"")</f>
        <v/>
      </c>
      <c r="BF63" s="84" t="str">
        <f t="array" aca="1" ref="BF63" ca="1">IF(OR((BF$60&gt;=$AU$11:$AU$74)*(BF$48&lt;=$AV$11:$AV$74)&gt;0),$B63,"")</f>
        <v/>
      </c>
      <c r="BG63" s="84" t="str">
        <f t="array" aca="1" ref="BG63" ca="1">IF(OR((BG$60&gt;=$AU$11:$AU$74)*(BG$48&lt;=$AV$11:$AV$74)&gt;0),$B63,"")</f>
        <v/>
      </c>
      <c r="BH63" s="84" t="str">
        <f t="array" aca="1" ref="BH63" ca="1">IF(OR((BH$60&gt;=$AU$11:$AU$74)*(BH$48&lt;=$AV$11:$AV$74)&gt;0),$B63,"")</f>
        <v/>
      </c>
      <c r="BI63" s="84" t="str">
        <f t="array" aca="1" ref="BI63" ca="1">IF(OR((BI$60&gt;=$AU$11:$AU$74)*(BI$48&lt;=$AV$11:$AV$74)&gt;0),$B63,"")</f>
        <v/>
      </c>
      <c r="BJ63" s="84" t="str">
        <f t="array" aca="1" ref="BJ63" ca="1">IF(OR((BJ$60&gt;=$AU$11:$AU$74)*(BJ$48&lt;=$AV$11:$AV$74)&gt;0),$B63,"")</f>
        <v/>
      </c>
      <c r="BK63" s="84" t="str">
        <f t="array" aca="1" ref="BK63" ca="1">IF(OR((BK$60&gt;=$AU$11:$AU$74)*(BK$48&lt;=$AV$11:$AV$74)&gt;0),$B63,"")</f>
        <v/>
      </c>
      <c r="BL63" s="84" t="str">
        <f t="array" aca="1" ref="BL63" ca="1">IF(OR((BL$60&gt;=$AU$11:$AU$74)*(BL$48&lt;=$AV$11:$AV$74)&gt;0),$B63,"")</f>
        <v/>
      </c>
      <c r="BM63" s="84" t="str">
        <f t="array" aca="1" ref="BM63" ca="1">IF(OR((BM$60&gt;=$AU$11:$AU$74)*(BM$48&lt;=$AV$11:$AV$74)&gt;0),$B63,"")</f>
        <v/>
      </c>
      <c r="BN63" s="84" t="str">
        <f t="array" aca="1" ref="BN63" ca="1">IF(OR((BN$60&gt;=$AU$11:$AU$74)*(BN$48&lt;=$AV$11:$AV$74)&gt;0),$B63,"")</f>
        <v/>
      </c>
      <c r="BO63" s="84" t="str">
        <f t="array" aca="1" ref="BO63" ca="1">IF(OR((BO$60&gt;=$AU$11:$AU$74)*(BO$48&lt;=$AV$11:$AV$74)&gt;0),$B63,"")</f>
        <v/>
      </c>
      <c r="BP63" s="84" t="str">
        <f t="array" aca="1" ref="BP63" ca="1">IF(OR((BP$60&gt;=$AU$11:$AU$74)*(BP$48&lt;=$AV$11:$AV$74)&gt;0),$B63,"")</f>
        <v/>
      </c>
      <c r="BQ63" s="84" t="str">
        <f t="array" aca="1" ref="BQ63" ca="1">IF(OR((BQ$60&gt;=$AU$11:$AU$74)*(BQ$48&lt;=$AV$11:$AV$74)&gt;0),$B63,"")</f>
        <v/>
      </c>
      <c r="BR63" s="84" t="str">
        <f t="array" aca="1" ref="BR63" ca="1">IF(OR((BR$60&gt;=$AU$11:$AU$74)*(BR$48&lt;=$AV$11:$AV$74)&gt;0),$B63,"")</f>
        <v/>
      </c>
      <c r="BS63" s="84" t="str">
        <f t="array" aca="1" ref="BS63" ca="1">IF(OR((BS$60&gt;=$AU$11:$AU$74)*(BS$48&lt;=$AV$11:$AV$74)&gt;0),$B63,"")</f>
        <v/>
      </c>
      <c r="BU63" s="75" t="s">
        <v>169</v>
      </c>
      <c r="BV63" s="74">
        <v>4</v>
      </c>
      <c r="BW63" s="84" t="str">
        <f t="array" aca="1" ref="BW63" ca="1">IF(OR((BW$60&gt;=$AU$11:$AU$74)*(BW$48&lt;=$AV$11:$AV$74)&gt;0),$B63,"")</f>
        <v/>
      </c>
      <c r="BX63" s="84" t="str">
        <f t="array" aca="1" ref="BX63" ca="1">IF(OR((BX$60&gt;=$AU$11:$AU$74)*(BX$48&lt;=$AV$11:$AV$74)&gt;0),$B63,"")</f>
        <v/>
      </c>
      <c r="BY63" s="84" t="str">
        <f t="array" aca="1" ref="BY63" ca="1">IF(OR((BY$60&gt;=$AU$11:$AU$74)*(BY$48&lt;=$AV$11:$AV$74)&gt;0),$B63,"")</f>
        <v/>
      </c>
      <c r="BZ63" s="84" t="str">
        <f t="array" aca="1" ref="BZ63" ca="1">IF(OR((BZ$60&gt;=$AU$11:$AU$74)*(BZ$48&lt;=$AV$11:$AV$74)&gt;0),$B63,"")</f>
        <v/>
      </c>
      <c r="CA63" s="84" t="str">
        <f t="array" aca="1" ref="CA63" ca="1">IF(OR((CA$60&gt;=$AU$11:$AU$74)*(CA$48&lt;=$AV$11:$AV$74)&gt;0),$B63,"")</f>
        <v/>
      </c>
      <c r="CB63" s="84" t="str">
        <f t="array" aca="1" ref="CB63" ca="1">IF(OR((CB$60&gt;=$AU$11:$AU$74)*(CB$48&lt;=$AV$11:$AV$74)&gt;0),$B63,"")</f>
        <v/>
      </c>
      <c r="CC63" s="84" t="str">
        <f t="array" aca="1" ref="CC63" ca="1">IF(OR((CC$60&gt;=$AU$11:$AU$74)*(CC$48&lt;=$AV$11:$AV$74)&gt;0),$B63,"")</f>
        <v/>
      </c>
      <c r="CD63" s="84" t="str">
        <f t="array" aca="1" ref="CD63" ca="1">IF(OR((CD$60&gt;=$AU$11:$AU$74)*(CD$48&lt;=$AV$11:$AV$74)&gt;0),$B63,"")</f>
        <v/>
      </c>
      <c r="CE63" s="84" t="str">
        <f t="array" aca="1" ref="CE63" ca="1">IF(OR((CE$60&gt;=$AU$11:$AU$74)*(CE$48&lt;=$AV$11:$AV$74)&gt;0),$B63,"")</f>
        <v/>
      </c>
      <c r="CF63" s="84" t="str">
        <f t="array" aca="1" ref="CF63" ca="1">IF(OR((CF$60&gt;=$AU$11:$AU$74)*(CF$48&lt;=$AV$11:$AV$74)&gt;0),$B63,"")</f>
        <v/>
      </c>
      <c r="CG63" s="84" t="str">
        <f t="array" aca="1" ref="CG63" ca="1">IF(OR((CG$60&gt;=$AU$11:$AU$74)*(CG$48&lt;=$AV$11:$AV$74)&gt;0),$B63,"")</f>
        <v/>
      </c>
      <c r="CH63" s="84" t="str">
        <f t="array" aca="1" ref="CH63" ca="1">IF(OR((CH$60&gt;=$AU$11:$AU$74)*(CH$48&lt;=$AV$11:$AV$74)&gt;0),$B63,"")</f>
        <v/>
      </c>
      <c r="CI63" s="84" t="str">
        <f t="array" aca="1" ref="CI63" ca="1">IF(OR((CI$60&gt;=$AU$11:$AU$74)*(CI$48&lt;=$AV$11:$AV$74)&gt;0),$B63,"")</f>
        <v/>
      </c>
      <c r="CJ63" s="84" t="str">
        <f t="array" aca="1" ref="CJ63" ca="1">IF(OR((CJ$60&gt;=$AU$11:$AU$74)*(CJ$48&lt;=$AV$11:$AV$74)&gt;0),$B63,"")</f>
        <v/>
      </c>
      <c r="CK63" s="84" t="str">
        <f t="array" aca="1" ref="CK63" ca="1">IF(OR((CK$60&gt;=$AU$11:$AU$74)*(CK$48&lt;=$AV$11:$AV$74)&gt;0),$B63,"")</f>
        <v/>
      </c>
      <c r="CL63" s="84" t="str">
        <f t="array" aca="1" ref="CL63" ca="1">IF(OR((CL$60&gt;=$AU$11:$AU$74)*(CL$48&lt;=$AV$11:$AV$74)&gt;0),$B63,"")</f>
        <v/>
      </c>
      <c r="CM63" s="84" t="str">
        <f t="array" aca="1" ref="CM63" ca="1">IF(OR((CM$60&gt;=$AU$11:$AU$74)*(CM$48&lt;=$AV$11:$AV$74)&gt;0),$B63,"")</f>
        <v/>
      </c>
      <c r="CN63" s="84" t="str">
        <f t="array" aca="1" ref="CN63" ca="1">IF(OR((CN$60&gt;=$AU$11:$AU$74)*(CN$48&lt;=$AV$11:$AV$74)&gt;0),$B63,"")</f>
        <v/>
      </c>
      <c r="CO63" s="84" t="str">
        <f t="array" aca="1" ref="CO63" ca="1">IF(OR((CO$60&gt;=$AU$11:$AU$74)*(CO$48&lt;=$AV$11:$AV$74)&gt;0),$B63,"")</f>
        <v/>
      </c>
      <c r="CP63" s="84" t="str">
        <f t="array" aca="1" ref="CP63" ca="1">IF(OR((CP$60&gt;=$AU$11:$AU$74)*(CP$48&lt;=$AV$11:$AV$74)&gt;0),$B63,"")</f>
        <v/>
      </c>
      <c r="CQ63" s="84" t="str">
        <f t="array" aca="1" ref="CQ63" ca="1">IF(OR((CQ$60&gt;=$AU$11:$AU$74)*(CQ$48&lt;=$AV$11:$AV$74)&gt;0),$B63,"")</f>
        <v/>
      </c>
      <c r="CR63" s="84" t="str">
        <f t="array" aca="1" ref="CR63" ca="1">IF(OR((CR$60&gt;=$AU$11:$AU$74)*(CR$48&lt;=$AV$11:$AV$74)&gt;0),$B63,"")</f>
        <v/>
      </c>
      <c r="CS63" s="84" t="str">
        <f t="array" aca="1" ref="CS63" ca="1">IF(OR((CS$60&gt;=$AU$11:$AU$74)*(CS$48&lt;=$AV$11:$AV$74)&gt;0),$B63,"")</f>
        <v/>
      </c>
      <c r="CT63" s="84" t="str">
        <f t="array" aca="1" ref="CT63" ca="1">IF(OR((CT$60&gt;=$AU$11:$AU$74)*(CT$48&lt;=$AV$11:$AV$74)&gt;0),$B63,"")</f>
        <v/>
      </c>
      <c r="CU63" s="84" t="str">
        <f t="array" aca="1" ref="CU63" ca="1">IF(OR((CU$60&gt;=$AU$11:$AU$74)*(CU$48&lt;=$AV$11:$AV$74)&gt;0),$B63,"")</f>
        <v/>
      </c>
      <c r="CV63" s="84" t="str">
        <f t="array" aca="1" ref="CV63" ca="1">IF(OR((CV$60&gt;=$AU$11:$AU$74)*(CV$48&lt;=$AV$11:$AV$74)&gt;0),$B63,"")</f>
        <v/>
      </c>
      <c r="CW63" s="84" t="str">
        <f t="array" aca="1" ref="CW63" ca="1">IF(OR((CW$60&gt;=$AU$11:$AU$74)*(CW$48&lt;=$AV$11:$AV$74)&gt;0),$B63,"")</f>
        <v/>
      </c>
      <c r="CX63" s="84" t="str">
        <f t="array" aca="1" ref="CX63" ca="1">IF(OR((CX$60&gt;=$AU$11:$AU$74)*(CX$48&lt;=$AV$11:$AV$74)&gt;0),$B63,"")</f>
        <v/>
      </c>
      <c r="CY63" s="84" t="str">
        <f t="array" aca="1" ref="CY63" ca="1">IF(OR((CY$60&gt;=$AU$11:$AU$74)*(CY$48&lt;=$AV$11:$AV$74)&gt;0),$B63,"")</f>
        <v/>
      </c>
      <c r="CZ63" s="84" t="str">
        <f t="array" aca="1" ref="CZ63" ca="1">IF(OR((CZ$60&gt;=$AU$11:$AU$74)*(CZ$48&lt;=$AV$11:$AV$74)&gt;0),$B63,"")</f>
        <v/>
      </c>
      <c r="DA63" s="84" t="str">
        <f t="array" aca="1" ref="DA63" ca="1">IF(OR((DA$60&gt;=$AU$11:$AU$74)*(DA$48&lt;=$AV$11:$AV$74)&gt;0),$B63,"")</f>
        <v/>
      </c>
      <c r="DB63" s="84" t="str">
        <f t="array" aca="1" ref="DB63" ca="1">IF(OR((DB$60&gt;=$AU$11:$AU$74)*(DB$48&lt;=$AV$11:$AV$74)&gt;0),$B63,"")</f>
        <v/>
      </c>
      <c r="DC63" s="84" t="str">
        <f t="array" aca="1" ref="DC63" ca="1">IF(OR((DC$60&gt;=$AU$11:$AU$74)*(DC$48&lt;=$AV$11:$AV$74)&gt;0),$B63,"")</f>
        <v/>
      </c>
    </row>
    <row r="64" spans="1:107">
      <c r="A64" s="75" t="s">
        <v>170</v>
      </c>
      <c r="B64" s="74">
        <v>12</v>
      </c>
      <c r="C64" s="84" t="str">
        <f t="array" aca="1" ref="C64" ca="1">IF(OR((C$60&gt;=$AU$11:$AU$74)*(C$48&lt;=$AV$11:$AV$74)&gt;0),$B64,"")</f>
        <v/>
      </c>
      <c r="D64" s="84" t="str">
        <f t="array" aca="1" ref="D64" ca="1">IF(OR((D$60&gt;=$AU$11:$AU$74)*(D$48&lt;=$AV$11:$AV$74)&gt;0),$B64,"")</f>
        <v/>
      </c>
      <c r="E64" s="84" t="str">
        <f t="array" aca="1" ref="E64" ca="1">IF(OR((E$60&gt;=$AU$11:$AU$74)*(E$48&lt;=$AV$11:$AV$74)&gt;0),$B64,"")</f>
        <v/>
      </c>
      <c r="F64" s="84" t="str">
        <f t="array" aca="1" ref="F64" ca="1">IF(OR((F$60&gt;=$AU$11:$AU$74)*(F$48&lt;=$AV$11:$AV$74)&gt;0),$B64,"")</f>
        <v/>
      </c>
      <c r="G64" s="84" t="str">
        <f t="array" aca="1" ref="G64" ca="1">IF(OR((G$60&gt;=$AU$11:$AU$74)*(G$48&lt;=$AV$11:$AV$74)&gt;0),$B64,"")</f>
        <v/>
      </c>
      <c r="H64" s="84" t="str">
        <f t="array" aca="1" ref="H64" ca="1">IF(OR((H$60&gt;=$AU$11:$AU$74)*(H$48&lt;=$AV$11:$AV$74)&gt;0),$B64,"")</f>
        <v/>
      </c>
      <c r="I64" s="84" t="str">
        <f t="array" aca="1" ref="I64" ca="1">IF(OR((I$60&gt;=$AU$11:$AU$74)*(I$48&lt;=$AV$11:$AV$74)&gt;0),$B64,"")</f>
        <v/>
      </c>
      <c r="J64" s="84" t="str">
        <f t="array" aca="1" ref="J64" ca="1">IF(OR((J$60&gt;=$AU$11:$AU$74)*(J$48&lt;=$AV$11:$AV$74)&gt;0),$B64,"")</f>
        <v/>
      </c>
      <c r="K64" s="84" t="str">
        <f t="array" aca="1" ref="K64" ca="1">IF(OR((K$60&gt;=$AU$11:$AU$74)*(K$48&lt;=$AV$11:$AV$74)&gt;0),$B64,"")</f>
        <v/>
      </c>
      <c r="L64" s="84" t="str">
        <f t="array" aca="1" ref="L64" ca="1">IF(OR((L$60&gt;=$AU$11:$AU$74)*(L$48&lt;=$AV$11:$AV$74)&gt;0),$B64,"")</f>
        <v/>
      </c>
      <c r="M64" s="84" t="str">
        <f t="array" aca="1" ref="M64" ca="1">IF(OR((M$60&gt;=$AU$11:$AU$74)*(M$48&lt;=$AV$11:$AV$74)&gt;0),$B64,"")</f>
        <v/>
      </c>
      <c r="N64" s="84" t="str">
        <f t="array" aca="1" ref="N64" ca="1">IF(OR((N$60&gt;=$AU$11:$AU$74)*(N$48&lt;=$AV$11:$AV$74)&gt;0),$B64,"")</f>
        <v/>
      </c>
      <c r="O64" s="84" t="str">
        <f t="array" aca="1" ref="O64" ca="1">IF(OR((O$60&gt;=$AU$11:$AU$74)*(O$48&lt;=$AV$11:$AV$74)&gt;0),$B64,"")</f>
        <v/>
      </c>
      <c r="P64" s="84" t="str">
        <f t="array" aca="1" ref="P64" ca="1">IF(OR((P$60&gt;=$AU$11:$AU$74)*(P$48&lt;=$AV$11:$AV$74)&gt;0),$B64,"")</f>
        <v/>
      </c>
      <c r="Q64" s="84" t="str">
        <f t="array" aca="1" ref="Q64" ca="1">IF(OR((Q$60&gt;=$AU$11:$AU$74)*(Q$48&lt;=$AV$11:$AV$74)&gt;0),$B64,"")</f>
        <v/>
      </c>
      <c r="R64" s="84" t="str">
        <f t="array" aca="1" ref="R64" ca="1">IF(OR((R$60&gt;=$AU$11:$AU$74)*(R$48&lt;=$AV$11:$AV$74)&gt;0),$B64,"")</f>
        <v/>
      </c>
      <c r="S64" s="84" t="str">
        <f t="array" aca="1" ref="S64" ca="1">IF(OR((S$60&gt;=$AU$11:$AU$74)*(S$48&lt;=$AV$11:$AV$74)&gt;0),$B64,"")</f>
        <v/>
      </c>
      <c r="T64" s="84" t="str">
        <f t="array" aca="1" ref="T64" ca="1">IF(OR((T$60&gt;=$AU$11:$AU$74)*(T$48&lt;=$AV$11:$AV$74)&gt;0),$B64,"")</f>
        <v/>
      </c>
      <c r="U64" s="84" t="str">
        <f t="array" aca="1" ref="U64" ca="1">IF(OR((U$60&gt;=$AU$11:$AU$74)*(U$48&lt;=$AV$11:$AV$74)&gt;0),$B64,"")</f>
        <v/>
      </c>
      <c r="V64" s="84" t="str">
        <f t="array" aca="1" ref="V64" ca="1">IF(OR((V$60&gt;=$AU$11:$AU$74)*(V$48&lt;=$AV$11:$AV$74)&gt;0),$B64,"")</f>
        <v/>
      </c>
      <c r="W64" s="84" t="str">
        <f t="array" aca="1" ref="W64" ca="1">IF(OR((W$60&gt;=$AU$11:$AU$74)*(W$48&lt;=$AV$11:$AV$74)&gt;0),$B64,"")</f>
        <v/>
      </c>
      <c r="X64" s="84" t="str">
        <f t="array" aca="1" ref="X64" ca="1">IF(OR((X$60&gt;=$AU$11:$AU$74)*(X$48&lt;=$AV$11:$AV$74)&gt;0),$B64,"")</f>
        <v/>
      </c>
      <c r="Y64" s="84" t="str">
        <f t="array" aca="1" ref="Y64" ca="1">IF(OR((Y$60&gt;=$AU$11:$AU$74)*(Y$48&lt;=$AV$11:$AV$74)&gt;0),$B64,"")</f>
        <v/>
      </c>
      <c r="Z64" s="84" t="str">
        <f t="array" aca="1" ref="Z64" ca="1">IF(OR((Z$60&gt;=$AU$11:$AU$74)*(Z$48&lt;=$AV$11:$AV$74)&gt;0),$B64,"")</f>
        <v/>
      </c>
      <c r="AA64" s="84" t="str">
        <f t="array" aca="1" ref="AA64" ca="1">IF(OR((AA$60&gt;=$AU$11:$AU$74)*(AA$48&lt;=$AV$11:$AV$74)&gt;0),$B64,"")</f>
        <v/>
      </c>
      <c r="AB64" s="84" t="str">
        <f t="array" aca="1" ref="AB64" ca="1">IF(OR((AB$60&gt;=$AU$11:$AU$74)*(AB$48&lt;=$AV$11:$AV$74)&gt;0),$B64,"")</f>
        <v/>
      </c>
      <c r="AC64" s="84" t="str">
        <f t="array" aca="1" ref="AC64" ca="1">IF(OR((AC$60&gt;=$AU$11:$AU$74)*(AC$48&lt;=$AV$11:$AV$74)&gt;0),$B64,"")</f>
        <v/>
      </c>
      <c r="AD64" s="84" t="str">
        <f t="array" aca="1" ref="AD64" ca="1">IF(OR((AD$60&gt;=$AU$11:$AU$74)*(AD$48&lt;=$AV$11:$AV$74)&gt;0),$B64,"")</f>
        <v/>
      </c>
      <c r="AE64" s="84" t="str">
        <f t="array" aca="1" ref="AE64" ca="1">IF(OR((AE$60&gt;=$AU$11:$AU$74)*(AE$48&lt;=$AV$11:$AV$74)&gt;0),$B64,"")</f>
        <v/>
      </c>
      <c r="AF64" s="84" t="str">
        <f t="array" aca="1" ref="AF64" ca="1">IF(OR((AF$60&gt;=$AU$11:$AU$74)*(AF$48&lt;=$AV$11:$AV$74)&gt;0),$B64,"")</f>
        <v/>
      </c>
      <c r="AG64" s="84" t="str">
        <f t="array" aca="1" ref="AG64" ca="1">IF(OR((AG$60&gt;=$AU$11:$AU$74)*(AG$48&lt;=$AV$11:$AV$74)&gt;0),$B64,"")</f>
        <v/>
      </c>
      <c r="AH64" s="84" t="str">
        <f t="array" aca="1" ref="AH64" ca="1">IF(OR((AH$60&gt;=$AU$11:$AU$74)*(AH$48&lt;=$AV$11:$AV$74)&gt;0),$B64,"")</f>
        <v/>
      </c>
      <c r="AI64" s="84" t="str">
        <f t="array" aca="1" ref="AI64" ca="1">IF(OR((AI$60&gt;=$AU$11:$AU$74)*(AI$48&lt;=$AV$11:$AV$74)&gt;0),$B64,"")</f>
        <v/>
      </c>
      <c r="AJ64" s="85"/>
      <c r="AK64" s="75" t="s">
        <v>170</v>
      </c>
      <c r="AL64" s="74">
        <v>12</v>
      </c>
      <c r="AM64" s="84" t="str">
        <f t="array" aca="1" ref="AM64" ca="1">IF(OR((AM$60&gt;=$AU$11:$AU$74)*(AM$48&lt;=$AV$11:$AV$74)&gt;0),$B64,"")</f>
        <v/>
      </c>
      <c r="AN64" s="84" t="str">
        <f t="array" aca="1" ref="AN64" ca="1">IF(OR((AN$60&gt;=$AU$11:$AU$74)*(AN$48&lt;=$AV$11:$AV$74)&gt;0),$B64,"")</f>
        <v/>
      </c>
      <c r="AO64" s="84" t="str">
        <f t="array" aca="1" ref="AO64" ca="1">IF(OR((AO$60&gt;=$AU$11:$AU$74)*(AO$48&lt;=$AV$11:$AV$74)&gt;0),$B64,"")</f>
        <v/>
      </c>
      <c r="AP64" s="84" t="str">
        <f t="array" aca="1" ref="AP64" ca="1">IF(OR((AP$60&gt;=$AU$11:$AU$74)*(AP$48&lt;=$AV$11:$AV$74)&gt;0),$B64,"")</f>
        <v/>
      </c>
      <c r="AQ64" s="84" t="str">
        <f t="array" aca="1" ref="AQ64" ca="1">IF(OR((AQ$60&gt;=$AU$11:$AU$74)*(AQ$48&lt;=$AV$11:$AV$74)&gt;0),$B64,"")</f>
        <v/>
      </c>
      <c r="AR64" s="84" t="str">
        <f t="array" aca="1" ref="AR64" ca="1">IF(OR((AR$60&gt;=$AU$11:$AU$74)*(AR$48&lt;=$AV$11:$AV$74)&gt;0),$B64,"")</f>
        <v/>
      </c>
      <c r="AS64" s="84" t="str">
        <f t="array" aca="1" ref="AS64" ca="1">IF(OR((AS$60&gt;=$AU$11:$AU$74)*(AS$48&lt;=$AV$11:$AV$74)&gt;0),$B64,"")</f>
        <v/>
      </c>
      <c r="AT64" s="84" t="str">
        <f t="array" aca="1" ref="AT64" ca="1">IF(OR((AT$60&gt;=$AU$11:$AU$74)*(AT$48&lt;=$AV$11:$AV$74)&gt;0),$B64,"")</f>
        <v/>
      </c>
      <c r="AU64" s="84" t="str">
        <f t="array" aca="1" ref="AU64" ca="1">IF(OR((AU$60&gt;=$AU$11:$AU$74)*(AU$48&lt;=$AV$11:$AV$74)&gt;0),$B64,"")</f>
        <v/>
      </c>
      <c r="AV64" s="84" t="str">
        <f t="array" aca="1" ref="AV64" ca="1">IF(OR((AV$60&gt;=$AU$11:$AU$74)*(AV$48&lt;=$AV$11:$AV$74)&gt;0),$B64,"")</f>
        <v/>
      </c>
      <c r="AW64" s="84" t="str">
        <f t="array" aca="1" ref="AW64" ca="1">IF(OR((AW$60&gt;=$AU$11:$AU$74)*(AW$48&lt;=$AV$11:$AV$74)&gt;0),$B64,"")</f>
        <v/>
      </c>
      <c r="AX64" s="84" t="str">
        <f t="array" aca="1" ref="AX64" ca="1">IF(OR((AX$60&gt;=$AU$11:$AU$74)*(AX$48&lt;=$AV$11:$AV$74)&gt;0),$B64,"")</f>
        <v/>
      </c>
      <c r="AY64" s="84" t="str">
        <f t="array" aca="1" ref="AY64" ca="1">IF(OR((AY$60&gt;=$AU$11:$AU$74)*(AY$48&lt;=$AV$11:$AV$74)&gt;0),$B64,"")</f>
        <v/>
      </c>
      <c r="AZ64" s="84" t="str">
        <f t="array" aca="1" ref="AZ64" ca="1">IF(OR((AZ$60&gt;=$AU$11:$AU$74)*(AZ$48&lt;=$AV$11:$AV$74)&gt;0),$B64,"")</f>
        <v/>
      </c>
      <c r="BA64" s="84" t="str">
        <f t="array" aca="1" ref="BA64" ca="1">IF(OR((BA$60&gt;=$AU$11:$AU$74)*(BA$48&lt;=$AV$11:$AV$74)&gt;0),$B64,"")</f>
        <v/>
      </c>
      <c r="BB64" s="84" t="str">
        <f t="array" aca="1" ref="BB64" ca="1">IF(OR((BB$60&gt;=$AU$11:$AU$74)*(BB$48&lt;=$AV$11:$AV$74)&gt;0),$B64,"")</f>
        <v/>
      </c>
      <c r="BC64" s="84" t="str">
        <f t="array" aca="1" ref="BC64" ca="1">IF(OR((BC$60&gt;=$AU$11:$AU$74)*(BC$48&lt;=$AV$11:$AV$74)&gt;0),$B64,"")</f>
        <v/>
      </c>
      <c r="BD64" s="84" t="str">
        <f t="array" aca="1" ref="BD64" ca="1">IF(OR((BD$60&gt;=$AU$11:$AU$74)*(BD$48&lt;=$AV$11:$AV$74)&gt;0),$B64,"")</f>
        <v/>
      </c>
      <c r="BE64" s="84" t="str">
        <f t="array" aca="1" ref="BE64" ca="1">IF(OR((BE$60&gt;=$AU$11:$AU$74)*(BE$48&lt;=$AV$11:$AV$74)&gt;0),$B64,"")</f>
        <v/>
      </c>
      <c r="BF64" s="84" t="str">
        <f t="array" aca="1" ref="BF64" ca="1">IF(OR((BF$60&gt;=$AU$11:$AU$74)*(BF$48&lt;=$AV$11:$AV$74)&gt;0),$B64,"")</f>
        <v/>
      </c>
      <c r="BG64" s="84" t="str">
        <f t="array" aca="1" ref="BG64" ca="1">IF(OR((BG$60&gt;=$AU$11:$AU$74)*(BG$48&lt;=$AV$11:$AV$74)&gt;0),$B64,"")</f>
        <v/>
      </c>
      <c r="BH64" s="84" t="str">
        <f t="array" aca="1" ref="BH64" ca="1">IF(OR((BH$60&gt;=$AU$11:$AU$74)*(BH$48&lt;=$AV$11:$AV$74)&gt;0),$B64,"")</f>
        <v/>
      </c>
      <c r="BI64" s="84" t="str">
        <f t="array" aca="1" ref="BI64" ca="1">IF(OR((BI$60&gt;=$AU$11:$AU$74)*(BI$48&lt;=$AV$11:$AV$74)&gt;0),$B64,"")</f>
        <v/>
      </c>
      <c r="BJ64" s="84" t="str">
        <f t="array" aca="1" ref="BJ64" ca="1">IF(OR((BJ$60&gt;=$AU$11:$AU$74)*(BJ$48&lt;=$AV$11:$AV$74)&gt;0),$B64,"")</f>
        <v/>
      </c>
      <c r="BK64" s="84" t="str">
        <f t="array" aca="1" ref="BK64" ca="1">IF(OR((BK$60&gt;=$AU$11:$AU$74)*(BK$48&lt;=$AV$11:$AV$74)&gt;0),$B64,"")</f>
        <v/>
      </c>
      <c r="BL64" s="84" t="str">
        <f t="array" aca="1" ref="BL64" ca="1">IF(OR((BL$60&gt;=$AU$11:$AU$74)*(BL$48&lt;=$AV$11:$AV$74)&gt;0),$B64,"")</f>
        <v/>
      </c>
      <c r="BM64" s="84" t="str">
        <f t="array" aca="1" ref="BM64" ca="1">IF(OR((BM$60&gt;=$AU$11:$AU$74)*(BM$48&lt;=$AV$11:$AV$74)&gt;0),$B64,"")</f>
        <v/>
      </c>
      <c r="BN64" s="84" t="str">
        <f t="array" aca="1" ref="BN64" ca="1">IF(OR((BN$60&gt;=$AU$11:$AU$74)*(BN$48&lt;=$AV$11:$AV$74)&gt;0),$B64,"")</f>
        <v/>
      </c>
      <c r="BO64" s="84" t="str">
        <f t="array" aca="1" ref="BO64" ca="1">IF(OR((BO$60&gt;=$AU$11:$AU$74)*(BO$48&lt;=$AV$11:$AV$74)&gt;0),$B64,"")</f>
        <v/>
      </c>
      <c r="BP64" s="84" t="str">
        <f t="array" aca="1" ref="BP64" ca="1">IF(OR((BP$60&gt;=$AU$11:$AU$74)*(BP$48&lt;=$AV$11:$AV$74)&gt;0),$B64,"")</f>
        <v/>
      </c>
      <c r="BQ64" s="84" t="str">
        <f t="array" aca="1" ref="BQ64" ca="1">IF(OR((BQ$60&gt;=$AU$11:$AU$74)*(BQ$48&lt;=$AV$11:$AV$74)&gt;0),$B64,"")</f>
        <v/>
      </c>
      <c r="BR64" s="84" t="str">
        <f t="array" aca="1" ref="BR64" ca="1">IF(OR((BR$60&gt;=$AU$11:$AU$74)*(BR$48&lt;=$AV$11:$AV$74)&gt;0),$B64,"")</f>
        <v/>
      </c>
      <c r="BS64" s="84" t="str">
        <f t="array" aca="1" ref="BS64" ca="1">IF(OR((BS$60&gt;=$AU$11:$AU$74)*(BS$48&lt;=$AV$11:$AV$74)&gt;0),$B64,"")</f>
        <v/>
      </c>
      <c r="BU64" s="75" t="s">
        <v>170</v>
      </c>
      <c r="BV64" s="74">
        <v>12</v>
      </c>
      <c r="BW64" s="84" t="str">
        <f t="array" aca="1" ref="BW64" ca="1">IF(OR((BW$60&gt;=$AU$11:$AU$74)*(BW$48&lt;=$AV$11:$AV$74)&gt;0),$B64,"")</f>
        <v/>
      </c>
      <c r="BX64" s="84" t="str">
        <f t="array" aca="1" ref="BX64" ca="1">IF(OR((BX$60&gt;=$AU$11:$AU$74)*(BX$48&lt;=$AV$11:$AV$74)&gt;0),$B64,"")</f>
        <v/>
      </c>
      <c r="BY64" s="84" t="str">
        <f t="array" aca="1" ref="BY64" ca="1">IF(OR((BY$60&gt;=$AU$11:$AU$74)*(BY$48&lt;=$AV$11:$AV$74)&gt;0),$B64,"")</f>
        <v/>
      </c>
      <c r="BZ64" s="84" t="str">
        <f t="array" aca="1" ref="BZ64" ca="1">IF(OR((BZ$60&gt;=$AU$11:$AU$74)*(BZ$48&lt;=$AV$11:$AV$74)&gt;0),$B64,"")</f>
        <v/>
      </c>
      <c r="CA64" s="84" t="str">
        <f t="array" aca="1" ref="CA64" ca="1">IF(OR((CA$60&gt;=$AU$11:$AU$74)*(CA$48&lt;=$AV$11:$AV$74)&gt;0),$B64,"")</f>
        <v/>
      </c>
      <c r="CB64" s="84" t="str">
        <f t="array" aca="1" ref="CB64" ca="1">IF(OR((CB$60&gt;=$AU$11:$AU$74)*(CB$48&lt;=$AV$11:$AV$74)&gt;0),$B64,"")</f>
        <v/>
      </c>
      <c r="CC64" s="84" t="str">
        <f t="array" aca="1" ref="CC64" ca="1">IF(OR((CC$60&gt;=$AU$11:$AU$74)*(CC$48&lt;=$AV$11:$AV$74)&gt;0),$B64,"")</f>
        <v/>
      </c>
      <c r="CD64" s="84" t="str">
        <f t="array" aca="1" ref="CD64" ca="1">IF(OR((CD$60&gt;=$AU$11:$AU$74)*(CD$48&lt;=$AV$11:$AV$74)&gt;0),$B64,"")</f>
        <v/>
      </c>
      <c r="CE64" s="84" t="str">
        <f t="array" aca="1" ref="CE64" ca="1">IF(OR((CE$60&gt;=$AU$11:$AU$74)*(CE$48&lt;=$AV$11:$AV$74)&gt;0),$B64,"")</f>
        <v/>
      </c>
      <c r="CF64" s="84" t="str">
        <f t="array" aca="1" ref="CF64" ca="1">IF(OR((CF$60&gt;=$AU$11:$AU$74)*(CF$48&lt;=$AV$11:$AV$74)&gt;0),$B64,"")</f>
        <v/>
      </c>
      <c r="CG64" s="84" t="str">
        <f t="array" aca="1" ref="CG64" ca="1">IF(OR((CG$60&gt;=$AU$11:$AU$74)*(CG$48&lt;=$AV$11:$AV$74)&gt;0),$B64,"")</f>
        <v/>
      </c>
      <c r="CH64" s="84" t="str">
        <f t="array" aca="1" ref="CH64" ca="1">IF(OR((CH$60&gt;=$AU$11:$AU$74)*(CH$48&lt;=$AV$11:$AV$74)&gt;0),$B64,"")</f>
        <v/>
      </c>
      <c r="CI64" s="84" t="str">
        <f t="array" aca="1" ref="CI64" ca="1">IF(OR((CI$60&gt;=$AU$11:$AU$74)*(CI$48&lt;=$AV$11:$AV$74)&gt;0),$B64,"")</f>
        <v/>
      </c>
      <c r="CJ64" s="84" t="str">
        <f t="array" aca="1" ref="CJ64" ca="1">IF(OR((CJ$60&gt;=$AU$11:$AU$74)*(CJ$48&lt;=$AV$11:$AV$74)&gt;0),$B64,"")</f>
        <v/>
      </c>
      <c r="CK64" s="84" t="str">
        <f t="array" aca="1" ref="CK64" ca="1">IF(OR((CK$60&gt;=$AU$11:$AU$74)*(CK$48&lt;=$AV$11:$AV$74)&gt;0),$B64,"")</f>
        <v/>
      </c>
      <c r="CL64" s="84" t="str">
        <f t="array" aca="1" ref="CL64" ca="1">IF(OR((CL$60&gt;=$AU$11:$AU$74)*(CL$48&lt;=$AV$11:$AV$74)&gt;0),$B64,"")</f>
        <v/>
      </c>
      <c r="CM64" s="84" t="str">
        <f t="array" aca="1" ref="CM64" ca="1">IF(OR((CM$60&gt;=$AU$11:$AU$74)*(CM$48&lt;=$AV$11:$AV$74)&gt;0),$B64,"")</f>
        <v/>
      </c>
      <c r="CN64" s="84" t="str">
        <f t="array" aca="1" ref="CN64" ca="1">IF(OR((CN$60&gt;=$AU$11:$AU$74)*(CN$48&lt;=$AV$11:$AV$74)&gt;0),$B64,"")</f>
        <v/>
      </c>
      <c r="CO64" s="84" t="str">
        <f t="array" aca="1" ref="CO64" ca="1">IF(OR((CO$60&gt;=$AU$11:$AU$74)*(CO$48&lt;=$AV$11:$AV$74)&gt;0),$B64,"")</f>
        <v/>
      </c>
      <c r="CP64" s="84" t="str">
        <f t="array" aca="1" ref="CP64" ca="1">IF(OR((CP$60&gt;=$AU$11:$AU$74)*(CP$48&lt;=$AV$11:$AV$74)&gt;0),$B64,"")</f>
        <v/>
      </c>
      <c r="CQ64" s="84" t="str">
        <f t="array" aca="1" ref="CQ64" ca="1">IF(OR((CQ$60&gt;=$AU$11:$AU$74)*(CQ$48&lt;=$AV$11:$AV$74)&gt;0),$B64,"")</f>
        <v/>
      </c>
      <c r="CR64" s="84" t="str">
        <f t="array" aca="1" ref="CR64" ca="1">IF(OR((CR$60&gt;=$AU$11:$AU$74)*(CR$48&lt;=$AV$11:$AV$74)&gt;0),$B64,"")</f>
        <v/>
      </c>
      <c r="CS64" s="84" t="str">
        <f t="array" aca="1" ref="CS64" ca="1">IF(OR((CS$60&gt;=$AU$11:$AU$74)*(CS$48&lt;=$AV$11:$AV$74)&gt;0),$B64,"")</f>
        <v/>
      </c>
      <c r="CT64" s="84" t="str">
        <f t="array" aca="1" ref="CT64" ca="1">IF(OR((CT$60&gt;=$AU$11:$AU$74)*(CT$48&lt;=$AV$11:$AV$74)&gt;0),$B64,"")</f>
        <v/>
      </c>
      <c r="CU64" s="84" t="str">
        <f t="array" aca="1" ref="CU64" ca="1">IF(OR((CU$60&gt;=$AU$11:$AU$74)*(CU$48&lt;=$AV$11:$AV$74)&gt;0),$B64,"")</f>
        <v/>
      </c>
      <c r="CV64" s="84" t="str">
        <f t="array" aca="1" ref="CV64" ca="1">IF(OR((CV$60&gt;=$AU$11:$AU$74)*(CV$48&lt;=$AV$11:$AV$74)&gt;0),$B64,"")</f>
        <v/>
      </c>
      <c r="CW64" s="84" t="str">
        <f t="array" aca="1" ref="CW64" ca="1">IF(OR((CW$60&gt;=$AU$11:$AU$74)*(CW$48&lt;=$AV$11:$AV$74)&gt;0),$B64,"")</f>
        <v/>
      </c>
      <c r="CX64" s="84" t="str">
        <f t="array" aca="1" ref="CX64" ca="1">IF(OR((CX$60&gt;=$AU$11:$AU$74)*(CX$48&lt;=$AV$11:$AV$74)&gt;0),$B64,"")</f>
        <v/>
      </c>
      <c r="CY64" s="84" t="str">
        <f t="array" aca="1" ref="CY64" ca="1">IF(OR((CY$60&gt;=$AU$11:$AU$74)*(CY$48&lt;=$AV$11:$AV$74)&gt;0),$B64,"")</f>
        <v/>
      </c>
      <c r="CZ64" s="84" t="str">
        <f t="array" aca="1" ref="CZ64" ca="1">IF(OR((CZ$60&gt;=$AU$11:$AU$74)*(CZ$48&lt;=$AV$11:$AV$74)&gt;0),$B64,"")</f>
        <v/>
      </c>
      <c r="DA64" s="84" t="str">
        <f t="array" aca="1" ref="DA64" ca="1">IF(OR((DA$60&gt;=$AU$11:$AU$74)*(DA$48&lt;=$AV$11:$AV$74)&gt;0),$B64,"")</f>
        <v/>
      </c>
      <c r="DB64" s="84" t="str">
        <f t="array" aca="1" ref="DB64" ca="1">IF(OR((DB$60&gt;=$AU$11:$AU$74)*(DB$48&lt;=$AV$11:$AV$74)&gt;0),$B64,"")</f>
        <v/>
      </c>
      <c r="DC64" s="84" t="str">
        <f t="array" aca="1" ref="DC64" ca="1">IF(OR((DC$60&gt;=$AU$11:$AU$74)*(DC$48&lt;=$AV$11:$AV$74)&gt;0),$B64,"")</f>
        <v/>
      </c>
    </row>
    <row r="65" spans="1:107">
      <c r="A65" s="8"/>
      <c r="B65" s="12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85"/>
      <c r="AK65" s="8"/>
      <c r="AL65" s="12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U65" s="8"/>
      <c r="BV65" s="12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</row>
    <row r="66" spans="1:107" s="9" customFormat="1">
      <c r="A66" s="7" t="s">
        <v>171</v>
      </c>
      <c r="B66" s="10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85"/>
      <c r="AK66" s="7" t="s">
        <v>171</v>
      </c>
      <c r="AL66" s="10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U66" s="7" t="s">
        <v>171</v>
      </c>
      <c r="BV66" s="10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</row>
    <row r="67" spans="1:107">
      <c r="B67" s="11" t="s">
        <v>154</v>
      </c>
      <c r="C67" s="112">
        <f>EOMONTH($A$1,-1)</f>
        <v>46265</v>
      </c>
      <c r="D67" s="112">
        <f t="shared" ref="D67:AI67" si="260">C67+1</f>
        <v>46266</v>
      </c>
      <c r="E67" s="112">
        <f t="shared" si="260"/>
        <v>46267</v>
      </c>
      <c r="F67" s="112">
        <f t="shared" si="260"/>
        <v>46268</v>
      </c>
      <c r="G67" s="112">
        <f t="shared" si="260"/>
        <v>46269</v>
      </c>
      <c r="H67" s="112">
        <f t="shared" si="260"/>
        <v>46270</v>
      </c>
      <c r="I67" s="112">
        <f t="shared" si="260"/>
        <v>46271</v>
      </c>
      <c r="J67" s="112">
        <f t="shared" si="260"/>
        <v>46272</v>
      </c>
      <c r="K67" s="112">
        <f t="shared" si="260"/>
        <v>46273</v>
      </c>
      <c r="L67" s="112">
        <f t="shared" si="260"/>
        <v>46274</v>
      </c>
      <c r="M67" s="112">
        <f t="shared" si="260"/>
        <v>46275</v>
      </c>
      <c r="N67" s="112">
        <f t="shared" si="260"/>
        <v>46276</v>
      </c>
      <c r="O67" s="112">
        <f t="shared" si="260"/>
        <v>46277</v>
      </c>
      <c r="P67" s="112">
        <f t="shared" si="260"/>
        <v>46278</v>
      </c>
      <c r="Q67" s="112">
        <f t="shared" si="260"/>
        <v>46279</v>
      </c>
      <c r="R67" s="112">
        <f t="shared" si="260"/>
        <v>46280</v>
      </c>
      <c r="S67" s="112">
        <f t="shared" si="260"/>
        <v>46281</v>
      </c>
      <c r="T67" s="112">
        <f t="shared" si="260"/>
        <v>46282</v>
      </c>
      <c r="U67" s="112">
        <f t="shared" si="260"/>
        <v>46283</v>
      </c>
      <c r="V67" s="112">
        <f t="shared" si="260"/>
        <v>46284</v>
      </c>
      <c r="W67" s="112">
        <f t="shared" si="260"/>
        <v>46285</v>
      </c>
      <c r="X67" s="112">
        <f t="shared" si="260"/>
        <v>46286</v>
      </c>
      <c r="Y67" s="112">
        <f t="shared" si="260"/>
        <v>46287</v>
      </c>
      <c r="Z67" s="112">
        <f t="shared" si="260"/>
        <v>46288</v>
      </c>
      <c r="AA67" s="112">
        <f t="shared" si="260"/>
        <v>46289</v>
      </c>
      <c r="AB67" s="112">
        <f t="shared" si="260"/>
        <v>46290</v>
      </c>
      <c r="AC67" s="112">
        <f t="shared" si="260"/>
        <v>46291</v>
      </c>
      <c r="AD67" s="112">
        <f t="shared" si="260"/>
        <v>46292</v>
      </c>
      <c r="AE67" s="112">
        <f t="shared" si="260"/>
        <v>46293</v>
      </c>
      <c r="AF67" s="112">
        <f t="shared" si="260"/>
        <v>46294</v>
      </c>
      <c r="AG67" s="112">
        <f t="shared" si="260"/>
        <v>46295</v>
      </c>
      <c r="AH67" s="112">
        <f t="shared" si="260"/>
        <v>46296</v>
      </c>
      <c r="AI67" s="112">
        <f t="shared" si="260"/>
        <v>46297</v>
      </c>
      <c r="AJ67" s="85"/>
      <c r="AL67" s="11" t="s">
        <v>154</v>
      </c>
      <c r="AM67" s="112">
        <f>EOMONTH($A$1,-1)</f>
        <v>46265</v>
      </c>
      <c r="AN67" s="112">
        <f t="shared" ref="AN67" si="261">AM67+1</f>
        <v>46266</v>
      </c>
      <c r="AO67" s="112">
        <f t="shared" ref="AO67" si="262">AN67+1</f>
        <v>46267</v>
      </c>
      <c r="AP67" s="112">
        <f t="shared" ref="AP67" si="263">AO67+1</f>
        <v>46268</v>
      </c>
      <c r="AQ67" s="112">
        <f t="shared" ref="AQ67" si="264">AP67+1</f>
        <v>46269</v>
      </c>
      <c r="AR67" s="112">
        <f t="shared" ref="AR67" si="265">AQ67+1</f>
        <v>46270</v>
      </c>
      <c r="AS67" s="112">
        <f t="shared" ref="AS67" si="266">AR67+1</f>
        <v>46271</v>
      </c>
      <c r="AT67" s="112">
        <f t="shared" ref="AT67" si="267">AS67+1</f>
        <v>46272</v>
      </c>
      <c r="AU67" s="112">
        <f t="shared" ref="AU67" si="268">AT67+1</f>
        <v>46273</v>
      </c>
      <c r="AV67" s="112">
        <f t="shared" ref="AV67" si="269">AU67+1</f>
        <v>46274</v>
      </c>
      <c r="AW67" s="112">
        <f t="shared" ref="AW67" si="270">AV67+1</f>
        <v>46275</v>
      </c>
      <c r="AX67" s="112">
        <f t="shared" ref="AX67" si="271">AW67+1</f>
        <v>46276</v>
      </c>
      <c r="AY67" s="112">
        <f t="shared" ref="AY67" si="272">AX67+1</f>
        <v>46277</v>
      </c>
      <c r="AZ67" s="112">
        <f t="shared" ref="AZ67" si="273">AY67+1</f>
        <v>46278</v>
      </c>
      <c r="BA67" s="112">
        <f t="shared" ref="BA67" si="274">AZ67+1</f>
        <v>46279</v>
      </c>
      <c r="BB67" s="112">
        <f t="shared" ref="BB67" si="275">BA67+1</f>
        <v>46280</v>
      </c>
      <c r="BC67" s="112">
        <f t="shared" ref="BC67" si="276">BB67+1</f>
        <v>46281</v>
      </c>
      <c r="BD67" s="112">
        <f t="shared" ref="BD67" si="277">BC67+1</f>
        <v>46282</v>
      </c>
      <c r="BE67" s="112">
        <f t="shared" ref="BE67" si="278">BD67+1</f>
        <v>46283</v>
      </c>
      <c r="BF67" s="112">
        <f t="shared" ref="BF67" si="279">BE67+1</f>
        <v>46284</v>
      </c>
      <c r="BG67" s="112">
        <f t="shared" ref="BG67" si="280">BF67+1</f>
        <v>46285</v>
      </c>
      <c r="BH67" s="112">
        <f t="shared" ref="BH67" si="281">BG67+1</f>
        <v>46286</v>
      </c>
      <c r="BI67" s="112">
        <f t="shared" ref="BI67" si="282">BH67+1</f>
        <v>46287</v>
      </c>
      <c r="BJ67" s="112">
        <f t="shared" ref="BJ67" si="283">BI67+1</f>
        <v>46288</v>
      </c>
      <c r="BK67" s="112">
        <f t="shared" ref="BK67" si="284">BJ67+1</f>
        <v>46289</v>
      </c>
      <c r="BL67" s="112">
        <f t="shared" ref="BL67" si="285">BK67+1</f>
        <v>46290</v>
      </c>
      <c r="BM67" s="112">
        <f t="shared" ref="BM67" si="286">BL67+1</f>
        <v>46291</v>
      </c>
      <c r="BN67" s="112">
        <f t="shared" ref="BN67" si="287">BM67+1</f>
        <v>46292</v>
      </c>
      <c r="BO67" s="112">
        <f t="shared" ref="BO67" si="288">BN67+1</f>
        <v>46293</v>
      </c>
      <c r="BP67" s="112">
        <f t="shared" ref="BP67" si="289">BO67+1</f>
        <v>46294</v>
      </c>
      <c r="BQ67" s="112">
        <f t="shared" ref="BQ67" si="290">BP67+1</f>
        <v>46295</v>
      </c>
      <c r="BR67" s="112">
        <f t="shared" ref="BR67" si="291">BQ67+1</f>
        <v>46296</v>
      </c>
      <c r="BS67" s="112">
        <f t="shared" ref="BS67" si="292">BR67+1</f>
        <v>46297</v>
      </c>
      <c r="BV67" s="11" t="s">
        <v>154</v>
      </c>
      <c r="BW67" s="112">
        <f>EOMONTH($A$1,-1)</f>
        <v>46265</v>
      </c>
      <c r="BX67" s="112">
        <f t="shared" ref="BX67" si="293">BW67+1</f>
        <v>46266</v>
      </c>
      <c r="BY67" s="112">
        <f t="shared" ref="BY67" si="294">BX67+1</f>
        <v>46267</v>
      </c>
      <c r="BZ67" s="112">
        <f t="shared" ref="BZ67" si="295">BY67+1</f>
        <v>46268</v>
      </c>
      <c r="CA67" s="112">
        <f t="shared" ref="CA67" si="296">BZ67+1</f>
        <v>46269</v>
      </c>
      <c r="CB67" s="112">
        <f t="shared" ref="CB67" si="297">CA67+1</f>
        <v>46270</v>
      </c>
      <c r="CC67" s="112">
        <f t="shared" ref="CC67" si="298">CB67+1</f>
        <v>46271</v>
      </c>
      <c r="CD67" s="112">
        <f t="shared" ref="CD67" si="299">CC67+1</f>
        <v>46272</v>
      </c>
      <c r="CE67" s="112">
        <f t="shared" ref="CE67" si="300">CD67+1</f>
        <v>46273</v>
      </c>
      <c r="CF67" s="112">
        <f t="shared" ref="CF67" si="301">CE67+1</f>
        <v>46274</v>
      </c>
      <c r="CG67" s="112">
        <f t="shared" ref="CG67" si="302">CF67+1</f>
        <v>46275</v>
      </c>
      <c r="CH67" s="112">
        <f t="shared" ref="CH67" si="303">CG67+1</f>
        <v>46276</v>
      </c>
      <c r="CI67" s="112">
        <f t="shared" ref="CI67" si="304">CH67+1</f>
        <v>46277</v>
      </c>
      <c r="CJ67" s="112">
        <f t="shared" ref="CJ67" si="305">CI67+1</f>
        <v>46278</v>
      </c>
      <c r="CK67" s="112">
        <f t="shared" ref="CK67" si="306">CJ67+1</f>
        <v>46279</v>
      </c>
      <c r="CL67" s="112">
        <f t="shared" ref="CL67" si="307">CK67+1</f>
        <v>46280</v>
      </c>
      <c r="CM67" s="112">
        <f t="shared" ref="CM67" si="308">CL67+1</f>
        <v>46281</v>
      </c>
      <c r="CN67" s="112">
        <f t="shared" ref="CN67" si="309">CM67+1</f>
        <v>46282</v>
      </c>
      <c r="CO67" s="112">
        <f t="shared" ref="CO67" si="310">CN67+1</f>
        <v>46283</v>
      </c>
      <c r="CP67" s="112">
        <f t="shared" ref="CP67" si="311">CO67+1</f>
        <v>46284</v>
      </c>
      <c r="CQ67" s="112">
        <f t="shared" ref="CQ67" si="312">CP67+1</f>
        <v>46285</v>
      </c>
      <c r="CR67" s="112">
        <f t="shared" ref="CR67" si="313">CQ67+1</f>
        <v>46286</v>
      </c>
      <c r="CS67" s="112">
        <f t="shared" ref="CS67" si="314">CR67+1</f>
        <v>46287</v>
      </c>
      <c r="CT67" s="112">
        <f t="shared" ref="CT67" si="315">CS67+1</f>
        <v>46288</v>
      </c>
      <c r="CU67" s="112">
        <f t="shared" ref="CU67" si="316">CT67+1</f>
        <v>46289</v>
      </c>
      <c r="CV67" s="112">
        <f t="shared" ref="CV67" si="317">CU67+1</f>
        <v>46290</v>
      </c>
      <c r="CW67" s="112">
        <f t="shared" ref="CW67" si="318">CV67+1</f>
        <v>46291</v>
      </c>
      <c r="CX67" s="112">
        <f t="shared" ref="CX67" si="319">CW67+1</f>
        <v>46292</v>
      </c>
      <c r="CY67" s="112">
        <f t="shared" ref="CY67" si="320">CX67+1</f>
        <v>46293</v>
      </c>
      <c r="CZ67" s="112">
        <f t="shared" ref="CZ67" si="321">CY67+1</f>
        <v>46294</v>
      </c>
      <c r="DA67" s="112">
        <f t="shared" ref="DA67" si="322">CZ67+1</f>
        <v>46295</v>
      </c>
      <c r="DB67" s="112">
        <f t="shared" ref="DB67" si="323">DA67+1</f>
        <v>46296</v>
      </c>
      <c r="DC67" s="112">
        <f t="shared" ref="DC67" si="324">DB67+1</f>
        <v>46297</v>
      </c>
    </row>
    <row r="68" spans="1:107">
      <c r="A68" s="80" t="s">
        <v>172</v>
      </c>
      <c r="B68" s="128">
        <v>1</v>
      </c>
      <c r="C68" s="84" t="str">
        <f t="array" aca="1" ref="C68" ca="1">IF(OR((C$67&gt;=$AW$11:$AW$74)*(C$48&lt;=$AX$11:$AX$74)&gt;0),$B68,"")</f>
        <v/>
      </c>
      <c r="D68" s="84" t="str">
        <f t="array" aca="1" ref="D68" ca="1">IF(OR((D$67&gt;=$AW$11:$AW$74)*(D$48&lt;=$AX$11:$AX$74)&gt;0),$B68,"")</f>
        <v/>
      </c>
      <c r="E68" s="84" t="str">
        <f t="array" aca="1" ref="E68" ca="1">IF(OR((E$67&gt;=$AW$11:$AW$74)*(E$48&lt;=$AX$11:$AX$74)&gt;0),$B68,"")</f>
        <v/>
      </c>
      <c r="F68" s="84" t="str">
        <f t="array" aca="1" ref="F68" ca="1">IF(OR((F$67&gt;=$AW$11:$AW$74)*(F$48&lt;=$AX$11:$AX$74)&gt;0),$B68,"")</f>
        <v/>
      </c>
      <c r="G68" s="84" t="str">
        <f t="array" aca="1" ref="G68" ca="1">IF(OR((G$67&gt;=$AW$11:$AW$74)*(G$48&lt;=$AX$11:$AX$74)&gt;0),$B68,"")</f>
        <v/>
      </c>
      <c r="H68" s="84" t="str">
        <f t="array" aca="1" ref="H68" ca="1">IF(OR((H$67&gt;=$AW$11:$AW$74)*(H$48&lt;=$AX$11:$AX$74)&gt;0),$B68,"")</f>
        <v/>
      </c>
      <c r="I68" s="84" t="str">
        <f t="array" aca="1" ref="I68" ca="1">IF(OR((I$67&gt;=$AW$11:$AW$74)*(I$48&lt;=$AX$11:$AX$74)&gt;0),$B68,"")</f>
        <v/>
      </c>
      <c r="J68" s="84" t="str">
        <f t="array" aca="1" ref="J68" ca="1">IF(OR((J$67&gt;=$AW$11:$AW$74)*(J$48&lt;=$AX$11:$AX$74)&gt;0),$B68,"")</f>
        <v/>
      </c>
      <c r="K68" s="84" t="str">
        <f t="array" aca="1" ref="K68" ca="1">IF(OR((K$67&gt;=$AW$11:$AW$74)*(K$48&lt;=$AX$11:$AX$74)&gt;0),$B68,"")</f>
        <v/>
      </c>
      <c r="L68" s="84" t="str">
        <f t="array" aca="1" ref="L68" ca="1">IF(OR((L$67&gt;=$AW$11:$AW$74)*(L$48&lt;=$AX$11:$AX$74)&gt;0),$B68,"")</f>
        <v/>
      </c>
      <c r="M68" s="84" t="str">
        <f t="array" aca="1" ref="M68" ca="1">IF(OR((M$67&gt;=$AW$11:$AW$74)*(M$48&lt;=$AX$11:$AX$74)&gt;0),$B68,"")</f>
        <v/>
      </c>
      <c r="N68" s="84" t="str">
        <f t="array" aca="1" ref="N68" ca="1">IF(OR((N$67&gt;=$AW$11:$AW$74)*(N$48&lt;=$AX$11:$AX$74)&gt;0),$B68,"")</f>
        <v/>
      </c>
      <c r="O68" s="84" t="str">
        <f t="array" aca="1" ref="O68" ca="1">IF(OR((O$67&gt;=$AW$11:$AW$74)*(O$48&lt;=$AX$11:$AX$74)&gt;0),$B68,"")</f>
        <v/>
      </c>
      <c r="P68" s="84" t="str">
        <f t="array" aca="1" ref="P68" ca="1">IF(OR((P$67&gt;=$AW$11:$AW$74)*(P$48&lt;=$AX$11:$AX$74)&gt;0),$B68,"")</f>
        <v/>
      </c>
      <c r="Q68" s="84" t="str">
        <f t="array" aca="1" ref="Q68" ca="1">IF(OR((Q$67&gt;=$AW$11:$AW$74)*(Q$48&lt;=$AX$11:$AX$74)&gt;0),$B68,"")</f>
        <v/>
      </c>
      <c r="R68" s="84" t="str">
        <f t="array" aca="1" ref="R68" ca="1">IF(OR((R$67&gt;=$AW$11:$AW$74)*(R$48&lt;=$AX$11:$AX$74)&gt;0),$B68,"")</f>
        <v/>
      </c>
      <c r="S68" s="84" t="str">
        <f t="array" aca="1" ref="S68" ca="1">IF(OR((S$67&gt;=$AW$11:$AW$74)*(S$48&lt;=$AX$11:$AX$74)&gt;0),$B68,"")</f>
        <v/>
      </c>
      <c r="T68" s="84" t="str">
        <f t="array" aca="1" ref="T68" ca="1">IF(OR((T$67&gt;=$AW$11:$AW$74)*(T$48&lt;=$AX$11:$AX$74)&gt;0),$B68,"")</f>
        <v/>
      </c>
      <c r="U68" s="84" t="str">
        <f t="array" aca="1" ref="U68" ca="1">IF(OR((U$67&gt;=$AW$11:$AW$74)*(U$48&lt;=$AX$11:$AX$74)&gt;0),$B68,"")</f>
        <v/>
      </c>
      <c r="V68" s="84" t="str">
        <f t="array" aca="1" ref="V68" ca="1">IF(OR((V$67&gt;=$AW$11:$AW$74)*(V$48&lt;=$AX$11:$AX$74)&gt;0),$B68,"")</f>
        <v/>
      </c>
      <c r="W68" s="84" t="str">
        <f t="array" aca="1" ref="W68" ca="1">IF(OR((W$67&gt;=$AW$11:$AW$74)*(W$48&lt;=$AX$11:$AX$74)&gt;0),$B68,"")</f>
        <v/>
      </c>
      <c r="X68" s="84" t="str">
        <f t="array" aca="1" ref="X68" ca="1">IF(OR((X$67&gt;=$AW$11:$AW$74)*(X$48&lt;=$AX$11:$AX$74)&gt;0),$B68,"")</f>
        <v/>
      </c>
      <c r="Y68" s="84" t="str">
        <f t="array" aca="1" ref="Y68" ca="1">IF(OR((Y$67&gt;=$AW$11:$AW$74)*(Y$48&lt;=$AX$11:$AX$74)&gt;0),$B68,"")</f>
        <v/>
      </c>
      <c r="Z68" s="84" t="str">
        <f t="array" aca="1" ref="Z68" ca="1">IF(OR((Z$67&gt;=$AW$11:$AW$74)*(Z$48&lt;=$AX$11:$AX$74)&gt;0),$B68,"")</f>
        <v/>
      </c>
      <c r="AA68" s="84" t="str">
        <f t="array" aca="1" ref="AA68" ca="1">IF(OR((AA$67&gt;=$AW$11:$AW$74)*(AA$48&lt;=$AX$11:$AX$74)&gt;0),$B68,"")</f>
        <v/>
      </c>
      <c r="AB68" s="84" t="str">
        <f t="array" aca="1" ref="AB68" ca="1">IF(OR((AB$67&gt;=$AW$11:$AW$74)*(AB$48&lt;=$AX$11:$AX$74)&gt;0),$B68,"")</f>
        <v/>
      </c>
      <c r="AC68" s="84" t="str">
        <f t="array" aca="1" ref="AC68" ca="1">IF(OR((AC$67&gt;=$AW$11:$AW$74)*(AC$48&lt;=$AX$11:$AX$74)&gt;0),$B68,"")</f>
        <v/>
      </c>
      <c r="AD68" s="84" t="str">
        <f t="array" aca="1" ref="AD68" ca="1">IF(OR((AD$67&gt;=$AW$11:$AW$74)*(AD$48&lt;=$AX$11:$AX$74)&gt;0),$B68,"")</f>
        <v/>
      </c>
      <c r="AE68" s="84" t="str">
        <f t="array" aca="1" ref="AE68" ca="1">IF(OR((AE$67&gt;=$AW$11:$AW$74)*(AE$48&lt;=$AX$11:$AX$74)&gt;0),$B68,"")</f>
        <v/>
      </c>
      <c r="AF68" s="84" t="str">
        <f t="array" aca="1" ref="AF68" ca="1">IF(OR((AF$67&gt;=$AW$11:$AW$74)*(AF$48&lt;=$AX$11:$AX$74)&gt;0),$B68,"")</f>
        <v/>
      </c>
      <c r="AG68" s="84" t="str">
        <f t="array" aca="1" ref="AG68" ca="1">IF(OR((AG$67&gt;=$AW$11:$AW$74)*(AG$48&lt;=$AX$11:$AX$74)&gt;0),$B68,"")</f>
        <v/>
      </c>
      <c r="AH68" s="84" t="str">
        <f t="array" aca="1" ref="AH68" ca="1">IF(OR((AH$67&gt;=$AW$11:$AW$74)*(AH$48&lt;=$AX$11:$AX$74)&gt;0),$B68,"")</f>
        <v/>
      </c>
      <c r="AI68" s="84" t="str">
        <f t="array" aca="1" ref="AI68" ca="1">IF(OR((AI$67&gt;=$AW$11:$AW$74)*(AI$48&lt;=$AX$11:$AX$74)&gt;0),$B68,"")</f>
        <v/>
      </c>
      <c r="AK68" s="80" t="s">
        <v>172</v>
      </c>
      <c r="AL68" s="134">
        <v>1</v>
      </c>
      <c r="AM68" s="84" t="str">
        <f t="array" aca="1" ref="AM68" ca="1">IF(OR((AM$67&gt;=$AW$11:$AW$74)*(AM$48&lt;=$AX$11:$AX$74)&gt;0),$B68,"")</f>
        <v/>
      </c>
      <c r="AN68" s="84" t="str">
        <f t="array" aca="1" ref="AN68" ca="1">IF(OR((AN$67&gt;=$AW$11:$AW$74)*(AN$48&lt;=$AX$11:$AX$74)&gt;0),$B68,"")</f>
        <v/>
      </c>
      <c r="AO68" s="84" t="str">
        <f t="array" aca="1" ref="AO68" ca="1">IF(OR((AO$67&gt;=$AW$11:$AW$74)*(AO$48&lt;=$AX$11:$AX$74)&gt;0),$B68,"")</f>
        <v/>
      </c>
      <c r="AP68" s="84" t="str">
        <f t="array" aca="1" ref="AP68" ca="1">IF(OR((AP$67&gt;=$AW$11:$AW$74)*(AP$48&lt;=$AX$11:$AX$74)&gt;0),$B68,"")</f>
        <v/>
      </c>
      <c r="AQ68" s="84" t="str">
        <f t="array" aca="1" ref="AQ68" ca="1">IF(OR((AQ$67&gt;=$AW$11:$AW$74)*(AQ$48&lt;=$AX$11:$AX$74)&gt;0),$B68,"")</f>
        <v/>
      </c>
      <c r="AR68" s="84" t="str">
        <f t="array" aca="1" ref="AR68" ca="1">IF(OR((AR$67&gt;=$AW$11:$AW$74)*(AR$48&lt;=$AX$11:$AX$74)&gt;0),$B68,"")</f>
        <v/>
      </c>
      <c r="AS68" s="84" t="str">
        <f t="array" aca="1" ref="AS68" ca="1">IF(OR((AS$67&gt;=$AW$11:$AW$74)*(AS$48&lt;=$AX$11:$AX$74)&gt;0),$B68,"")</f>
        <v/>
      </c>
      <c r="AT68" s="84" t="str">
        <f t="array" aca="1" ref="AT68" ca="1">IF(OR((AT$67&gt;=$AW$11:$AW$74)*(AT$48&lt;=$AX$11:$AX$74)&gt;0),$B68,"")</f>
        <v/>
      </c>
      <c r="AU68" s="84" t="str">
        <f t="array" aca="1" ref="AU68" ca="1">IF(OR((AU$67&gt;=$AW$11:$AW$74)*(AU$48&lt;=$AX$11:$AX$74)&gt;0),$B68,"")</f>
        <v/>
      </c>
      <c r="AV68" s="84" t="str">
        <f t="array" aca="1" ref="AV68" ca="1">IF(OR((AV$67&gt;=$AW$11:$AW$74)*(AV$48&lt;=$AX$11:$AX$74)&gt;0),$B68,"")</f>
        <v/>
      </c>
      <c r="AW68" s="84" t="str">
        <f t="array" aca="1" ref="AW68" ca="1">IF(OR((AW$67&gt;=$AW$11:$AW$74)*(AW$48&lt;=$AX$11:$AX$74)&gt;0),$B68,"")</f>
        <v/>
      </c>
      <c r="AX68" s="84" t="str">
        <f t="array" aca="1" ref="AX68" ca="1">IF(OR((AX$67&gt;=$AW$11:$AW$74)*(AX$48&lt;=$AX$11:$AX$74)&gt;0),$B68,"")</f>
        <v/>
      </c>
      <c r="AY68" s="84" t="str">
        <f t="array" aca="1" ref="AY68" ca="1">IF(OR((AY$67&gt;=$AW$11:$AW$74)*(AY$48&lt;=$AX$11:$AX$74)&gt;0),$B68,"")</f>
        <v/>
      </c>
      <c r="AZ68" s="84" t="str">
        <f t="array" aca="1" ref="AZ68" ca="1">IF(OR((AZ$67&gt;=$AW$11:$AW$74)*(AZ$48&lt;=$AX$11:$AX$74)&gt;0),$B68,"")</f>
        <v/>
      </c>
      <c r="BA68" s="84" t="str">
        <f t="array" aca="1" ref="BA68" ca="1">IF(OR((BA$67&gt;=$AW$11:$AW$74)*(BA$48&lt;=$AX$11:$AX$74)&gt;0),$B68,"")</f>
        <v/>
      </c>
      <c r="BB68" s="84" t="str">
        <f t="array" aca="1" ref="BB68" ca="1">IF(OR((BB$67&gt;=$AW$11:$AW$74)*(BB$48&lt;=$AX$11:$AX$74)&gt;0),$B68,"")</f>
        <v/>
      </c>
      <c r="BC68" s="84" t="str">
        <f t="array" aca="1" ref="BC68" ca="1">IF(OR((BC$67&gt;=$AW$11:$AW$74)*(BC$48&lt;=$AX$11:$AX$74)&gt;0),$B68,"")</f>
        <v/>
      </c>
      <c r="BD68" s="84" t="str">
        <f t="array" aca="1" ref="BD68" ca="1">IF(OR((BD$67&gt;=$AW$11:$AW$74)*(BD$48&lt;=$AX$11:$AX$74)&gt;0),$B68,"")</f>
        <v/>
      </c>
      <c r="BE68" s="84" t="str">
        <f t="array" aca="1" ref="BE68" ca="1">IF(OR((BE$67&gt;=$AW$11:$AW$74)*(BE$48&lt;=$AX$11:$AX$74)&gt;0),$B68,"")</f>
        <v/>
      </c>
      <c r="BF68" s="84" t="str">
        <f t="array" aca="1" ref="BF68" ca="1">IF(OR((BF$67&gt;=$AW$11:$AW$74)*(BF$48&lt;=$AX$11:$AX$74)&gt;0),$B68,"")</f>
        <v/>
      </c>
      <c r="BG68" s="84" t="str">
        <f t="array" aca="1" ref="BG68" ca="1">IF(OR((BG$67&gt;=$AW$11:$AW$74)*(BG$48&lt;=$AX$11:$AX$74)&gt;0),$B68,"")</f>
        <v/>
      </c>
      <c r="BH68" s="84" t="str">
        <f t="array" aca="1" ref="BH68" ca="1">IF(OR((BH$67&gt;=$AW$11:$AW$74)*(BH$48&lt;=$AX$11:$AX$74)&gt;0),$B68,"")</f>
        <v/>
      </c>
      <c r="BI68" s="84" t="str">
        <f t="array" aca="1" ref="BI68" ca="1">IF(OR((BI$67&gt;=$AW$11:$AW$74)*(BI$48&lt;=$AX$11:$AX$74)&gt;0),$B68,"")</f>
        <v/>
      </c>
      <c r="BJ68" s="84" t="str">
        <f t="array" aca="1" ref="BJ68" ca="1">IF(OR((BJ$67&gt;=$AW$11:$AW$74)*(BJ$48&lt;=$AX$11:$AX$74)&gt;0),$B68,"")</f>
        <v/>
      </c>
      <c r="BK68" s="84" t="str">
        <f t="array" aca="1" ref="BK68" ca="1">IF(OR((BK$67&gt;=$AW$11:$AW$74)*(BK$48&lt;=$AX$11:$AX$74)&gt;0),$B68,"")</f>
        <v/>
      </c>
      <c r="BL68" s="84" t="str">
        <f t="array" aca="1" ref="BL68" ca="1">IF(OR((BL$67&gt;=$AW$11:$AW$74)*(BL$48&lt;=$AX$11:$AX$74)&gt;0),$B68,"")</f>
        <v/>
      </c>
      <c r="BM68" s="84" t="str">
        <f t="array" aca="1" ref="BM68" ca="1">IF(OR((BM$67&gt;=$AW$11:$AW$74)*(BM$48&lt;=$AX$11:$AX$74)&gt;0),$B68,"")</f>
        <v/>
      </c>
      <c r="BN68" s="84" t="str">
        <f t="array" aca="1" ref="BN68" ca="1">IF(OR((BN$67&gt;=$AW$11:$AW$74)*(BN$48&lt;=$AX$11:$AX$74)&gt;0),$B68,"")</f>
        <v/>
      </c>
      <c r="BO68" s="84" t="str">
        <f t="array" aca="1" ref="BO68" ca="1">IF(OR((BO$67&gt;=$AW$11:$AW$74)*(BO$48&lt;=$AX$11:$AX$74)&gt;0),$B68,"")</f>
        <v/>
      </c>
      <c r="BP68" s="84" t="str">
        <f t="array" aca="1" ref="BP68" ca="1">IF(OR((BP$67&gt;=$AW$11:$AW$74)*(BP$48&lt;=$AX$11:$AX$74)&gt;0),$B68,"")</f>
        <v/>
      </c>
      <c r="BQ68" s="84" t="str">
        <f t="array" aca="1" ref="BQ68" ca="1">IF(OR((BQ$67&gt;=$AW$11:$AW$74)*(BQ$48&lt;=$AX$11:$AX$74)&gt;0),$B68,"")</f>
        <v/>
      </c>
      <c r="BR68" s="84" t="str">
        <f t="array" aca="1" ref="BR68" ca="1">IF(OR((BR$67&gt;=$AW$11:$AW$74)*(BR$48&lt;=$AX$11:$AX$74)&gt;0),$B68,"")</f>
        <v/>
      </c>
      <c r="BS68" s="84" t="str">
        <f t="array" aca="1" ref="BS68" ca="1">IF(OR((BS$67&gt;=$AW$11:$AW$74)*(BS$48&lt;=$AX$11:$AX$74)&gt;0),$B68,"")</f>
        <v/>
      </c>
      <c r="BU68" s="80" t="s">
        <v>172</v>
      </c>
      <c r="BV68" s="134">
        <v>1</v>
      </c>
      <c r="BW68" s="84" t="str">
        <f t="array" aca="1" ref="BW68" ca="1">IF(OR((BW$67&gt;=$AW$11:$AW$74)*(BW$48&lt;=$AX$11:$AX$74)&gt;0),$B68,"")</f>
        <v/>
      </c>
      <c r="BX68" s="84" t="str">
        <f t="array" aca="1" ref="BX68" ca="1">IF(OR((BX$67&gt;=$AW$11:$AW$74)*(BX$48&lt;=$AX$11:$AX$74)&gt;0),$B68,"")</f>
        <v/>
      </c>
      <c r="BY68" s="84" t="str">
        <f t="array" aca="1" ref="BY68" ca="1">IF(OR((BY$67&gt;=$AW$11:$AW$74)*(BY$48&lt;=$AX$11:$AX$74)&gt;0),$B68,"")</f>
        <v/>
      </c>
      <c r="BZ68" s="84" t="str">
        <f t="array" aca="1" ref="BZ68" ca="1">IF(OR((BZ$67&gt;=$AW$11:$AW$74)*(BZ$48&lt;=$AX$11:$AX$74)&gt;0),$B68,"")</f>
        <v/>
      </c>
      <c r="CA68" s="84" t="str">
        <f t="array" aca="1" ref="CA68" ca="1">IF(OR((CA$67&gt;=$AW$11:$AW$74)*(CA$48&lt;=$AX$11:$AX$74)&gt;0),$B68,"")</f>
        <v/>
      </c>
      <c r="CB68" s="84" t="str">
        <f t="array" aca="1" ref="CB68" ca="1">IF(OR((CB$67&gt;=$AW$11:$AW$74)*(CB$48&lt;=$AX$11:$AX$74)&gt;0),$B68,"")</f>
        <v/>
      </c>
      <c r="CC68" s="84" t="str">
        <f t="array" aca="1" ref="CC68" ca="1">IF(OR((CC$67&gt;=$AW$11:$AW$74)*(CC$48&lt;=$AX$11:$AX$74)&gt;0),$B68,"")</f>
        <v/>
      </c>
      <c r="CD68" s="84" t="str">
        <f t="array" aca="1" ref="CD68" ca="1">IF(OR((CD$67&gt;=$AW$11:$AW$74)*(CD$48&lt;=$AX$11:$AX$74)&gt;0),$B68,"")</f>
        <v/>
      </c>
      <c r="CE68" s="84" t="str">
        <f t="array" aca="1" ref="CE68" ca="1">IF(OR((CE$67&gt;=$AW$11:$AW$74)*(CE$48&lt;=$AX$11:$AX$74)&gt;0),$B68,"")</f>
        <v/>
      </c>
      <c r="CF68" s="84" t="str">
        <f t="array" aca="1" ref="CF68" ca="1">IF(OR((CF$67&gt;=$AW$11:$AW$74)*(CF$48&lt;=$AX$11:$AX$74)&gt;0),$B68,"")</f>
        <v/>
      </c>
      <c r="CG68" s="84" t="str">
        <f t="array" aca="1" ref="CG68" ca="1">IF(OR((CG$67&gt;=$AW$11:$AW$74)*(CG$48&lt;=$AX$11:$AX$74)&gt;0),$B68,"")</f>
        <v/>
      </c>
      <c r="CH68" s="84" t="str">
        <f t="array" aca="1" ref="CH68" ca="1">IF(OR((CH$67&gt;=$AW$11:$AW$74)*(CH$48&lt;=$AX$11:$AX$74)&gt;0),$B68,"")</f>
        <v/>
      </c>
      <c r="CI68" s="84" t="str">
        <f t="array" aca="1" ref="CI68" ca="1">IF(OR((CI$67&gt;=$AW$11:$AW$74)*(CI$48&lt;=$AX$11:$AX$74)&gt;0),$B68,"")</f>
        <v/>
      </c>
      <c r="CJ68" s="84" t="str">
        <f t="array" aca="1" ref="CJ68" ca="1">IF(OR((CJ$67&gt;=$AW$11:$AW$74)*(CJ$48&lt;=$AX$11:$AX$74)&gt;0),$B68,"")</f>
        <v/>
      </c>
      <c r="CK68" s="84" t="str">
        <f t="array" aca="1" ref="CK68" ca="1">IF(OR((CK$67&gt;=$AW$11:$AW$74)*(CK$48&lt;=$AX$11:$AX$74)&gt;0),$B68,"")</f>
        <v/>
      </c>
      <c r="CL68" s="84" t="str">
        <f t="array" aca="1" ref="CL68" ca="1">IF(OR((CL$67&gt;=$AW$11:$AW$74)*(CL$48&lt;=$AX$11:$AX$74)&gt;0),$B68,"")</f>
        <v/>
      </c>
      <c r="CM68" s="84" t="str">
        <f t="array" aca="1" ref="CM68" ca="1">IF(OR((CM$67&gt;=$AW$11:$AW$74)*(CM$48&lt;=$AX$11:$AX$74)&gt;0),$B68,"")</f>
        <v/>
      </c>
      <c r="CN68" s="84" t="str">
        <f t="array" aca="1" ref="CN68" ca="1">IF(OR((CN$67&gt;=$AW$11:$AW$74)*(CN$48&lt;=$AX$11:$AX$74)&gt;0),$B68,"")</f>
        <v/>
      </c>
      <c r="CO68" s="84" t="str">
        <f t="array" aca="1" ref="CO68" ca="1">IF(OR((CO$67&gt;=$AW$11:$AW$74)*(CO$48&lt;=$AX$11:$AX$74)&gt;0),$B68,"")</f>
        <v/>
      </c>
      <c r="CP68" s="84" t="str">
        <f t="array" aca="1" ref="CP68" ca="1">IF(OR((CP$67&gt;=$AW$11:$AW$74)*(CP$48&lt;=$AX$11:$AX$74)&gt;0),$B68,"")</f>
        <v/>
      </c>
      <c r="CQ68" s="84" t="str">
        <f t="array" aca="1" ref="CQ68" ca="1">IF(OR((CQ$67&gt;=$AW$11:$AW$74)*(CQ$48&lt;=$AX$11:$AX$74)&gt;0),$B68,"")</f>
        <v/>
      </c>
      <c r="CR68" s="84" t="str">
        <f t="array" aca="1" ref="CR68" ca="1">IF(OR((CR$67&gt;=$AW$11:$AW$74)*(CR$48&lt;=$AX$11:$AX$74)&gt;0),$B68,"")</f>
        <v/>
      </c>
      <c r="CS68" s="84" t="str">
        <f t="array" aca="1" ref="CS68" ca="1">IF(OR((CS$67&gt;=$AW$11:$AW$74)*(CS$48&lt;=$AX$11:$AX$74)&gt;0),$B68,"")</f>
        <v/>
      </c>
      <c r="CT68" s="84" t="str">
        <f t="array" aca="1" ref="CT68" ca="1">IF(OR((CT$67&gt;=$AW$11:$AW$74)*(CT$48&lt;=$AX$11:$AX$74)&gt;0),$B68,"")</f>
        <v/>
      </c>
      <c r="CU68" s="84" t="str">
        <f t="array" aca="1" ref="CU68" ca="1">IF(OR((CU$67&gt;=$AW$11:$AW$74)*(CU$48&lt;=$AX$11:$AX$74)&gt;0),$B68,"")</f>
        <v/>
      </c>
      <c r="CV68" s="84" t="str">
        <f t="array" aca="1" ref="CV68" ca="1">IF(OR((CV$67&gt;=$AW$11:$AW$74)*(CV$48&lt;=$AX$11:$AX$74)&gt;0),$B68,"")</f>
        <v/>
      </c>
      <c r="CW68" s="84" t="str">
        <f t="array" aca="1" ref="CW68" ca="1">IF(OR((CW$67&gt;=$AW$11:$AW$74)*(CW$48&lt;=$AX$11:$AX$74)&gt;0),$B68,"")</f>
        <v/>
      </c>
      <c r="CX68" s="84" t="str">
        <f t="array" aca="1" ref="CX68" ca="1">IF(OR((CX$67&gt;=$AW$11:$AW$74)*(CX$48&lt;=$AX$11:$AX$74)&gt;0),$B68,"")</f>
        <v/>
      </c>
      <c r="CY68" s="84" t="str">
        <f t="array" aca="1" ref="CY68" ca="1">IF(OR((CY$67&gt;=$AW$11:$AW$74)*(CY$48&lt;=$AX$11:$AX$74)&gt;0),$B68,"")</f>
        <v/>
      </c>
      <c r="CZ68" s="84" t="str">
        <f t="array" aca="1" ref="CZ68" ca="1">IF(OR((CZ$67&gt;=$AW$11:$AW$74)*(CZ$48&lt;=$AX$11:$AX$74)&gt;0),$B68,"")</f>
        <v/>
      </c>
      <c r="DA68" s="84" t="str">
        <f t="array" aca="1" ref="DA68" ca="1">IF(OR((DA$67&gt;=$AW$11:$AW$74)*(DA$48&lt;=$AX$11:$AX$74)&gt;0),$B68,"")</f>
        <v/>
      </c>
      <c r="DB68" s="84" t="str">
        <f t="array" aca="1" ref="DB68" ca="1">IF(OR((DB$67&gt;=$AW$11:$AW$74)*(DB$48&lt;=$AX$11:$AX$74)&gt;0),$B68,"")</f>
        <v/>
      </c>
      <c r="DC68" s="84" t="str">
        <f t="array" aca="1" ref="DC68" ca="1">IF(OR((DC$67&gt;=$AW$11:$AW$74)*(DC$48&lt;=$AX$11:$AX$74)&gt;0),$B68,"")</f>
        <v/>
      </c>
    </row>
    <row r="69" spans="1:107">
      <c r="A69" s="80" t="s">
        <v>173</v>
      </c>
      <c r="B69" s="128">
        <v>21</v>
      </c>
      <c r="C69" s="84" t="str">
        <f t="array" aca="1" ref="C69" ca="1">IF(OR((C$67&gt;=$AW$11:$AW$74)*(C$48&lt;=$AX$11:$AX$74)&gt;0),$B69,"")</f>
        <v/>
      </c>
      <c r="D69" s="84" t="str">
        <f t="array" aca="1" ref="D69" ca="1">IF(OR((D$67&gt;=$AW$11:$AW$74)*(D$48&lt;=$AX$11:$AX$74)&gt;0),$B69,"")</f>
        <v/>
      </c>
      <c r="E69" s="84" t="str">
        <f t="array" aca="1" ref="E69" ca="1">IF(OR((E$67&gt;=$AW$11:$AW$74)*(E$48&lt;=$AX$11:$AX$74)&gt;0),$B69,"")</f>
        <v/>
      </c>
      <c r="F69" s="84" t="str">
        <f t="array" aca="1" ref="F69" ca="1">IF(OR((F$67&gt;=$AW$11:$AW$74)*(F$48&lt;=$AX$11:$AX$74)&gt;0),$B69,"")</f>
        <v/>
      </c>
      <c r="G69" s="84" t="str">
        <f t="array" aca="1" ref="G69" ca="1">IF(OR((G$67&gt;=$AW$11:$AW$74)*(G$48&lt;=$AX$11:$AX$74)&gt;0),$B69,"")</f>
        <v/>
      </c>
      <c r="H69" s="84" t="str">
        <f t="array" aca="1" ref="H69" ca="1">IF(OR((H$67&gt;=$AW$11:$AW$74)*(H$48&lt;=$AX$11:$AX$74)&gt;0),$B69,"")</f>
        <v/>
      </c>
      <c r="I69" s="84" t="str">
        <f t="array" aca="1" ref="I69" ca="1">IF(OR((I$67&gt;=$AW$11:$AW$74)*(I$48&lt;=$AX$11:$AX$74)&gt;0),$B69,"")</f>
        <v/>
      </c>
      <c r="J69" s="84" t="str">
        <f t="array" aca="1" ref="J69" ca="1">IF(OR((J$67&gt;=$AW$11:$AW$74)*(J$48&lt;=$AX$11:$AX$74)&gt;0),$B69,"")</f>
        <v/>
      </c>
      <c r="K69" s="84" t="str">
        <f t="array" aca="1" ref="K69" ca="1">IF(OR((K$67&gt;=$AW$11:$AW$74)*(K$48&lt;=$AX$11:$AX$74)&gt;0),$B69,"")</f>
        <v/>
      </c>
      <c r="L69" s="84" t="str">
        <f t="array" aca="1" ref="L69" ca="1">IF(OR((L$67&gt;=$AW$11:$AW$74)*(L$48&lt;=$AX$11:$AX$74)&gt;0),$B69,"")</f>
        <v/>
      </c>
      <c r="M69" s="84" t="str">
        <f t="array" aca="1" ref="M69" ca="1">IF(OR((M$67&gt;=$AW$11:$AW$74)*(M$48&lt;=$AX$11:$AX$74)&gt;0),$B69,"")</f>
        <v/>
      </c>
      <c r="N69" s="84" t="str">
        <f t="array" aca="1" ref="N69" ca="1">IF(OR((N$67&gt;=$AW$11:$AW$74)*(N$48&lt;=$AX$11:$AX$74)&gt;0),$B69,"")</f>
        <v/>
      </c>
      <c r="O69" s="84" t="str">
        <f t="array" aca="1" ref="O69" ca="1">IF(OR((O$67&gt;=$AW$11:$AW$74)*(O$48&lt;=$AX$11:$AX$74)&gt;0),$B69,"")</f>
        <v/>
      </c>
      <c r="P69" s="84" t="str">
        <f t="array" aca="1" ref="P69" ca="1">IF(OR((P$67&gt;=$AW$11:$AW$74)*(P$48&lt;=$AX$11:$AX$74)&gt;0),$B69,"")</f>
        <v/>
      </c>
      <c r="Q69" s="84" t="str">
        <f t="array" aca="1" ref="Q69" ca="1">IF(OR((Q$67&gt;=$AW$11:$AW$74)*(Q$48&lt;=$AX$11:$AX$74)&gt;0),$B69,"")</f>
        <v/>
      </c>
      <c r="R69" s="84" t="str">
        <f t="array" aca="1" ref="R69" ca="1">IF(OR((R$67&gt;=$AW$11:$AW$74)*(R$48&lt;=$AX$11:$AX$74)&gt;0),$B69,"")</f>
        <v/>
      </c>
      <c r="S69" s="84" t="str">
        <f t="array" aca="1" ref="S69" ca="1">IF(OR((S$67&gt;=$AW$11:$AW$74)*(S$48&lt;=$AX$11:$AX$74)&gt;0),$B69,"")</f>
        <v/>
      </c>
      <c r="T69" s="84" t="str">
        <f t="array" aca="1" ref="T69" ca="1">IF(OR((T$67&gt;=$AW$11:$AW$74)*(T$48&lt;=$AX$11:$AX$74)&gt;0),$B69,"")</f>
        <v/>
      </c>
      <c r="U69" s="84" t="str">
        <f t="array" aca="1" ref="U69" ca="1">IF(OR((U$67&gt;=$AW$11:$AW$74)*(U$48&lt;=$AX$11:$AX$74)&gt;0),$B69,"")</f>
        <v/>
      </c>
      <c r="V69" s="84" t="str">
        <f t="array" aca="1" ref="V69" ca="1">IF(OR((V$67&gt;=$AW$11:$AW$74)*(V$48&lt;=$AX$11:$AX$74)&gt;0),$B69,"")</f>
        <v/>
      </c>
      <c r="W69" s="84" t="str">
        <f t="array" aca="1" ref="W69" ca="1">IF(OR((W$67&gt;=$AW$11:$AW$74)*(W$48&lt;=$AX$11:$AX$74)&gt;0),$B69,"")</f>
        <v/>
      </c>
      <c r="X69" s="84" t="str">
        <f t="array" aca="1" ref="X69" ca="1">IF(OR((X$67&gt;=$AW$11:$AW$74)*(X$48&lt;=$AX$11:$AX$74)&gt;0),$B69,"")</f>
        <v/>
      </c>
      <c r="Y69" s="84" t="str">
        <f t="array" aca="1" ref="Y69" ca="1">IF(OR((Y$67&gt;=$AW$11:$AW$74)*(Y$48&lt;=$AX$11:$AX$74)&gt;0),$B69,"")</f>
        <v/>
      </c>
      <c r="Z69" s="84" t="str">
        <f t="array" aca="1" ref="Z69" ca="1">IF(OR((Z$67&gt;=$AW$11:$AW$74)*(Z$48&lt;=$AX$11:$AX$74)&gt;0),$B69,"")</f>
        <v/>
      </c>
      <c r="AA69" s="84" t="str">
        <f t="array" aca="1" ref="AA69" ca="1">IF(OR((AA$67&gt;=$AW$11:$AW$74)*(AA$48&lt;=$AX$11:$AX$74)&gt;0),$B69,"")</f>
        <v/>
      </c>
      <c r="AB69" s="84" t="str">
        <f t="array" aca="1" ref="AB69" ca="1">IF(OR((AB$67&gt;=$AW$11:$AW$74)*(AB$48&lt;=$AX$11:$AX$74)&gt;0),$B69,"")</f>
        <v/>
      </c>
      <c r="AC69" s="84" t="str">
        <f t="array" aca="1" ref="AC69" ca="1">IF(OR((AC$67&gt;=$AW$11:$AW$74)*(AC$48&lt;=$AX$11:$AX$74)&gt;0),$B69,"")</f>
        <v/>
      </c>
      <c r="AD69" s="84" t="str">
        <f t="array" aca="1" ref="AD69" ca="1">IF(OR((AD$67&gt;=$AW$11:$AW$74)*(AD$48&lt;=$AX$11:$AX$74)&gt;0),$B69,"")</f>
        <v/>
      </c>
      <c r="AE69" s="84" t="str">
        <f t="array" aca="1" ref="AE69" ca="1">IF(OR((AE$67&gt;=$AW$11:$AW$74)*(AE$48&lt;=$AX$11:$AX$74)&gt;0),$B69,"")</f>
        <v/>
      </c>
      <c r="AF69" s="84" t="str">
        <f t="array" aca="1" ref="AF69" ca="1">IF(OR((AF$67&gt;=$AW$11:$AW$74)*(AF$48&lt;=$AX$11:$AX$74)&gt;0),$B69,"")</f>
        <v/>
      </c>
      <c r="AG69" s="84" t="str">
        <f t="array" aca="1" ref="AG69" ca="1">IF(OR((AG$67&gt;=$AW$11:$AW$74)*(AG$48&lt;=$AX$11:$AX$74)&gt;0),$B69,"")</f>
        <v/>
      </c>
      <c r="AH69" s="84" t="str">
        <f t="array" aca="1" ref="AH69" ca="1">IF(OR((AH$67&gt;=$AW$11:$AW$74)*(AH$48&lt;=$AX$11:$AX$74)&gt;0),$B69,"")</f>
        <v/>
      </c>
      <c r="AI69" s="84" t="str">
        <f t="array" aca="1" ref="AI69" ca="1">IF(OR((AI$67&gt;=$AW$11:$AW$74)*(AI$48&lt;=$AX$11:$AX$74)&gt;0),$B69,"")</f>
        <v/>
      </c>
      <c r="AK69" s="80" t="s">
        <v>173</v>
      </c>
      <c r="AL69" s="134">
        <v>21</v>
      </c>
      <c r="AM69" s="84" t="str">
        <f t="array" aca="1" ref="AM69" ca="1">IF(OR((AM$67&gt;=$AW$11:$AW$74)*(AM$48&lt;=$AX$11:$AX$74)&gt;0),$B69,"")</f>
        <v/>
      </c>
      <c r="AN69" s="84" t="str">
        <f t="array" aca="1" ref="AN69" ca="1">IF(OR((AN$67&gt;=$AW$11:$AW$74)*(AN$48&lt;=$AX$11:$AX$74)&gt;0),$B69,"")</f>
        <v/>
      </c>
      <c r="AO69" s="84" t="str">
        <f t="array" aca="1" ref="AO69" ca="1">IF(OR((AO$67&gt;=$AW$11:$AW$74)*(AO$48&lt;=$AX$11:$AX$74)&gt;0),$B69,"")</f>
        <v/>
      </c>
      <c r="AP69" s="84" t="str">
        <f t="array" aca="1" ref="AP69" ca="1">IF(OR((AP$67&gt;=$AW$11:$AW$74)*(AP$48&lt;=$AX$11:$AX$74)&gt;0),$B69,"")</f>
        <v/>
      </c>
      <c r="AQ69" s="84" t="str">
        <f t="array" aca="1" ref="AQ69" ca="1">IF(OR((AQ$67&gt;=$AW$11:$AW$74)*(AQ$48&lt;=$AX$11:$AX$74)&gt;0),$B69,"")</f>
        <v/>
      </c>
      <c r="AR69" s="84" t="str">
        <f t="array" aca="1" ref="AR69" ca="1">IF(OR((AR$67&gt;=$AW$11:$AW$74)*(AR$48&lt;=$AX$11:$AX$74)&gt;0),$B69,"")</f>
        <v/>
      </c>
      <c r="AS69" s="84" t="str">
        <f t="array" aca="1" ref="AS69" ca="1">IF(OR((AS$67&gt;=$AW$11:$AW$74)*(AS$48&lt;=$AX$11:$AX$74)&gt;0),$B69,"")</f>
        <v/>
      </c>
      <c r="AT69" s="84" t="str">
        <f t="array" aca="1" ref="AT69" ca="1">IF(OR((AT$67&gt;=$AW$11:$AW$74)*(AT$48&lt;=$AX$11:$AX$74)&gt;0),$B69,"")</f>
        <v/>
      </c>
      <c r="AU69" s="84" t="str">
        <f t="array" aca="1" ref="AU69" ca="1">IF(OR((AU$67&gt;=$AW$11:$AW$74)*(AU$48&lt;=$AX$11:$AX$74)&gt;0),$B69,"")</f>
        <v/>
      </c>
      <c r="AV69" s="84" t="str">
        <f t="array" aca="1" ref="AV69" ca="1">IF(OR((AV$67&gt;=$AW$11:$AW$74)*(AV$48&lt;=$AX$11:$AX$74)&gt;0),$B69,"")</f>
        <v/>
      </c>
      <c r="AW69" s="84" t="str">
        <f t="array" aca="1" ref="AW69" ca="1">IF(OR((AW$67&gt;=$AW$11:$AW$74)*(AW$48&lt;=$AX$11:$AX$74)&gt;0),$B69,"")</f>
        <v/>
      </c>
      <c r="AX69" s="84" t="str">
        <f t="array" aca="1" ref="AX69" ca="1">IF(OR((AX$67&gt;=$AW$11:$AW$74)*(AX$48&lt;=$AX$11:$AX$74)&gt;0),$B69,"")</f>
        <v/>
      </c>
      <c r="AY69" s="84" t="str">
        <f t="array" aca="1" ref="AY69" ca="1">IF(OR((AY$67&gt;=$AW$11:$AW$74)*(AY$48&lt;=$AX$11:$AX$74)&gt;0),$B69,"")</f>
        <v/>
      </c>
      <c r="AZ69" s="84" t="str">
        <f t="array" aca="1" ref="AZ69" ca="1">IF(OR((AZ$67&gt;=$AW$11:$AW$74)*(AZ$48&lt;=$AX$11:$AX$74)&gt;0),$B69,"")</f>
        <v/>
      </c>
      <c r="BA69" s="84" t="str">
        <f t="array" aca="1" ref="BA69" ca="1">IF(OR((BA$67&gt;=$AW$11:$AW$74)*(BA$48&lt;=$AX$11:$AX$74)&gt;0),$B69,"")</f>
        <v/>
      </c>
      <c r="BB69" s="84" t="str">
        <f t="array" aca="1" ref="BB69" ca="1">IF(OR((BB$67&gt;=$AW$11:$AW$74)*(BB$48&lt;=$AX$11:$AX$74)&gt;0),$B69,"")</f>
        <v/>
      </c>
      <c r="BC69" s="84" t="str">
        <f t="array" aca="1" ref="BC69" ca="1">IF(OR((BC$67&gt;=$AW$11:$AW$74)*(BC$48&lt;=$AX$11:$AX$74)&gt;0),$B69,"")</f>
        <v/>
      </c>
      <c r="BD69" s="84" t="str">
        <f t="array" aca="1" ref="BD69" ca="1">IF(OR((BD$67&gt;=$AW$11:$AW$74)*(BD$48&lt;=$AX$11:$AX$74)&gt;0),$B69,"")</f>
        <v/>
      </c>
      <c r="BE69" s="84" t="str">
        <f t="array" aca="1" ref="BE69" ca="1">IF(OR((BE$67&gt;=$AW$11:$AW$74)*(BE$48&lt;=$AX$11:$AX$74)&gt;0),$B69,"")</f>
        <v/>
      </c>
      <c r="BF69" s="84" t="str">
        <f t="array" aca="1" ref="BF69" ca="1">IF(OR((BF$67&gt;=$AW$11:$AW$74)*(BF$48&lt;=$AX$11:$AX$74)&gt;0),$B69,"")</f>
        <v/>
      </c>
      <c r="BG69" s="84" t="str">
        <f t="array" aca="1" ref="BG69" ca="1">IF(OR((BG$67&gt;=$AW$11:$AW$74)*(BG$48&lt;=$AX$11:$AX$74)&gt;0),$B69,"")</f>
        <v/>
      </c>
      <c r="BH69" s="84" t="str">
        <f t="array" aca="1" ref="BH69" ca="1">IF(OR((BH$67&gt;=$AW$11:$AW$74)*(BH$48&lt;=$AX$11:$AX$74)&gt;0),$B69,"")</f>
        <v/>
      </c>
      <c r="BI69" s="84" t="str">
        <f t="array" aca="1" ref="BI69" ca="1">IF(OR((BI$67&gt;=$AW$11:$AW$74)*(BI$48&lt;=$AX$11:$AX$74)&gt;0),$B69,"")</f>
        <v/>
      </c>
      <c r="BJ69" s="84" t="str">
        <f t="array" aca="1" ref="BJ69" ca="1">IF(OR((BJ$67&gt;=$AW$11:$AW$74)*(BJ$48&lt;=$AX$11:$AX$74)&gt;0),$B69,"")</f>
        <v/>
      </c>
      <c r="BK69" s="84" t="str">
        <f t="array" aca="1" ref="BK69" ca="1">IF(OR((BK$67&gt;=$AW$11:$AW$74)*(BK$48&lt;=$AX$11:$AX$74)&gt;0),$B69,"")</f>
        <v/>
      </c>
      <c r="BL69" s="84" t="str">
        <f t="array" aca="1" ref="BL69" ca="1">IF(OR((BL$67&gt;=$AW$11:$AW$74)*(BL$48&lt;=$AX$11:$AX$74)&gt;0),$B69,"")</f>
        <v/>
      </c>
      <c r="BM69" s="84" t="str">
        <f t="array" aca="1" ref="BM69" ca="1">IF(OR((BM$67&gt;=$AW$11:$AW$74)*(BM$48&lt;=$AX$11:$AX$74)&gt;0),$B69,"")</f>
        <v/>
      </c>
      <c r="BN69" s="84" t="str">
        <f t="array" aca="1" ref="BN69" ca="1">IF(OR((BN$67&gt;=$AW$11:$AW$74)*(BN$48&lt;=$AX$11:$AX$74)&gt;0),$B69,"")</f>
        <v/>
      </c>
      <c r="BO69" s="84" t="str">
        <f t="array" aca="1" ref="BO69" ca="1">IF(OR((BO$67&gt;=$AW$11:$AW$74)*(BO$48&lt;=$AX$11:$AX$74)&gt;0),$B69,"")</f>
        <v/>
      </c>
      <c r="BP69" s="84" t="str">
        <f t="array" aca="1" ref="BP69" ca="1">IF(OR((BP$67&gt;=$AW$11:$AW$74)*(BP$48&lt;=$AX$11:$AX$74)&gt;0),$B69,"")</f>
        <v/>
      </c>
      <c r="BQ69" s="84" t="str">
        <f t="array" aca="1" ref="BQ69" ca="1">IF(OR((BQ$67&gt;=$AW$11:$AW$74)*(BQ$48&lt;=$AX$11:$AX$74)&gt;0),$B69,"")</f>
        <v/>
      </c>
      <c r="BR69" s="84" t="str">
        <f t="array" aca="1" ref="BR69" ca="1">IF(OR((BR$67&gt;=$AW$11:$AW$74)*(BR$48&lt;=$AX$11:$AX$74)&gt;0),$B69,"")</f>
        <v/>
      </c>
      <c r="BS69" s="84" t="str">
        <f t="array" aca="1" ref="BS69" ca="1">IF(OR((BS$67&gt;=$AW$11:$AW$74)*(BS$48&lt;=$AX$11:$AX$74)&gt;0),$B69,"")</f>
        <v/>
      </c>
      <c r="BU69" s="80" t="s">
        <v>173</v>
      </c>
      <c r="BV69" s="134">
        <v>21</v>
      </c>
      <c r="BW69" s="84" t="str">
        <f t="array" aca="1" ref="BW69" ca="1">IF(OR((BW$67&gt;=$AW$11:$AW$74)*(BW$48&lt;=$AX$11:$AX$74)&gt;0),$B69,"")</f>
        <v/>
      </c>
      <c r="BX69" s="84" t="str">
        <f t="array" aca="1" ref="BX69" ca="1">IF(OR((BX$67&gt;=$AW$11:$AW$74)*(BX$48&lt;=$AX$11:$AX$74)&gt;0),$B69,"")</f>
        <v/>
      </c>
      <c r="BY69" s="84" t="str">
        <f t="array" aca="1" ref="BY69" ca="1">IF(OR((BY$67&gt;=$AW$11:$AW$74)*(BY$48&lt;=$AX$11:$AX$74)&gt;0),$B69,"")</f>
        <v/>
      </c>
      <c r="BZ69" s="84" t="str">
        <f t="array" aca="1" ref="BZ69" ca="1">IF(OR((BZ$67&gt;=$AW$11:$AW$74)*(BZ$48&lt;=$AX$11:$AX$74)&gt;0),$B69,"")</f>
        <v/>
      </c>
      <c r="CA69" s="84" t="str">
        <f t="array" aca="1" ref="CA69" ca="1">IF(OR((CA$67&gt;=$AW$11:$AW$74)*(CA$48&lt;=$AX$11:$AX$74)&gt;0),$B69,"")</f>
        <v/>
      </c>
      <c r="CB69" s="84" t="str">
        <f t="array" aca="1" ref="CB69" ca="1">IF(OR((CB$67&gt;=$AW$11:$AW$74)*(CB$48&lt;=$AX$11:$AX$74)&gt;0),$B69,"")</f>
        <v/>
      </c>
      <c r="CC69" s="84" t="str">
        <f t="array" aca="1" ref="CC69" ca="1">IF(OR((CC$67&gt;=$AW$11:$AW$74)*(CC$48&lt;=$AX$11:$AX$74)&gt;0),$B69,"")</f>
        <v/>
      </c>
      <c r="CD69" s="84" t="str">
        <f t="array" aca="1" ref="CD69" ca="1">IF(OR((CD$67&gt;=$AW$11:$AW$74)*(CD$48&lt;=$AX$11:$AX$74)&gt;0),$B69,"")</f>
        <v/>
      </c>
      <c r="CE69" s="84" t="str">
        <f t="array" aca="1" ref="CE69" ca="1">IF(OR((CE$67&gt;=$AW$11:$AW$74)*(CE$48&lt;=$AX$11:$AX$74)&gt;0),$B69,"")</f>
        <v/>
      </c>
      <c r="CF69" s="84" t="str">
        <f t="array" aca="1" ref="CF69" ca="1">IF(OR((CF$67&gt;=$AW$11:$AW$74)*(CF$48&lt;=$AX$11:$AX$74)&gt;0),$B69,"")</f>
        <v/>
      </c>
      <c r="CG69" s="84" t="str">
        <f t="array" aca="1" ref="CG69" ca="1">IF(OR((CG$67&gt;=$AW$11:$AW$74)*(CG$48&lt;=$AX$11:$AX$74)&gt;0),$B69,"")</f>
        <v/>
      </c>
      <c r="CH69" s="84" t="str">
        <f t="array" aca="1" ref="CH69" ca="1">IF(OR((CH$67&gt;=$AW$11:$AW$74)*(CH$48&lt;=$AX$11:$AX$74)&gt;0),$B69,"")</f>
        <v/>
      </c>
      <c r="CI69" s="84" t="str">
        <f t="array" aca="1" ref="CI69" ca="1">IF(OR((CI$67&gt;=$AW$11:$AW$74)*(CI$48&lt;=$AX$11:$AX$74)&gt;0),$B69,"")</f>
        <v/>
      </c>
      <c r="CJ69" s="84" t="str">
        <f t="array" aca="1" ref="CJ69" ca="1">IF(OR((CJ$67&gt;=$AW$11:$AW$74)*(CJ$48&lt;=$AX$11:$AX$74)&gt;0),$B69,"")</f>
        <v/>
      </c>
      <c r="CK69" s="84" t="str">
        <f t="array" aca="1" ref="CK69" ca="1">IF(OR((CK$67&gt;=$AW$11:$AW$74)*(CK$48&lt;=$AX$11:$AX$74)&gt;0),$B69,"")</f>
        <v/>
      </c>
      <c r="CL69" s="84" t="str">
        <f t="array" aca="1" ref="CL69" ca="1">IF(OR((CL$67&gt;=$AW$11:$AW$74)*(CL$48&lt;=$AX$11:$AX$74)&gt;0),$B69,"")</f>
        <v/>
      </c>
      <c r="CM69" s="84" t="str">
        <f t="array" aca="1" ref="CM69" ca="1">IF(OR((CM$67&gt;=$AW$11:$AW$74)*(CM$48&lt;=$AX$11:$AX$74)&gt;0),$B69,"")</f>
        <v/>
      </c>
      <c r="CN69" s="84" t="str">
        <f t="array" aca="1" ref="CN69" ca="1">IF(OR((CN$67&gt;=$AW$11:$AW$74)*(CN$48&lt;=$AX$11:$AX$74)&gt;0),$B69,"")</f>
        <v/>
      </c>
      <c r="CO69" s="84" t="str">
        <f t="array" aca="1" ref="CO69" ca="1">IF(OR((CO$67&gt;=$AW$11:$AW$74)*(CO$48&lt;=$AX$11:$AX$74)&gt;0),$B69,"")</f>
        <v/>
      </c>
      <c r="CP69" s="84" t="str">
        <f t="array" aca="1" ref="CP69" ca="1">IF(OR((CP$67&gt;=$AW$11:$AW$74)*(CP$48&lt;=$AX$11:$AX$74)&gt;0),$B69,"")</f>
        <v/>
      </c>
      <c r="CQ69" s="84" t="str">
        <f t="array" aca="1" ref="CQ69" ca="1">IF(OR((CQ$67&gt;=$AW$11:$AW$74)*(CQ$48&lt;=$AX$11:$AX$74)&gt;0),$B69,"")</f>
        <v/>
      </c>
      <c r="CR69" s="84" t="str">
        <f t="array" aca="1" ref="CR69" ca="1">IF(OR((CR$67&gt;=$AW$11:$AW$74)*(CR$48&lt;=$AX$11:$AX$74)&gt;0),$B69,"")</f>
        <v/>
      </c>
      <c r="CS69" s="84" t="str">
        <f t="array" aca="1" ref="CS69" ca="1">IF(OR((CS$67&gt;=$AW$11:$AW$74)*(CS$48&lt;=$AX$11:$AX$74)&gt;0),$B69,"")</f>
        <v/>
      </c>
      <c r="CT69" s="84" t="str">
        <f t="array" aca="1" ref="CT69" ca="1">IF(OR((CT$67&gt;=$AW$11:$AW$74)*(CT$48&lt;=$AX$11:$AX$74)&gt;0),$B69,"")</f>
        <v/>
      </c>
      <c r="CU69" s="84" t="str">
        <f t="array" aca="1" ref="CU69" ca="1">IF(OR((CU$67&gt;=$AW$11:$AW$74)*(CU$48&lt;=$AX$11:$AX$74)&gt;0),$B69,"")</f>
        <v/>
      </c>
      <c r="CV69" s="84" t="str">
        <f t="array" aca="1" ref="CV69" ca="1">IF(OR((CV$67&gt;=$AW$11:$AW$74)*(CV$48&lt;=$AX$11:$AX$74)&gt;0),$B69,"")</f>
        <v/>
      </c>
      <c r="CW69" s="84" t="str">
        <f t="array" aca="1" ref="CW69" ca="1">IF(OR((CW$67&gt;=$AW$11:$AW$74)*(CW$48&lt;=$AX$11:$AX$74)&gt;0),$B69,"")</f>
        <v/>
      </c>
      <c r="CX69" s="84" t="str">
        <f t="array" aca="1" ref="CX69" ca="1">IF(OR((CX$67&gt;=$AW$11:$AW$74)*(CX$48&lt;=$AX$11:$AX$74)&gt;0),$B69,"")</f>
        <v/>
      </c>
      <c r="CY69" s="84" t="str">
        <f t="array" aca="1" ref="CY69" ca="1">IF(OR((CY$67&gt;=$AW$11:$AW$74)*(CY$48&lt;=$AX$11:$AX$74)&gt;0),$B69,"")</f>
        <v/>
      </c>
      <c r="CZ69" s="84" t="str">
        <f t="array" aca="1" ref="CZ69" ca="1">IF(OR((CZ$67&gt;=$AW$11:$AW$74)*(CZ$48&lt;=$AX$11:$AX$74)&gt;0),$B69,"")</f>
        <v/>
      </c>
      <c r="DA69" s="84" t="str">
        <f t="array" aca="1" ref="DA69" ca="1">IF(OR((DA$67&gt;=$AW$11:$AW$74)*(DA$48&lt;=$AX$11:$AX$74)&gt;0),$B69,"")</f>
        <v/>
      </c>
      <c r="DB69" s="84" t="str">
        <f t="array" aca="1" ref="DB69" ca="1">IF(OR((DB$67&gt;=$AW$11:$AW$74)*(DB$48&lt;=$AX$11:$AX$74)&gt;0),$B69,"")</f>
        <v/>
      </c>
      <c r="DC69" s="84" t="str">
        <f t="array" aca="1" ref="DC69" ca="1">IF(OR((DC$67&gt;=$AW$11:$AW$74)*(DC$48&lt;=$AX$11:$AX$74)&gt;0),$B69,"")</f>
        <v/>
      </c>
    </row>
    <row r="70" spans="1:107">
      <c r="A70" s="80" t="s">
        <v>174</v>
      </c>
      <c r="B70" s="128">
        <v>19</v>
      </c>
      <c r="C70" s="84" t="str">
        <f t="array" aca="1" ref="C70" ca="1">IF(OR((C$67&gt;=$AW$11:$AW$74)*(C$48&lt;=$AX$11:$AX$74)&gt;0),$B70,"")</f>
        <v/>
      </c>
      <c r="D70" s="84" t="str">
        <f t="array" aca="1" ref="D70" ca="1">IF(OR((D$67&gt;=$AW$11:$AW$74)*(D$48&lt;=$AX$11:$AX$74)&gt;0),$B70,"")</f>
        <v/>
      </c>
      <c r="E70" s="84" t="str">
        <f t="array" aca="1" ref="E70" ca="1">IF(OR((E$67&gt;=$AW$11:$AW$74)*(E$48&lt;=$AX$11:$AX$74)&gt;0),$B70,"")</f>
        <v/>
      </c>
      <c r="F70" s="84" t="str">
        <f t="array" aca="1" ref="F70" ca="1">IF(OR((F$67&gt;=$AW$11:$AW$74)*(F$48&lt;=$AX$11:$AX$74)&gt;0),$B70,"")</f>
        <v/>
      </c>
      <c r="G70" s="84" t="str">
        <f t="array" aca="1" ref="G70" ca="1">IF(OR((G$67&gt;=$AW$11:$AW$74)*(G$48&lt;=$AX$11:$AX$74)&gt;0),$B70,"")</f>
        <v/>
      </c>
      <c r="H70" s="84" t="str">
        <f t="array" aca="1" ref="H70" ca="1">IF(OR((H$67&gt;=$AW$11:$AW$74)*(H$48&lt;=$AX$11:$AX$74)&gt;0),$B70,"")</f>
        <v/>
      </c>
      <c r="I70" s="84" t="str">
        <f t="array" aca="1" ref="I70" ca="1">IF(OR((I$67&gt;=$AW$11:$AW$74)*(I$48&lt;=$AX$11:$AX$74)&gt;0),$B70,"")</f>
        <v/>
      </c>
      <c r="J70" s="84" t="str">
        <f t="array" aca="1" ref="J70" ca="1">IF(OR((J$67&gt;=$AW$11:$AW$74)*(J$48&lt;=$AX$11:$AX$74)&gt;0),$B70,"")</f>
        <v/>
      </c>
      <c r="K70" s="84" t="str">
        <f t="array" aca="1" ref="K70" ca="1">IF(OR((K$67&gt;=$AW$11:$AW$74)*(K$48&lt;=$AX$11:$AX$74)&gt;0),$B70,"")</f>
        <v/>
      </c>
      <c r="L70" s="84" t="str">
        <f t="array" aca="1" ref="L70" ca="1">IF(OR((L$67&gt;=$AW$11:$AW$74)*(L$48&lt;=$AX$11:$AX$74)&gt;0),$B70,"")</f>
        <v/>
      </c>
      <c r="M70" s="84" t="str">
        <f t="array" aca="1" ref="M70" ca="1">IF(OR((M$67&gt;=$AW$11:$AW$74)*(M$48&lt;=$AX$11:$AX$74)&gt;0),$B70,"")</f>
        <v/>
      </c>
      <c r="N70" s="84" t="str">
        <f t="array" aca="1" ref="N70" ca="1">IF(OR((N$67&gt;=$AW$11:$AW$74)*(N$48&lt;=$AX$11:$AX$74)&gt;0),$B70,"")</f>
        <v/>
      </c>
      <c r="O70" s="84" t="str">
        <f t="array" aca="1" ref="O70" ca="1">IF(OR((O$67&gt;=$AW$11:$AW$74)*(O$48&lt;=$AX$11:$AX$74)&gt;0),$B70,"")</f>
        <v/>
      </c>
      <c r="P70" s="84" t="str">
        <f t="array" aca="1" ref="P70" ca="1">IF(OR((P$67&gt;=$AW$11:$AW$74)*(P$48&lt;=$AX$11:$AX$74)&gt;0),$B70,"")</f>
        <v/>
      </c>
      <c r="Q70" s="84" t="str">
        <f t="array" aca="1" ref="Q70" ca="1">IF(OR((Q$67&gt;=$AW$11:$AW$74)*(Q$48&lt;=$AX$11:$AX$74)&gt;0),$B70,"")</f>
        <v/>
      </c>
      <c r="R70" s="84" t="str">
        <f t="array" aca="1" ref="R70" ca="1">IF(OR((R$67&gt;=$AW$11:$AW$74)*(R$48&lt;=$AX$11:$AX$74)&gt;0),$B70,"")</f>
        <v/>
      </c>
      <c r="S70" s="84" t="str">
        <f t="array" aca="1" ref="S70" ca="1">IF(OR((S$67&gt;=$AW$11:$AW$74)*(S$48&lt;=$AX$11:$AX$74)&gt;0),$B70,"")</f>
        <v/>
      </c>
      <c r="T70" s="84" t="str">
        <f t="array" aca="1" ref="T70" ca="1">IF(OR((T$67&gt;=$AW$11:$AW$74)*(T$48&lt;=$AX$11:$AX$74)&gt;0),$B70,"")</f>
        <v/>
      </c>
      <c r="U70" s="84" t="str">
        <f t="array" aca="1" ref="U70" ca="1">IF(OR((U$67&gt;=$AW$11:$AW$74)*(U$48&lt;=$AX$11:$AX$74)&gt;0),$B70,"")</f>
        <v/>
      </c>
      <c r="V70" s="84" t="str">
        <f t="array" aca="1" ref="V70" ca="1">IF(OR((V$67&gt;=$AW$11:$AW$74)*(V$48&lt;=$AX$11:$AX$74)&gt;0),$B70,"")</f>
        <v/>
      </c>
      <c r="W70" s="84" t="str">
        <f t="array" aca="1" ref="W70" ca="1">IF(OR((W$67&gt;=$AW$11:$AW$74)*(W$48&lt;=$AX$11:$AX$74)&gt;0),$B70,"")</f>
        <v/>
      </c>
      <c r="X70" s="84" t="str">
        <f t="array" aca="1" ref="X70" ca="1">IF(OR((X$67&gt;=$AW$11:$AW$74)*(X$48&lt;=$AX$11:$AX$74)&gt;0),$B70,"")</f>
        <v/>
      </c>
      <c r="Y70" s="84" t="str">
        <f t="array" aca="1" ref="Y70" ca="1">IF(OR((Y$67&gt;=$AW$11:$AW$74)*(Y$48&lt;=$AX$11:$AX$74)&gt;0),$B70,"")</f>
        <v/>
      </c>
      <c r="Z70" s="84" t="str">
        <f t="array" aca="1" ref="Z70" ca="1">IF(OR((Z$67&gt;=$AW$11:$AW$74)*(Z$48&lt;=$AX$11:$AX$74)&gt;0),$B70,"")</f>
        <v/>
      </c>
      <c r="AA70" s="84" t="str">
        <f t="array" aca="1" ref="AA70" ca="1">IF(OR((AA$67&gt;=$AW$11:$AW$74)*(AA$48&lt;=$AX$11:$AX$74)&gt;0),$B70,"")</f>
        <v/>
      </c>
      <c r="AB70" s="84" t="str">
        <f t="array" aca="1" ref="AB70" ca="1">IF(OR((AB$67&gt;=$AW$11:$AW$74)*(AB$48&lt;=$AX$11:$AX$74)&gt;0),$B70,"")</f>
        <v/>
      </c>
      <c r="AC70" s="84" t="str">
        <f t="array" aca="1" ref="AC70" ca="1">IF(OR((AC$67&gt;=$AW$11:$AW$74)*(AC$48&lt;=$AX$11:$AX$74)&gt;0),$B70,"")</f>
        <v/>
      </c>
      <c r="AD70" s="84" t="str">
        <f t="array" aca="1" ref="AD70" ca="1">IF(OR((AD$67&gt;=$AW$11:$AW$74)*(AD$48&lt;=$AX$11:$AX$74)&gt;0),$B70,"")</f>
        <v/>
      </c>
      <c r="AE70" s="84" t="str">
        <f t="array" aca="1" ref="AE70" ca="1">IF(OR((AE$67&gt;=$AW$11:$AW$74)*(AE$48&lt;=$AX$11:$AX$74)&gt;0),$B70,"")</f>
        <v/>
      </c>
      <c r="AF70" s="84" t="str">
        <f t="array" aca="1" ref="AF70" ca="1">IF(OR((AF$67&gt;=$AW$11:$AW$74)*(AF$48&lt;=$AX$11:$AX$74)&gt;0),$B70,"")</f>
        <v/>
      </c>
      <c r="AG70" s="84" t="str">
        <f t="array" aca="1" ref="AG70" ca="1">IF(OR((AG$67&gt;=$AW$11:$AW$74)*(AG$48&lt;=$AX$11:$AX$74)&gt;0),$B70,"")</f>
        <v/>
      </c>
      <c r="AH70" s="84" t="str">
        <f t="array" aca="1" ref="AH70" ca="1">IF(OR((AH$67&gt;=$AW$11:$AW$74)*(AH$48&lt;=$AX$11:$AX$74)&gt;0),$B70,"")</f>
        <v/>
      </c>
      <c r="AI70" s="84" t="str">
        <f t="array" aca="1" ref="AI70" ca="1">IF(OR((AI$67&gt;=$AW$11:$AW$74)*(AI$48&lt;=$AX$11:$AX$74)&gt;0),$B70,"")</f>
        <v/>
      </c>
      <c r="AK70" s="80" t="s">
        <v>174</v>
      </c>
      <c r="AL70" s="134">
        <v>19</v>
      </c>
      <c r="AM70" s="84" t="str">
        <f t="array" aca="1" ref="AM70" ca="1">IF(OR((AM$67&gt;=$AW$11:$AW$74)*(AM$48&lt;=$AX$11:$AX$74)&gt;0),$B70,"")</f>
        <v/>
      </c>
      <c r="AN70" s="84" t="str">
        <f t="array" aca="1" ref="AN70" ca="1">IF(OR((AN$67&gt;=$AW$11:$AW$74)*(AN$48&lt;=$AX$11:$AX$74)&gt;0),$B70,"")</f>
        <v/>
      </c>
      <c r="AO70" s="84" t="str">
        <f t="array" aca="1" ref="AO70" ca="1">IF(OR((AO$67&gt;=$AW$11:$AW$74)*(AO$48&lt;=$AX$11:$AX$74)&gt;0),$B70,"")</f>
        <v/>
      </c>
      <c r="AP70" s="84" t="str">
        <f t="array" aca="1" ref="AP70" ca="1">IF(OR((AP$67&gt;=$AW$11:$AW$74)*(AP$48&lt;=$AX$11:$AX$74)&gt;0),$B70,"")</f>
        <v/>
      </c>
      <c r="AQ70" s="84" t="str">
        <f t="array" aca="1" ref="AQ70" ca="1">IF(OR((AQ$67&gt;=$AW$11:$AW$74)*(AQ$48&lt;=$AX$11:$AX$74)&gt;0),$B70,"")</f>
        <v/>
      </c>
      <c r="AR70" s="84" t="str">
        <f t="array" aca="1" ref="AR70" ca="1">IF(OR((AR$67&gt;=$AW$11:$AW$74)*(AR$48&lt;=$AX$11:$AX$74)&gt;0),$B70,"")</f>
        <v/>
      </c>
      <c r="AS70" s="84" t="str">
        <f t="array" aca="1" ref="AS70" ca="1">IF(OR((AS$67&gt;=$AW$11:$AW$74)*(AS$48&lt;=$AX$11:$AX$74)&gt;0),$B70,"")</f>
        <v/>
      </c>
      <c r="AT70" s="84" t="str">
        <f t="array" aca="1" ref="AT70" ca="1">IF(OR((AT$67&gt;=$AW$11:$AW$74)*(AT$48&lt;=$AX$11:$AX$74)&gt;0),$B70,"")</f>
        <v/>
      </c>
      <c r="AU70" s="84" t="str">
        <f t="array" aca="1" ref="AU70" ca="1">IF(OR((AU$67&gt;=$AW$11:$AW$74)*(AU$48&lt;=$AX$11:$AX$74)&gt;0),$B70,"")</f>
        <v/>
      </c>
      <c r="AV70" s="84" t="str">
        <f t="array" aca="1" ref="AV70" ca="1">IF(OR((AV$67&gt;=$AW$11:$AW$74)*(AV$48&lt;=$AX$11:$AX$74)&gt;0),$B70,"")</f>
        <v/>
      </c>
      <c r="AW70" s="84" t="str">
        <f t="array" aca="1" ref="AW70" ca="1">IF(OR((AW$67&gt;=$AW$11:$AW$74)*(AW$48&lt;=$AX$11:$AX$74)&gt;0),$B70,"")</f>
        <v/>
      </c>
      <c r="AX70" s="84" t="str">
        <f t="array" aca="1" ref="AX70" ca="1">IF(OR((AX$67&gt;=$AW$11:$AW$74)*(AX$48&lt;=$AX$11:$AX$74)&gt;0),$B70,"")</f>
        <v/>
      </c>
      <c r="AY70" s="84" t="str">
        <f t="array" aca="1" ref="AY70" ca="1">IF(OR((AY$67&gt;=$AW$11:$AW$74)*(AY$48&lt;=$AX$11:$AX$74)&gt;0),$B70,"")</f>
        <v/>
      </c>
      <c r="AZ70" s="84" t="str">
        <f t="array" aca="1" ref="AZ70" ca="1">IF(OR((AZ$67&gt;=$AW$11:$AW$74)*(AZ$48&lt;=$AX$11:$AX$74)&gt;0),$B70,"")</f>
        <v/>
      </c>
      <c r="BA70" s="84" t="str">
        <f t="array" aca="1" ref="BA70" ca="1">IF(OR((BA$67&gt;=$AW$11:$AW$74)*(BA$48&lt;=$AX$11:$AX$74)&gt;0),$B70,"")</f>
        <v/>
      </c>
      <c r="BB70" s="84" t="str">
        <f t="array" aca="1" ref="BB70" ca="1">IF(OR((BB$67&gt;=$AW$11:$AW$74)*(BB$48&lt;=$AX$11:$AX$74)&gt;0),$B70,"")</f>
        <v/>
      </c>
      <c r="BC70" s="84" t="str">
        <f t="array" aca="1" ref="BC70" ca="1">IF(OR((BC$67&gt;=$AW$11:$AW$74)*(BC$48&lt;=$AX$11:$AX$74)&gt;0),$B70,"")</f>
        <v/>
      </c>
      <c r="BD70" s="84" t="str">
        <f t="array" aca="1" ref="BD70" ca="1">IF(OR((BD$67&gt;=$AW$11:$AW$74)*(BD$48&lt;=$AX$11:$AX$74)&gt;0),$B70,"")</f>
        <v/>
      </c>
      <c r="BE70" s="84" t="str">
        <f t="array" aca="1" ref="BE70" ca="1">IF(OR((BE$67&gt;=$AW$11:$AW$74)*(BE$48&lt;=$AX$11:$AX$74)&gt;0),$B70,"")</f>
        <v/>
      </c>
      <c r="BF70" s="84" t="str">
        <f t="array" aca="1" ref="BF70" ca="1">IF(OR((BF$67&gt;=$AW$11:$AW$74)*(BF$48&lt;=$AX$11:$AX$74)&gt;0),$B70,"")</f>
        <v/>
      </c>
      <c r="BG70" s="84" t="str">
        <f t="array" aca="1" ref="BG70" ca="1">IF(OR((BG$67&gt;=$AW$11:$AW$74)*(BG$48&lt;=$AX$11:$AX$74)&gt;0),$B70,"")</f>
        <v/>
      </c>
      <c r="BH70" s="84" t="str">
        <f t="array" aca="1" ref="BH70" ca="1">IF(OR((BH$67&gt;=$AW$11:$AW$74)*(BH$48&lt;=$AX$11:$AX$74)&gt;0),$B70,"")</f>
        <v/>
      </c>
      <c r="BI70" s="84" t="str">
        <f t="array" aca="1" ref="BI70" ca="1">IF(OR((BI$67&gt;=$AW$11:$AW$74)*(BI$48&lt;=$AX$11:$AX$74)&gt;0),$B70,"")</f>
        <v/>
      </c>
      <c r="BJ70" s="84" t="str">
        <f t="array" aca="1" ref="BJ70" ca="1">IF(OR((BJ$67&gt;=$AW$11:$AW$74)*(BJ$48&lt;=$AX$11:$AX$74)&gt;0),$B70,"")</f>
        <v/>
      </c>
      <c r="BK70" s="84" t="str">
        <f t="array" aca="1" ref="BK70" ca="1">IF(OR((BK$67&gt;=$AW$11:$AW$74)*(BK$48&lt;=$AX$11:$AX$74)&gt;0),$B70,"")</f>
        <v/>
      </c>
      <c r="BL70" s="84" t="str">
        <f t="array" aca="1" ref="BL70" ca="1">IF(OR((BL$67&gt;=$AW$11:$AW$74)*(BL$48&lt;=$AX$11:$AX$74)&gt;0),$B70,"")</f>
        <v/>
      </c>
      <c r="BM70" s="84" t="str">
        <f t="array" aca="1" ref="BM70" ca="1">IF(OR((BM$67&gt;=$AW$11:$AW$74)*(BM$48&lt;=$AX$11:$AX$74)&gt;0),$B70,"")</f>
        <v/>
      </c>
      <c r="BN70" s="84" t="str">
        <f t="array" aca="1" ref="BN70" ca="1">IF(OR((BN$67&gt;=$AW$11:$AW$74)*(BN$48&lt;=$AX$11:$AX$74)&gt;0),$B70,"")</f>
        <v/>
      </c>
      <c r="BO70" s="84" t="str">
        <f t="array" aca="1" ref="BO70" ca="1">IF(OR((BO$67&gt;=$AW$11:$AW$74)*(BO$48&lt;=$AX$11:$AX$74)&gt;0),$B70,"")</f>
        <v/>
      </c>
      <c r="BP70" s="84" t="str">
        <f t="array" aca="1" ref="BP70" ca="1">IF(OR((BP$67&gt;=$AW$11:$AW$74)*(BP$48&lt;=$AX$11:$AX$74)&gt;0),$B70,"")</f>
        <v/>
      </c>
      <c r="BQ70" s="84" t="str">
        <f t="array" aca="1" ref="BQ70" ca="1">IF(OR((BQ$67&gt;=$AW$11:$AW$74)*(BQ$48&lt;=$AX$11:$AX$74)&gt;0),$B70,"")</f>
        <v/>
      </c>
      <c r="BR70" s="84" t="str">
        <f t="array" aca="1" ref="BR70" ca="1">IF(OR((BR$67&gt;=$AW$11:$AW$74)*(BR$48&lt;=$AX$11:$AX$74)&gt;0),$B70,"")</f>
        <v/>
      </c>
      <c r="BS70" s="84" t="str">
        <f t="array" aca="1" ref="BS70" ca="1">IF(OR((BS$67&gt;=$AW$11:$AW$74)*(BS$48&lt;=$AX$11:$AX$74)&gt;0),$B70,"")</f>
        <v/>
      </c>
      <c r="BU70" s="80" t="s">
        <v>174</v>
      </c>
      <c r="BV70" s="134">
        <v>19</v>
      </c>
      <c r="BW70" s="84" t="str">
        <f t="array" aca="1" ref="BW70" ca="1">IF(OR((BW$67&gt;=$AW$11:$AW$74)*(BW$48&lt;=$AX$11:$AX$74)&gt;0),$B70,"")</f>
        <v/>
      </c>
      <c r="BX70" s="84" t="str">
        <f t="array" aca="1" ref="BX70" ca="1">IF(OR((BX$67&gt;=$AW$11:$AW$74)*(BX$48&lt;=$AX$11:$AX$74)&gt;0),$B70,"")</f>
        <v/>
      </c>
      <c r="BY70" s="84" t="str">
        <f t="array" aca="1" ref="BY70" ca="1">IF(OR((BY$67&gt;=$AW$11:$AW$74)*(BY$48&lt;=$AX$11:$AX$74)&gt;0),$B70,"")</f>
        <v/>
      </c>
      <c r="BZ70" s="84" t="str">
        <f t="array" aca="1" ref="BZ70" ca="1">IF(OR((BZ$67&gt;=$AW$11:$AW$74)*(BZ$48&lt;=$AX$11:$AX$74)&gt;0),$B70,"")</f>
        <v/>
      </c>
      <c r="CA70" s="84" t="str">
        <f t="array" aca="1" ref="CA70" ca="1">IF(OR((CA$67&gt;=$AW$11:$AW$74)*(CA$48&lt;=$AX$11:$AX$74)&gt;0),$B70,"")</f>
        <v/>
      </c>
      <c r="CB70" s="84" t="str">
        <f t="array" aca="1" ref="CB70" ca="1">IF(OR((CB$67&gt;=$AW$11:$AW$74)*(CB$48&lt;=$AX$11:$AX$74)&gt;0),$B70,"")</f>
        <v/>
      </c>
      <c r="CC70" s="84" t="str">
        <f t="array" aca="1" ref="CC70" ca="1">IF(OR((CC$67&gt;=$AW$11:$AW$74)*(CC$48&lt;=$AX$11:$AX$74)&gt;0),$B70,"")</f>
        <v/>
      </c>
      <c r="CD70" s="84" t="str">
        <f t="array" aca="1" ref="CD70" ca="1">IF(OR((CD$67&gt;=$AW$11:$AW$74)*(CD$48&lt;=$AX$11:$AX$74)&gt;0),$B70,"")</f>
        <v/>
      </c>
      <c r="CE70" s="84" t="str">
        <f t="array" aca="1" ref="CE70" ca="1">IF(OR((CE$67&gt;=$AW$11:$AW$74)*(CE$48&lt;=$AX$11:$AX$74)&gt;0),$B70,"")</f>
        <v/>
      </c>
      <c r="CF70" s="84" t="str">
        <f t="array" aca="1" ref="CF70" ca="1">IF(OR((CF$67&gt;=$AW$11:$AW$74)*(CF$48&lt;=$AX$11:$AX$74)&gt;0),$B70,"")</f>
        <v/>
      </c>
      <c r="CG70" s="84" t="str">
        <f t="array" aca="1" ref="CG70" ca="1">IF(OR((CG$67&gt;=$AW$11:$AW$74)*(CG$48&lt;=$AX$11:$AX$74)&gt;0),$B70,"")</f>
        <v/>
      </c>
      <c r="CH70" s="84" t="str">
        <f t="array" aca="1" ref="CH70" ca="1">IF(OR((CH$67&gt;=$AW$11:$AW$74)*(CH$48&lt;=$AX$11:$AX$74)&gt;0),$B70,"")</f>
        <v/>
      </c>
      <c r="CI70" s="84" t="str">
        <f t="array" aca="1" ref="CI70" ca="1">IF(OR((CI$67&gt;=$AW$11:$AW$74)*(CI$48&lt;=$AX$11:$AX$74)&gt;0),$B70,"")</f>
        <v/>
      </c>
      <c r="CJ70" s="84" t="str">
        <f t="array" aca="1" ref="CJ70" ca="1">IF(OR((CJ$67&gt;=$AW$11:$AW$74)*(CJ$48&lt;=$AX$11:$AX$74)&gt;0),$B70,"")</f>
        <v/>
      </c>
      <c r="CK70" s="84" t="str">
        <f t="array" aca="1" ref="CK70" ca="1">IF(OR((CK$67&gt;=$AW$11:$AW$74)*(CK$48&lt;=$AX$11:$AX$74)&gt;0),$B70,"")</f>
        <v/>
      </c>
      <c r="CL70" s="84" t="str">
        <f t="array" aca="1" ref="CL70" ca="1">IF(OR((CL$67&gt;=$AW$11:$AW$74)*(CL$48&lt;=$AX$11:$AX$74)&gt;0),$B70,"")</f>
        <v/>
      </c>
      <c r="CM70" s="84" t="str">
        <f t="array" aca="1" ref="CM70" ca="1">IF(OR((CM$67&gt;=$AW$11:$AW$74)*(CM$48&lt;=$AX$11:$AX$74)&gt;0),$B70,"")</f>
        <v/>
      </c>
      <c r="CN70" s="84" t="str">
        <f t="array" aca="1" ref="CN70" ca="1">IF(OR((CN$67&gt;=$AW$11:$AW$74)*(CN$48&lt;=$AX$11:$AX$74)&gt;0),$B70,"")</f>
        <v/>
      </c>
      <c r="CO70" s="84" t="str">
        <f t="array" aca="1" ref="CO70" ca="1">IF(OR((CO$67&gt;=$AW$11:$AW$74)*(CO$48&lt;=$AX$11:$AX$74)&gt;0),$B70,"")</f>
        <v/>
      </c>
      <c r="CP70" s="84" t="str">
        <f t="array" aca="1" ref="CP70" ca="1">IF(OR((CP$67&gt;=$AW$11:$AW$74)*(CP$48&lt;=$AX$11:$AX$74)&gt;0),$B70,"")</f>
        <v/>
      </c>
      <c r="CQ70" s="84" t="str">
        <f t="array" aca="1" ref="CQ70" ca="1">IF(OR((CQ$67&gt;=$AW$11:$AW$74)*(CQ$48&lt;=$AX$11:$AX$74)&gt;0),$B70,"")</f>
        <v/>
      </c>
      <c r="CR70" s="84" t="str">
        <f t="array" aca="1" ref="CR70" ca="1">IF(OR((CR$67&gt;=$AW$11:$AW$74)*(CR$48&lt;=$AX$11:$AX$74)&gt;0),$B70,"")</f>
        <v/>
      </c>
      <c r="CS70" s="84" t="str">
        <f t="array" aca="1" ref="CS70" ca="1">IF(OR((CS$67&gt;=$AW$11:$AW$74)*(CS$48&lt;=$AX$11:$AX$74)&gt;0),$B70,"")</f>
        <v/>
      </c>
      <c r="CT70" s="84" t="str">
        <f t="array" aca="1" ref="CT70" ca="1">IF(OR((CT$67&gt;=$AW$11:$AW$74)*(CT$48&lt;=$AX$11:$AX$74)&gt;0),$B70,"")</f>
        <v/>
      </c>
      <c r="CU70" s="84" t="str">
        <f t="array" aca="1" ref="CU70" ca="1">IF(OR((CU$67&gt;=$AW$11:$AW$74)*(CU$48&lt;=$AX$11:$AX$74)&gt;0),$B70,"")</f>
        <v/>
      </c>
      <c r="CV70" s="84" t="str">
        <f t="array" aca="1" ref="CV70" ca="1">IF(OR((CV$67&gt;=$AW$11:$AW$74)*(CV$48&lt;=$AX$11:$AX$74)&gt;0),$B70,"")</f>
        <v/>
      </c>
      <c r="CW70" s="84" t="str">
        <f t="array" aca="1" ref="CW70" ca="1">IF(OR((CW$67&gt;=$AW$11:$AW$74)*(CW$48&lt;=$AX$11:$AX$74)&gt;0),$B70,"")</f>
        <v/>
      </c>
      <c r="CX70" s="84" t="str">
        <f t="array" aca="1" ref="CX70" ca="1">IF(OR((CX$67&gt;=$AW$11:$AW$74)*(CX$48&lt;=$AX$11:$AX$74)&gt;0),$B70,"")</f>
        <v/>
      </c>
      <c r="CY70" s="84" t="str">
        <f t="array" aca="1" ref="CY70" ca="1">IF(OR((CY$67&gt;=$AW$11:$AW$74)*(CY$48&lt;=$AX$11:$AX$74)&gt;0),$B70,"")</f>
        <v/>
      </c>
      <c r="CZ70" s="84" t="str">
        <f t="array" aca="1" ref="CZ70" ca="1">IF(OR((CZ$67&gt;=$AW$11:$AW$74)*(CZ$48&lt;=$AX$11:$AX$74)&gt;0),$B70,"")</f>
        <v/>
      </c>
      <c r="DA70" s="84" t="str">
        <f t="array" aca="1" ref="DA70" ca="1">IF(OR((DA$67&gt;=$AW$11:$AW$74)*(DA$48&lt;=$AX$11:$AX$74)&gt;0),$B70,"")</f>
        <v/>
      </c>
      <c r="DB70" s="84" t="str">
        <f t="array" aca="1" ref="DB70" ca="1">IF(OR((DB$67&gt;=$AW$11:$AW$74)*(DB$48&lt;=$AX$11:$AX$74)&gt;0),$B70,"")</f>
        <v/>
      </c>
      <c r="DC70" s="84" t="str">
        <f t="array" aca="1" ref="DC70" ca="1">IF(OR((DC$67&gt;=$AW$11:$AW$74)*(DC$48&lt;=$AX$11:$AX$74)&gt;0),$B70,"")</f>
        <v/>
      </c>
    </row>
    <row r="71" spans="1:107">
      <c r="A71" s="80" t="s">
        <v>175</v>
      </c>
      <c r="B71" s="128">
        <v>4</v>
      </c>
      <c r="C71" s="84" t="str">
        <f t="array" aca="1" ref="C71" ca="1">IF(OR((C$67&gt;=$AW$11:$AW$74)*(C$48&lt;=$AX$11:$AX$74)&gt;0),$B71,"")</f>
        <v/>
      </c>
      <c r="D71" s="84" t="str">
        <f t="array" aca="1" ref="D71" ca="1">IF(OR((D$67&gt;=$AW$11:$AW$74)*(D$48&lt;=$AX$11:$AX$74)&gt;0),$B71,"")</f>
        <v/>
      </c>
      <c r="E71" s="84" t="str">
        <f t="array" aca="1" ref="E71" ca="1">IF(OR((E$67&gt;=$AW$11:$AW$74)*(E$48&lt;=$AX$11:$AX$74)&gt;0),$B71,"")</f>
        <v/>
      </c>
      <c r="F71" s="84" t="str">
        <f t="array" aca="1" ref="F71" ca="1">IF(OR((F$67&gt;=$AW$11:$AW$74)*(F$48&lt;=$AX$11:$AX$74)&gt;0),$B71,"")</f>
        <v/>
      </c>
      <c r="G71" s="84" t="str">
        <f t="array" aca="1" ref="G71" ca="1">IF(OR((G$67&gt;=$AW$11:$AW$74)*(G$48&lt;=$AX$11:$AX$74)&gt;0),$B71,"")</f>
        <v/>
      </c>
      <c r="H71" s="84" t="str">
        <f t="array" aca="1" ref="H71" ca="1">IF(OR((H$67&gt;=$AW$11:$AW$74)*(H$48&lt;=$AX$11:$AX$74)&gt;0),$B71,"")</f>
        <v/>
      </c>
      <c r="I71" s="84" t="str">
        <f t="array" aca="1" ref="I71" ca="1">IF(OR((I$67&gt;=$AW$11:$AW$74)*(I$48&lt;=$AX$11:$AX$74)&gt;0),$B71,"")</f>
        <v/>
      </c>
      <c r="J71" s="84" t="str">
        <f t="array" aca="1" ref="J71" ca="1">IF(OR((J$67&gt;=$AW$11:$AW$74)*(J$48&lt;=$AX$11:$AX$74)&gt;0),$B71,"")</f>
        <v/>
      </c>
      <c r="K71" s="84" t="str">
        <f t="array" aca="1" ref="K71" ca="1">IF(OR((K$67&gt;=$AW$11:$AW$74)*(K$48&lt;=$AX$11:$AX$74)&gt;0),$B71,"")</f>
        <v/>
      </c>
      <c r="L71" s="84" t="str">
        <f t="array" aca="1" ref="L71" ca="1">IF(OR((L$67&gt;=$AW$11:$AW$74)*(L$48&lt;=$AX$11:$AX$74)&gt;0),$B71,"")</f>
        <v/>
      </c>
      <c r="M71" s="84" t="str">
        <f t="array" aca="1" ref="M71" ca="1">IF(OR((M$67&gt;=$AW$11:$AW$74)*(M$48&lt;=$AX$11:$AX$74)&gt;0),$B71,"")</f>
        <v/>
      </c>
      <c r="N71" s="84" t="str">
        <f t="array" aca="1" ref="N71" ca="1">IF(OR((N$67&gt;=$AW$11:$AW$74)*(N$48&lt;=$AX$11:$AX$74)&gt;0),$B71,"")</f>
        <v/>
      </c>
      <c r="O71" s="84" t="str">
        <f t="array" aca="1" ref="O71" ca="1">IF(OR((O$67&gt;=$AW$11:$AW$74)*(O$48&lt;=$AX$11:$AX$74)&gt;0),$B71,"")</f>
        <v/>
      </c>
      <c r="P71" s="84" t="str">
        <f t="array" aca="1" ref="P71" ca="1">IF(OR((P$67&gt;=$AW$11:$AW$74)*(P$48&lt;=$AX$11:$AX$74)&gt;0),$B71,"")</f>
        <v/>
      </c>
      <c r="Q71" s="84" t="str">
        <f t="array" aca="1" ref="Q71" ca="1">IF(OR((Q$67&gt;=$AW$11:$AW$74)*(Q$48&lt;=$AX$11:$AX$74)&gt;0),$B71,"")</f>
        <v/>
      </c>
      <c r="R71" s="84" t="str">
        <f t="array" aca="1" ref="R71" ca="1">IF(OR((R$67&gt;=$AW$11:$AW$74)*(R$48&lt;=$AX$11:$AX$74)&gt;0),$B71,"")</f>
        <v/>
      </c>
      <c r="S71" s="84" t="str">
        <f t="array" aca="1" ref="S71" ca="1">IF(OR((S$67&gt;=$AW$11:$AW$74)*(S$48&lt;=$AX$11:$AX$74)&gt;0),$B71,"")</f>
        <v/>
      </c>
      <c r="T71" s="84" t="str">
        <f t="array" aca="1" ref="T71" ca="1">IF(OR((T$67&gt;=$AW$11:$AW$74)*(T$48&lt;=$AX$11:$AX$74)&gt;0),$B71,"")</f>
        <v/>
      </c>
      <c r="U71" s="84" t="str">
        <f t="array" aca="1" ref="U71" ca="1">IF(OR((U$67&gt;=$AW$11:$AW$74)*(U$48&lt;=$AX$11:$AX$74)&gt;0),$B71,"")</f>
        <v/>
      </c>
      <c r="V71" s="84" t="str">
        <f t="array" aca="1" ref="V71" ca="1">IF(OR((V$67&gt;=$AW$11:$AW$74)*(V$48&lt;=$AX$11:$AX$74)&gt;0),$B71,"")</f>
        <v/>
      </c>
      <c r="W71" s="84" t="str">
        <f t="array" aca="1" ref="W71" ca="1">IF(OR((W$67&gt;=$AW$11:$AW$74)*(W$48&lt;=$AX$11:$AX$74)&gt;0),$B71,"")</f>
        <v/>
      </c>
      <c r="X71" s="84" t="str">
        <f t="array" aca="1" ref="X71" ca="1">IF(OR((X$67&gt;=$AW$11:$AW$74)*(X$48&lt;=$AX$11:$AX$74)&gt;0),$B71,"")</f>
        <v/>
      </c>
      <c r="Y71" s="84" t="str">
        <f t="array" aca="1" ref="Y71" ca="1">IF(OR((Y$67&gt;=$AW$11:$AW$74)*(Y$48&lt;=$AX$11:$AX$74)&gt;0),$B71,"")</f>
        <v/>
      </c>
      <c r="Z71" s="84" t="str">
        <f t="array" aca="1" ref="Z71" ca="1">IF(OR((Z$67&gt;=$AW$11:$AW$74)*(Z$48&lt;=$AX$11:$AX$74)&gt;0),$B71,"")</f>
        <v/>
      </c>
      <c r="AA71" s="84" t="str">
        <f t="array" aca="1" ref="AA71" ca="1">IF(OR((AA$67&gt;=$AW$11:$AW$74)*(AA$48&lt;=$AX$11:$AX$74)&gt;0),$B71,"")</f>
        <v/>
      </c>
      <c r="AB71" s="84" t="str">
        <f t="array" aca="1" ref="AB71" ca="1">IF(OR((AB$67&gt;=$AW$11:$AW$74)*(AB$48&lt;=$AX$11:$AX$74)&gt;0),$B71,"")</f>
        <v/>
      </c>
      <c r="AC71" s="84" t="str">
        <f t="array" aca="1" ref="AC71" ca="1">IF(OR((AC$67&gt;=$AW$11:$AW$74)*(AC$48&lt;=$AX$11:$AX$74)&gt;0),$B71,"")</f>
        <v/>
      </c>
      <c r="AD71" s="84" t="str">
        <f t="array" aca="1" ref="AD71" ca="1">IF(OR((AD$67&gt;=$AW$11:$AW$74)*(AD$48&lt;=$AX$11:$AX$74)&gt;0),$B71,"")</f>
        <v/>
      </c>
      <c r="AE71" s="84" t="str">
        <f t="array" aca="1" ref="AE71" ca="1">IF(OR((AE$67&gt;=$AW$11:$AW$74)*(AE$48&lt;=$AX$11:$AX$74)&gt;0),$B71,"")</f>
        <v/>
      </c>
      <c r="AF71" s="84" t="str">
        <f t="array" aca="1" ref="AF71" ca="1">IF(OR((AF$67&gt;=$AW$11:$AW$74)*(AF$48&lt;=$AX$11:$AX$74)&gt;0),$B71,"")</f>
        <v/>
      </c>
      <c r="AG71" s="84" t="str">
        <f t="array" aca="1" ref="AG71" ca="1">IF(OR((AG$67&gt;=$AW$11:$AW$74)*(AG$48&lt;=$AX$11:$AX$74)&gt;0),$B71,"")</f>
        <v/>
      </c>
      <c r="AH71" s="84" t="str">
        <f t="array" aca="1" ref="AH71" ca="1">IF(OR((AH$67&gt;=$AW$11:$AW$74)*(AH$48&lt;=$AX$11:$AX$74)&gt;0),$B71,"")</f>
        <v/>
      </c>
      <c r="AI71" s="84" t="str">
        <f t="array" aca="1" ref="AI71" ca="1">IF(OR((AI$67&gt;=$AW$11:$AW$74)*(AI$48&lt;=$AX$11:$AX$74)&gt;0),$B71,"")</f>
        <v/>
      </c>
      <c r="AK71" s="80" t="s">
        <v>175</v>
      </c>
      <c r="AL71" s="134">
        <v>4</v>
      </c>
      <c r="AM71" s="84" t="str">
        <f t="array" aca="1" ref="AM71" ca="1">IF(OR((AM$67&gt;=$AW$11:$AW$74)*(AM$48&lt;=$AX$11:$AX$74)&gt;0),$B71,"")</f>
        <v/>
      </c>
      <c r="AN71" s="84" t="str">
        <f t="array" aca="1" ref="AN71" ca="1">IF(OR((AN$67&gt;=$AW$11:$AW$74)*(AN$48&lt;=$AX$11:$AX$74)&gt;0),$B71,"")</f>
        <v/>
      </c>
      <c r="AO71" s="84" t="str">
        <f t="array" aca="1" ref="AO71" ca="1">IF(OR((AO$67&gt;=$AW$11:$AW$74)*(AO$48&lt;=$AX$11:$AX$74)&gt;0),$B71,"")</f>
        <v/>
      </c>
      <c r="AP71" s="84" t="str">
        <f t="array" aca="1" ref="AP71" ca="1">IF(OR((AP$67&gt;=$AW$11:$AW$74)*(AP$48&lt;=$AX$11:$AX$74)&gt;0),$B71,"")</f>
        <v/>
      </c>
      <c r="AQ71" s="84" t="str">
        <f t="array" aca="1" ref="AQ71" ca="1">IF(OR((AQ$67&gt;=$AW$11:$AW$74)*(AQ$48&lt;=$AX$11:$AX$74)&gt;0),$B71,"")</f>
        <v/>
      </c>
      <c r="AR71" s="84" t="str">
        <f t="array" aca="1" ref="AR71" ca="1">IF(OR((AR$67&gt;=$AW$11:$AW$74)*(AR$48&lt;=$AX$11:$AX$74)&gt;0),$B71,"")</f>
        <v/>
      </c>
      <c r="AS71" s="84" t="str">
        <f t="array" aca="1" ref="AS71" ca="1">IF(OR((AS$67&gt;=$AW$11:$AW$74)*(AS$48&lt;=$AX$11:$AX$74)&gt;0),$B71,"")</f>
        <v/>
      </c>
      <c r="AT71" s="84" t="str">
        <f t="array" aca="1" ref="AT71" ca="1">IF(OR((AT$67&gt;=$AW$11:$AW$74)*(AT$48&lt;=$AX$11:$AX$74)&gt;0),$B71,"")</f>
        <v/>
      </c>
      <c r="AU71" s="84" t="str">
        <f t="array" aca="1" ref="AU71" ca="1">IF(OR((AU$67&gt;=$AW$11:$AW$74)*(AU$48&lt;=$AX$11:$AX$74)&gt;0),$B71,"")</f>
        <v/>
      </c>
      <c r="AV71" s="84" t="str">
        <f t="array" aca="1" ref="AV71" ca="1">IF(OR((AV$67&gt;=$AW$11:$AW$74)*(AV$48&lt;=$AX$11:$AX$74)&gt;0),$B71,"")</f>
        <v/>
      </c>
      <c r="AW71" s="84" t="str">
        <f t="array" aca="1" ref="AW71" ca="1">IF(OR((AW$67&gt;=$AW$11:$AW$74)*(AW$48&lt;=$AX$11:$AX$74)&gt;0),$B71,"")</f>
        <v/>
      </c>
      <c r="AX71" s="84" t="str">
        <f t="array" aca="1" ref="AX71" ca="1">IF(OR((AX$67&gt;=$AW$11:$AW$74)*(AX$48&lt;=$AX$11:$AX$74)&gt;0),$B71,"")</f>
        <v/>
      </c>
      <c r="AY71" s="84" t="str">
        <f t="array" aca="1" ref="AY71" ca="1">IF(OR((AY$67&gt;=$AW$11:$AW$74)*(AY$48&lt;=$AX$11:$AX$74)&gt;0),$B71,"")</f>
        <v/>
      </c>
      <c r="AZ71" s="84" t="str">
        <f t="array" aca="1" ref="AZ71" ca="1">IF(OR((AZ$67&gt;=$AW$11:$AW$74)*(AZ$48&lt;=$AX$11:$AX$74)&gt;0),$B71,"")</f>
        <v/>
      </c>
      <c r="BA71" s="84" t="str">
        <f t="array" aca="1" ref="BA71" ca="1">IF(OR((BA$67&gt;=$AW$11:$AW$74)*(BA$48&lt;=$AX$11:$AX$74)&gt;0),$B71,"")</f>
        <v/>
      </c>
      <c r="BB71" s="84" t="str">
        <f t="array" aca="1" ref="BB71" ca="1">IF(OR((BB$67&gt;=$AW$11:$AW$74)*(BB$48&lt;=$AX$11:$AX$74)&gt;0),$B71,"")</f>
        <v/>
      </c>
      <c r="BC71" s="84" t="str">
        <f t="array" aca="1" ref="BC71" ca="1">IF(OR((BC$67&gt;=$AW$11:$AW$74)*(BC$48&lt;=$AX$11:$AX$74)&gt;0),$B71,"")</f>
        <v/>
      </c>
      <c r="BD71" s="84" t="str">
        <f t="array" aca="1" ref="BD71" ca="1">IF(OR((BD$67&gt;=$AW$11:$AW$74)*(BD$48&lt;=$AX$11:$AX$74)&gt;0),$B71,"")</f>
        <v/>
      </c>
      <c r="BE71" s="84" t="str">
        <f t="array" aca="1" ref="BE71" ca="1">IF(OR((BE$67&gt;=$AW$11:$AW$74)*(BE$48&lt;=$AX$11:$AX$74)&gt;0),$B71,"")</f>
        <v/>
      </c>
      <c r="BF71" s="84" t="str">
        <f t="array" aca="1" ref="BF71" ca="1">IF(OR((BF$67&gt;=$AW$11:$AW$74)*(BF$48&lt;=$AX$11:$AX$74)&gt;0),$B71,"")</f>
        <v/>
      </c>
      <c r="BG71" s="84" t="str">
        <f t="array" aca="1" ref="BG71" ca="1">IF(OR((BG$67&gt;=$AW$11:$AW$74)*(BG$48&lt;=$AX$11:$AX$74)&gt;0),$B71,"")</f>
        <v/>
      </c>
      <c r="BH71" s="84" t="str">
        <f t="array" aca="1" ref="BH71" ca="1">IF(OR((BH$67&gt;=$AW$11:$AW$74)*(BH$48&lt;=$AX$11:$AX$74)&gt;0),$B71,"")</f>
        <v/>
      </c>
      <c r="BI71" s="84" t="str">
        <f t="array" aca="1" ref="BI71" ca="1">IF(OR((BI$67&gt;=$AW$11:$AW$74)*(BI$48&lt;=$AX$11:$AX$74)&gt;0),$B71,"")</f>
        <v/>
      </c>
      <c r="BJ71" s="84" t="str">
        <f t="array" aca="1" ref="BJ71" ca="1">IF(OR((BJ$67&gt;=$AW$11:$AW$74)*(BJ$48&lt;=$AX$11:$AX$74)&gt;0),$B71,"")</f>
        <v/>
      </c>
      <c r="BK71" s="84" t="str">
        <f t="array" aca="1" ref="BK71" ca="1">IF(OR((BK$67&gt;=$AW$11:$AW$74)*(BK$48&lt;=$AX$11:$AX$74)&gt;0),$B71,"")</f>
        <v/>
      </c>
      <c r="BL71" s="84" t="str">
        <f t="array" aca="1" ref="BL71" ca="1">IF(OR((BL$67&gt;=$AW$11:$AW$74)*(BL$48&lt;=$AX$11:$AX$74)&gt;0),$B71,"")</f>
        <v/>
      </c>
      <c r="BM71" s="84" t="str">
        <f t="array" aca="1" ref="BM71" ca="1">IF(OR((BM$67&gt;=$AW$11:$AW$74)*(BM$48&lt;=$AX$11:$AX$74)&gt;0),$B71,"")</f>
        <v/>
      </c>
      <c r="BN71" s="84" t="str">
        <f t="array" aca="1" ref="BN71" ca="1">IF(OR((BN$67&gt;=$AW$11:$AW$74)*(BN$48&lt;=$AX$11:$AX$74)&gt;0),$B71,"")</f>
        <v/>
      </c>
      <c r="BO71" s="84" t="str">
        <f t="array" aca="1" ref="BO71" ca="1">IF(OR((BO$67&gt;=$AW$11:$AW$74)*(BO$48&lt;=$AX$11:$AX$74)&gt;0),$B71,"")</f>
        <v/>
      </c>
      <c r="BP71" s="84" t="str">
        <f t="array" aca="1" ref="BP71" ca="1">IF(OR((BP$67&gt;=$AW$11:$AW$74)*(BP$48&lt;=$AX$11:$AX$74)&gt;0),$B71,"")</f>
        <v/>
      </c>
      <c r="BQ71" s="84" t="str">
        <f t="array" aca="1" ref="BQ71" ca="1">IF(OR((BQ$67&gt;=$AW$11:$AW$74)*(BQ$48&lt;=$AX$11:$AX$74)&gt;0),$B71,"")</f>
        <v/>
      </c>
      <c r="BR71" s="84" t="str">
        <f t="array" aca="1" ref="BR71" ca="1">IF(OR((BR$67&gt;=$AW$11:$AW$74)*(BR$48&lt;=$AX$11:$AX$74)&gt;0),$B71,"")</f>
        <v/>
      </c>
      <c r="BS71" s="84" t="str">
        <f t="array" aca="1" ref="BS71" ca="1">IF(OR((BS$67&gt;=$AW$11:$AW$74)*(BS$48&lt;=$AX$11:$AX$74)&gt;0),$B71,"")</f>
        <v/>
      </c>
      <c r="BU71" s="80" t="s">
        <v>175</v>
      </c>
      <c r="BV71" s="134">
        <v>4</v>
      </c>
      <c r="BW71" s="84" t="str">
        <f t="array" aca="1" ref="BW71" ca="1">IF(OR((BW$67&gt;=$AW$11:$AW$74)*(BW$48&lt;=$AX$11:$AX$74)&gt;0),$B71,"")</f>
        <v/>
      </c>
      <c r="BX71" s="84" t="str">
        <f t="array" aca="1" ref="BX71" ca="1">IF(OR((BX$67&gt;=$AW$11:$AW$74)*(BX$48&lt;=$AX$11:$AX$74)&gt;0),$B71,"")</f>
        <v/>
      </c>
      <c r="BY71" s="84" t="str">
        <f t="array" aca="1" ref="BY71" ca="1">IF(OR((BY$67&gt;=$AW$11:$AW$74)*(BY$48&lt;=$AX$11:$AX$74)&gt;0),$B71,"")</f>
        <v/>
      </c>
      <c r="BZ71" s="84" t="str">
        <f t="array" aca="1" ref="BZ71" ca="1">IF(OR((BZ$67&gt;=$AW$11:$AW$74)*(BZ$48&lt;=$AX$11:$AX$74)&gt;0),$B71,"")</f>
        <v/>
      </c>
      <c r="CA71" s="84" t="str">
        <f t="array" aca="1" ref="CA71" ca="1">IF(OR((CA$67&gt;=$AW$11:$AW$74)*(CA$48&lt;=$AX$11:$AX$74)&gt;0),$B71,"")</f>
        <v/>
      </c>
      <c r="CB71" s="84" t="str">
        <f t="array" aca="1" ref="CB71" ca="1">IF(OR((CB$67&gt;=$AW$11:$AW$74)*(CB$48&lt;=$AX$11:$AX$74)&gt;0),$B71,"")</f>
        <v/>
      </c>
      <c r="CC71" s="84" t="str">
        <f t="array" aca="1" ref="CC71" ca="1">IF(OR((CC$67&gt;=$AW$11:$AW$74)*(CC$48&lt;=$AX$11:$AX$74)&gt;0),$B71,"")</f>
        <v/>
      </c>
      <c r="CD71" s="84" t="str">
        <f t="array" aca="1" ref="CD71" ca="1">IF(OR((CD$67&gt;=$AW$11:$AW$74)*(CD$48&lt;=$AX$11:$AX$74)&gt;0),$B71,"")</f>
        <v/>
      </c>
      <c r="CE71" s="84" t="str">
        <f t="array" aca="1" ref="CE71" ca="1">IF(OR((CE$67&gt;=$AW$11:$AW$74)*(CE$48&lt;=$AX$11:$AX$74)&gt;0),$B71,"")</f>
        <v/>
      </c>
      <c r="CF71" s="84" t="str">
        <f t="array" aca="1" ref="CF71" ca="1">IF(OR((CF$67&gt;=$AW$11:$AW$74)*(CF$48&lt;=$AX$11:$AX$74)&gt;0),$B71,"")</f>
        <v/>
      </c>
      <c r="CG71" s="84" t="str">
        <f t="array" aca="1" ref="CG71" ca="1">IF(OR((CG$67&gt;=$AW$11:$AW$74)*(CG$48&lt;=$AX$11:$AX$74)&gt;0),$B71,"")</f>
        <v/>
      </c>
      <c r="CH71" s="84" t="str">
        <f t="array" aca="1" ref="CH71" ca="1">IF(OR((CH$67&gt;=$AW$11:$AW$74)*(CH$48&lt;=$AX$11:$AX$74)&gt;0),$B71,"")</f>
        <v/>
      </c>
      <c r="CI71" s="84" t="str">
        <f t="array" aca="1" ref="CI71" ca="1">IF(OR((CI$67&gt;=$AW$11:$AW$74)*(CI$48&lt;=$AX$11:$AX$74)&gt;0),$B71,"")</f>
        <v/>
      </c>
      <c r="CJ71" s="84" t="str">
        <f t="array" aca="1" ref="CJ71" ca="1">IF(OR((CJ$67&gt;=$AW$11:$AW$74)*(CJ$48&lt;=$AX$11:$AX$74)&gt;0),$B71,"")</f>
        <v/>
      </c>
      <c r="CK71" s="84" t="str">
        <f t="array" aca="1" ref="CK71" ca="1">IF(OR((CK$67&gt;=$AW$11:$AW$74)*(CK$48&lt;=$AX$11:$AX$74)&gt;0),$B71,"")</f>
        <v/>
      </c>
      <c r="CL71" s="84" t="str">
        <f t="array" aca="1" ref="CL71" ca="1">IF(OR((CL$67&gt;=$AW$11:$AW$74)*(CL$48&lt;=$AX$11:$AX$74)&gt;0),$B71,"")</f>
        <v/>
      </c>
      <c r="CM71" s="84" t="str">
        <f t="array" aca="1" ref="CM71" ca="1">IF(OR((CM$67&gt;=$AW$11:$AW$74)*(CM$48&lt;=$AX$11:$AX$74)&gt;0),$B71,"")</f>
        <v/>
      </c>
      <c r="CN71" s="84" t="str">
        <f t="array" aca="1" ref="CN71" ca="1">IF(OR((CN$67&gt;=$AW$11:$AW$74)*(CN$48&lt;=$AX$11:$AX$74)&gt;0),$B71,"")</f>
        <v/>
      </c>
      <c r="CO71" s="84" t="str">
        <f t="array" aca="1" ref="CO71" ca="1">IF(OR((CO$67&gt;=$AW$11:$AW$74)*(CO$48&lt;=$AX$11:$AX$74)&gt;0),$B71,"")</f>
        <v/>
      </c>
      <c r="CP71" s="84" t="str">
        <f t="array" aca="1" ref="CP71" ca="1">IF(OR((CP$67&gt;=$AW$11:$AW$74)*(CP$48&lt;=$AX$11:$AX$74)&gt;0),$B71,"")</f>
        <v/>
      </c>
      <c r="CQ71" s="84" t="str">
        <f t="array" aca="1" ref="CQ71" ca="1">IF(OR((CQ$67&gt;=$AW$11:$AW$74)*(CQ$48&lt;=$AX$11:$AX$74)&gt;0),$B71,"")</f>
        <v/>
      </c>
      <c r="CR71" s="84" t="str">
        <f t="array" aca="1" ref="CR71" ca="1">IF(OR((CR$67&gt;=$AW$11:$AW$74)*(CR$48&lt;=$AX$11:$AX$74)&gt;0),$B71,"")</f>
        <v/>
      </c>
      <c r="CS71" s="84" t="str">
        <f t="array" aca="1" ref="CS71" ca="1">IF(OR((CS$67&gt;=$AW$11:$AW$74)*(CS$48&lt;=$AX$11:$AX$74)&gt;0),$B71,"")</f>
        <v/>
      </c>
      <c r="CT71" s="84" t="str">
        <f t="array" aca="1" ref="CT71" ca="1">IF(OR((CT$67&gt;=$AW$11:$AW$74)*(CT$48&lt;=$AX$11:$AX$74)&gt;0),$B71,"")</f>
        <v/>
      </c>
      <c r="CU71" s="84" t="str">
        <f t="array" aca="1" ref="CU71" ca="1">IF(OR((CU$67&gt;=$AW$11:$AW$74)*(CU$48&lt;=$AX$11:$AX$74)&gt;0),$B71,"")</f>
        <v/>
      </c>
      <c r="CV71" s="84" t="str">
        <f t="array" aca="1" ref="CV71" ca="1">IF(OR((CV$67&gt;=$AW$11:$AW$74)*(CV$48&lt;=$AX$11:$AX$74)&gt;0),$B71,"")</f>
        <v/>
      </c>
      <c r="CW71" s="84" t="str">
        <f t="array" aca="1" ref="CW71" ca="1">IF(OR((CW$67&gt;=$AW$11:$AW$74)*(CW$48&lt;=$AX$11:$AX$74)&gt;0),$B71,"")</f>
        <v/>
      </c>
      <c r="CX71" s="84" t="str">
        <f t="array" aca="1" ref="CX71" ca="1">IF(OR((CX$67&gt;=$AW$11:$AW$74)*(CX$48&lt;=$AX$11:$AX$74)&gt;0),$B71,"")</f>
        <v/>
      </c>
      <c r="CY71" s="84" t="str">
        <f t="array" aca="1" ref="CY71" ca="1">IF(OR((CY$67&gt;=$AW$11:$AW$74)*(CY$48&lt;=$AX$11:$AX$74)&gt;0),$B71,"")</f>
        <v/>
      </c>
      <c r="CZ71" s="84" t="str">
        <f t="array" aca="1" ref="CZ71" ca="1">IF(OR((CZ$67&gt;=$AW$11:$AW$74)*(CZ$48&lt;=$AX$11:$AX$74)&gt;0),$B71,"")</f>
        <v/>
      </c>
      <c r="DA71" s="84" t="str">
        <f t="array" aca="1" ref="DA71" ca="1">IF(OR((DA$67&gt;=$AW$11:$AW$74)*(DA$48&lt;=$AX$11:$AX$74)&gt;0),$B71,"")</f>
        <v/>
      </c>
      <c r="DB71" s="84" t="str">
        <f t="array" aca="1" ref="DB71" ca="1">IF(OR((DB$67&gt;=$AW$11:$AW$74)*(DB$48&lt;=$AX$11:$AX$74)&gt;0),$B71,"")</f>
        <v/>
      </c>
      <c r="DC71" s="84" t="str">
        <f t="array" aca="1" ref="DC71" ca="1">IF(OR((DC$67&gt;=$AW$11:$AW$74)*(DC$48&lt;=$AX$11:$AX$74)&gt;0),$B71,"")</f>
        <v/>
      </c>
    </row>
    <row r="72" spans="1:107">
      <c r="A72" s="80" t="s">
        <v>176</v>
      </c>
      <c r="B72" s="128">
        <v>12</v>
      </c>
      <c r="C72" s="84" t="str">
        <f t="array" aca="1" ref="C72" ca="1">IF(OR((C$67&gt;=$AW$11:$AW$74)*(C$48&lt;=$AX$11:$AX$74)&gt;0),$B72,"")</f>
        <v/>
      </c>
      <c r="D72" s="84" t="str">
        <f t="array" aca="1" ref="D72" ca="1">IF(OR((D$67&gt;=$AW$11:$AW$74)*(D$48&lt;=$AX$11:$AX$74)&gt;0),$B72,"")</f>
        <v/>
      </c>
      <c r="E72" s="84" t="str">
        <f t="array" aca="1" ref="E72" ca="1">IF(OR((E$67&gt;=$AW$11:$AW$74)*(E$48&lt;=$AX$11:$AX$74)&gt;0),$B72,"")</f>
        <v/>
      </c>
      <c r="F72" s="84" t="str">
        <f t="array" aca="1" ref="F72" ca="1">IF(OR((F$67&gt;=$AW$11:$AW$74)*(F$48&lt;=$AX$11:$AX$74)&gt;0),$B72,"")</f>
        <v/>
      </c>
      <c r="G72" s="84" t="str">
        <f t="array" aca="1" ref="G72" ca="1">IF(OR((G$67&gt;=$AW$11:$AW$74)*(G$48&lt;=$AX$11:$AX$74)&gt;0),$B72,"")</f>
        <v/>
      </c>
      <c r="H72" s="84" t="str">
        <f t="array" aca="1" ref="H72" ca="1">IF(OR((H$67&gt;=$AW$11:$AW$74)*(H$48&lt;=$AX$11:$AX$74)&gt;0),$B72,"")</f>
        <v/>
      </c>
      <c r="I72" s="84" t="str">
        <f t="array" aca="1" ref="I72" ca="1">IF(OR((I$67&gt;=$AW$11:$AW$74)*(I$48&lt;=$AX$11:$AX$74)&gt;0),$B72,"")</f>
        <v/>
      </c>
      <c r="J72" s="84" t="str">
        <f t="array" aca="1" ref="J72" ca="1">IF(OR((J$67&gt;=$AW$11:$AW$74)*(J$48&lt;=$AX$11:$AX$74)&gt;0),$B72,"")</f>
        <v/>
      </c>
      <c r="K72" s="84" t="str">
        <f t="array" aca="1" ref="K72" ca="1">IF(OR((K$67&gt;=$AW$11:$AW$74)*(K$48&lt;=$AX$11:$AX$74)&gt;0),$B72,"")</f>
        <v/>
      </c>
      <c r="L72" s="84" t="str">
        <f t="array" aca="1" ref="L72" ca="1">IF(OR((L$67&gt;=$AW$11:$AW$74)*(L$48&lt;=$AX$11:$AX$74)&gt;0),$B72,"")</f>
        <v/>
      </c>
      <c r="M72" s="84" t="str">
        <f t="array" aca="1" ref="M72" ca="1">IF(OR((M$67&gt;=$AW$11:$AW$74)*(M$48&lt;=$AX$11:$AX$74)&gt;0),$B72,"")</f>
        <v/>
      </c>
      <c r="N72" s="84" t="str">
        <f t="array" aca="1" ref="N72" ca="1">IF(OR((N$67&gt;=$AW$11:$AW$74)*(N$48&lt;=$AX$11:$AX$74)&gt;0),$B72,"")</f>
        <v/>
      </c>
      <c r="O72" s="84" t="str">
        <f t="array" aca="1" ref="O72" ca="1">IF(OR((O$67&gt;=$AW$11:$AW$74)*(O$48&lt;=$AX$11:$AX$74)&gt;0),$B72,"")</f>
        <v/>
      </c>
      <c r="P72" s="84" t="str">
        <f t="array" aca="1" ref="P72" ca="1">IF(OR((P$67&gt;=$AW$11:$AW$74)*(P$48&lt;=$AX$11:$AX$74)&gt;0),$B72,"")</f>
        <v/>
      </c>
      <c r="Q72" s="84" t="str">
        <f t="array" aca="1" ref="Q72" ca="1">IF(OR((Q$67&gt;=$AW$11:$AW$74)*(Q$48&lt;=$AX$11:$AX$74)&gt;0),$B72,"")</f>
        <v/>
      </c>
      <c r="R72" s="84" t="str">
        <f t="array" aca="1" ref="R72" ca="1">IF(OR((R$67&gt;=$AW$11:$AW$74)*(R$48&lt;=$AX$11:$AX$74)&gt;0),$B72,"")</f>
        <v/>
      </c>
      <c r="S72" s="84" t="str">
        <f t="array" aca="1" ref="S72" ca="1">IF(OR((S$67&gt;=$AW$11:$AW$74)*(S$48&lt;=$AX$11:$AX$74)&gt;0),$B72,"")</f>
        <v/>
      </c>
      <c r="T72" s="84" t="str">
        <f t="array" aca="1" ref="T72" ca="1">IF(OR((T$67&gt;=$AW$11:$AW$74)*(T$48&lt;=$AX$11:$AX$74)&gt;0),$B72,"")</f>
        <v/>
      </c>
      <c r="U72" s="84" t="str">
        <f t="array" aca="1" ref="U72" ca="1">IF(OR((U$67&gt;=$AW$11:$AW$74)*(U$48&lt;=$AX$11:$AX$74)&gt;0),$B72,"")</f>
        <v/>
      </c>
      <c r="V72" s="84" t="str">
        <f t="array" aca="1" ref="V72" ca="1">IF(OR((V$67&gt;=$AW$11:$AW$74)*(V$48&lt;=$AX$11:$AX$74)&gt;0),$B72,"")</f>
        <v/>
      </c>
      <c r="W72" s="84" t="str">
        <f t="array" aca="1" ref="W72" ca="1">IF(OR((W$67&gt;=$AW$11:$AW$74)*(W$48&lt;=$AX$11:$AX$74)&gt;0),$B72,"")</f>
        <v/>
      </c>
      <c r="X72" s="84" t="str">
        <f t="array" aca="1" ref="X72" ca="1">IF(OR((X$67&gt;=$AW$11:$AW$74)*(X$48&lt;=$AX$11:$AX$74)&gt;0),$B72,"")</f>
        <v/>
      </c>
      <c r="Y72" s="84" t="str">
        <f t="array" aca="1" ref="Y72" ca="1">IF(OR((Y$67&gt;=$AW$11:$AW$74)*(Y$48&lt;=$AX$11:$AX$74)&gt;0),$B72,"")</f>
        <v/>
      </c>
      <c r="Z72" s="84" t="str">
        <f t="array" aca="1" ref="Z72" ca="1">IF(OR((Z$67&gt;=$AW$11:$AW$74)*(Z$48&lt;=$AX$11:$AX$74)&gt;0),$B72,"")</f>
        <v/>
      </c>
      <c r="AA72" s="84" t="str">
        <f t="array" aca="1" ref="AA72" ca="1">IF(OR((AA$67&gt;=$AW$11:$AW$74)*(AA$48&lt;=$AX$11:$AX$74)&gt;0),$B72,"")</f>
        <v/>
      </c>
      <c r="AB72" s="84" t="str">
        <f t="array" aca="1" ref="AB72" ca="1">IF(OR((AB$67&gt;=$AW$11:$AW$74)*(AB$48&lt;=$AX$11:$AX$74)&gt;0),$B72,"")</f>
        <v/>
      </c>
      <c r="AC72" s="84" t="str">
        <f t="array" aca="1" ref="AC72" ca="1">IF(OR((AC$67&gt;=$AW$11:$AW$74)*(AC$48&lt;=$AX$11:$AX$74)&gt;0),$B72,"")</f>
        <v/>
      </c>
      <c r="AD72" s="84" t="str">
        <f t="array" aca="1" ref="AD72" ca="1">IF(OR((AD$67&gt;=$AW$11:$AW$74)*(AD$48&lt;=$AX$11:$AX$74)&gt;0),$B72,"")</f>
        <v/>
      </c>
      <c r="AE72" s="84" t="str">
        <f t="array" aca="1" ref="AE72" ca="1">IF(OR((AE$67&gt;=$AW$11:$AW$74)*(AE$48&lt;=$AX$11:$AX$74)&gt;0),$B72,"")</f>
        <v/>
      </c>
      <c r="AF72" s="84" t="str">
        <f t="array" aca="1" ref="AF72" ca="1">IF(OR((AF$67&gt;=$AW$11:$AW$74)*(AF$48&lt;=$AX$11:$AX$74)&gt;0),$B72,"")</f>
        <v/>
      </c>
      <c r="AG72" s="84" t="str">
        <f t="array" aca="1" ref="AG72" ca="1">IF(OR((AG$67&gt;=$AW$11:$AW$74)*(AG$48&lt;=$AX$11:$AX$74)&gt;0),$B72,"")</f>
        <v/>
      </c>
      <c r="AH72" s="84" t="str">
        <f t="array" aca="1" ref="AH72" ca="1">IF(OR((AH$67&gt;=$AW$11:$AW$74)*(AH$48&lt;=$AX$11:$AX$74)&gt;0),$B72,"")</f>
        <v/>
      </c>
      <c r="AI72" s="84" t="str">
        <f t="array" aca="1" ref="AI72" ca="1">IF(OR((AI$67&gt;=$AW$11:$AW$74)*(AI$48&lt;=$AX$11:$AX$74)&gt;0),$B72,"")</f>
        <v/>
      </c>
      <c r="AK72" s="80" t="s">
        <v>176</v>
      </c>
      <c r="AL72" s="134">
        <v>12</v>
      </c>
      <c r="AM72" s="84" t="str">
        <f t="array" aca="1" ref="AM72" ca="1">IF(OR((AM$67&gt;=$AW$11:$AW$74)*(AM$48&lt;=$AX$11:$AX$74)&gt;0),$B72,"")</f>
        <v/>
      </c>
      <c r="AN72" s="84" t="str">
        <f t="array" aca="1" ref="AN72" ca="1">IF(OR((AN$67&gt;=$AW$11:$AW$74)*(AN$48&lt;=$AX$11:$AX$74)&gt;0),$B72,"")</f>
        <v/>
      </c>
      <c r="AO72" s="84" t="str">
        <f t="array" aca="1" ref="AO72" ca="1">IF(OR((AO$67&gt;=$AW$11:$AW$74)*(AO$48&lt;=$AX$11:$AX$74)&gt;0),$B72,"")</f>
        <v/>
      </c>
      <c r="AP72" s="84" t="str">
        <f t="array" aca="1" ref="AP72" ca="1">IF(OR((AP$67&gt;=$AW$11:$AW$74)*(AP$48&lt;=$AX$11:$AX$74)&gt;0),$B72,"")</f>
        <v/>
      </c>
      <c r="AQ72" s="84" t="str">
        <f t="array" aca="1" ref="AQ72" ca="1">IF(OR((AQ$67&gt;=$AW$11:$AW$74)*(AQ$48&lt;=$AX$11:$AX$74)&gt;0),$B72,"")</f>
        <v/>
      </c>
      <c r="AR72" s="84" t="str">
        <f t="array" aca="1" ref="AR72" ca="1">IF(OR((AR$67&gt;=$AW$11:$AW$74)*(AR$48&lt;=$AX$11:$AX$74)&gt;0),$B72,"")</f>
        <v/>
      </c>
      <c r="AS72" s="84" t="str">
        <f t="array" aca="1" ref="AS72" ca="1">IF(OR((AS$67&gt;=$AW$11:$AW$74)*(AS$48&lt;=$AX$11:$AX$74)&gt;0),$B72,"")</f>
        <v/>
      </c>
      <c r="AT72" s="84" t="str">
        <f t="array" aca="1" ref="AT72" ca="1">IF(OR((AT$67&gt;=$AW$11:$AW$74)*(AT$48&lt;=$AX$11:$AX$74)&gt;0),$B72,"")</f>
        <v/>
      </c>
      <c r="AU72" s="84" t="str">
        <f t="array" aca="1" ref="AU72" ca="1">IF(OR((AU$67&gt;=$AW$11:$AW$74)*(AU$48&lt;=$AX$11:$AX$74)&gt;0),$B72,"")</f>
        <v/>
      </c>
      <c r="AV72" s="84" t="str">
        <f t="array" aca="1" ref="AV72" ca="1">IF(OR((AV$67&gt;=$AW$11:$AW$74)*(AV$48&lt;=$AX$11:$AX$74)&gt;0),$B72,"")</f>
        <v/>
      </c>
      <c r="AW72" s="84" t="str">
        <f t="array" aca="1" ref="AW72" ca="1">IF(OR((AW$67&gt;=$AW$11:$AW$74)*(AW$48&lt;=$AX$11:$AX$74)&gt;0),$B72,"")</f>
        <v/>
      </c>
      <c r="AX72" s="84" t="str">
        <f t="array" aca="1" ref="AX72" ca="1">IF(OR((AX$67&gt;=$AW$11:$AW$74)*(AX$48&lt;=$AX$11:$AX$74)&gt;0),$B72,"")</f>
        <v/>
      </c>
      <c r="AY72" s="84" t="str">
        <f t="array" aca="1" ref="AY72" ca="1">IF(OR((AY$67&gt;=$AW$11:$AW$74)*(AY$48&lt;=$AX$11:$AX$74)&gt;0),$B72,"")</f>
        <v/>
      </c>
      <c r="AZ72" s="84" t="str">
        <f t="array" aca="1" ref="AZ72" ca="1">IF(OR((AZ$67&gt;=$AW$11:$AW$74)*(AZ$48&lt;=$AX$11:$AX$74)&gt;0),$B72,"")</f>
        <v/>
      </c>
      <c r="BA72" s="84" t="str">
        <f t="array" aca="1" ref="BA72" ca="1">IF(OR((BA$67&gt;=$AW$11:$AW$74)*(BA$48&lt;=$AX$11:$AX$74)&gt;0),$B72,"")</f>
        <v/>
      </c>
      <c r="BB72" s="84" t="str">
        <f t="array" aca="1" ref="BB72" ca="1">IF(OR((BB$67&gt;=$AW$11:$AW$74)*(BB$48&lt;=$AX$11:$AX$74)&gt;0),$B72,"")</f>
        <v/>
      </c>
      <c r="BC72" s="84" t="str">
        <f t="array" aca="1" ref="BC72" ca="1">IF(OR((BC$67&gt;=$AW$11:$AW$74)*(BC$48&lt;=$AX$11:$AX$74)&gt;0),$B72,"")</f>
        <v/>
      </c>
      <c r="BD72" s="84" t="str">
        <f t="array" aca="1" ref="BD72" ca="1">IF(OR((BD$67&gt;=$AW$11:$AW$74)*(BD$48&lt;=$AX$11:$AX$74)&gt;0),$B72,"")</f>
        <v/>
      </c>
      <c r="BE72" s="84" t="str">
        <f t="array" aca="1" ref="BE72" ca="1">IF(OR((BE$67&gt;=$AW$11:$AW$74)*(BE$48&lt;=$AX$11:$AX$74)&gt;0),$B72,"")</f>
        <v/>
      </c>
      <c r="BF72" s="84" t="str">
        <f t="array" aca="1" ref="BF72" ca="1">IF(OR((BF$67&gt;=$AW$11:$AW$74)*(BF$48&lt;=$AX$11:$AX$74)&gt;0),$B72,"")</f>
        <v/>
      </c>
      <c r="BG72" s="84" t="str">
        <f t="array" aca="1" ref="BG72" ca="1">IF(OR((BG$67&gt;=$AW$11:$AW$74)*(BG$48&lt;=$AX$11:$AX$74)&gt;0),$B72,"")</f>
        <v/>
      </c>
      <c r="BH72" s="84" t="str">
        <f t="array" aca="1" ref="BH72" ca="1">IF(OR((BH$67&gt;=$AW$11:$AW$74)*(BH$48&lt;=$AX$11:$AX$74)&gt;0),$B72,"")</f>
        <v/>
      </c>
      <c r="BI72" s="84" t="str">
        <f t="array" aca="1" ref="BI72" ca="1">IF(OR((BI$67&gt;=$AW$11:$AW$74)*(BI$48&lt;=$AX$11:$AX$74)&gt;0),$B72,"")</f>
        <v/>
      </c>
      <c r="BJ72" s="84" t="str">
        <f t="array" aca="1" ref="BJ72" ca="1">IF(OR((BJ$67&gt;=$AW$11:$AW$74)*(BJ$48&lt;=$AX$11:$AX$74)&gt;0),$B72,"")</f>
        <v/>
      </c>
      <c r="BK72" s="84" t="str">
        <f t="array" aca="1" ref="BK72" ca="1">IF(OR((BK$67&gt;=$AW$11:$AW$74)*(BK$48&lt;=$AX$11:$AX$74)&gt;0),$B72,"")</f>
        <v/>
      </c>
      <c r="BL72" s="84" t="str">
        <f t="array" aca="1" ref="BL72" ca="1">IF(OR((BL$67&gt;=$AW$11:$AW$74)*(BL$48&lt;=$AX$11:$AX$74)&gt;0),$B72,"")</f>
        <v/>
      </c>
      <c r="BM72" s="84" t="str">
        <f t="array" aca="1" ref="BM72" ca="1">IF(OR((BM$67&gt;=$AW$11:$AW$74)*(BM$48&lt;=$AX$11:$AX$74)&gt;0),$B72,"")</f>
        <v/>
      </c>
      <c r="BN72" s="84" t="str">
        <f t="array" aca="1" ref="BN72" ca="1">IF(OR((BN$67&gt;=$AW$11:$AW$74)*(BN$48&lt;=$AX$11:$AX$74)&gt;0),$B72,"")</f>
        <v/>
      </c>
      <c r="BO72" s="84" t="str">
        <f t="array" aca="1" ref="BO72" ca="1">IF(OR((BO$67&gt;=$AW$11:$AW$74)*(BO$48&lt;=$AX$11:$AX$74)&gt;0),$B72,"")</f>
        <v/>
      </c>
      <c r="BP72" s="84" t="str">
        <f t="array" aca="1" ref="BP72" ca="1">IF(OR((BP$67&gt;=$AW$11:$AW$74)*(BP$48&lt;=$AX$11:$AX$74)&gt;0),$B72,"")</f>
        <v/>
      </c>
      <c r="BQ72" s="84" t="str">
        <f t="array" aca="1" ref="BQ72" ca="1">IF(OR((BQ$67&gt;=$AW$11:$AW$74)*(BQ$48&lt;=$AX$11:$AX$74)&gt;0),$B72,"")</f>
        <v/>
      </c>
      <c r="BR72" s="84" t="str">
        <f t="array" aca="1" ref="BR72" ca="1">IF(OR((BR$67&gt;=$AW$11:$AW$74)*(BR$48&lt;=$AX$11:$AX$74)&gt;0),$B72,"")</f>
        <v/>
      </c>
      <c r="BS72" s="84" t="str">
        <f t="array" aca="1" ref="BS72" ca="1">IF(OR((BS$67&gt;=$AW$11:$AW$74)*(BS$48&lt;=$AX$11:$AX$74)&gt;0),$B72,"")</f>
        <v/>
      </c>
      <c r="BU72" s="80" t="s">
        <v>176</v>
      </c>
      <c r="BV72" s="134">
        <v>12</v>
      </c>
      <c r="BW72" s="84" t="str">
        <f t="array" aca="1" ref="BW72" ca="1">IF(OR((BW$67&gt;=$AW$11:$AW$74)*(BW$48&lt;=$AX$11:$AX$74)&gt;0),$B72,"")</f>
        <v/>
      </c>
      <c r="BX72" s="84" t="str">
        <f t="array" aca="1" ref="BX72" ca="1">IF(OR((BX$67&gt;=$AW$11:$AW$74)*(BX$48&lt;=$AX$11:$AX$74)&gt;0),$B72,"")</f>
        <v/>
      </c>
      <c r="BY72" s="84" t="str">
        <f t="array" aca="1" ref="BY72" ca="1">IF(OR((BY$67&gt;=$AW$11:$AW$74)*(BY$48&lt;=$AX$11:$AX$74)&gt;0),$B72,"")</f>
        <v/>
      </c>
      <c r="BZ72" s="84" t="str">
        <f t="array" aca="1" ref="BZ72" ca="1">IF(OR((BZ$67&gt;=$AW$11:$AW$74)*(BZ$48&lt;=$AX$11:$AX$74)&gt;0),$B72,"")</f>
        <v/>
      </c>
      <c r="CA72" s="84" t="str">
        <f t="array" aca="1" ref="CA72" ca="1">IF(OR((CA$67&gt;=$AW$11:$AW$74)*(CA$48&lt;=$AX$11:$AX$74)&gt;0),$B72,"")</f>
        <v/>
      </c>
      <c r="CB72" s="84" t="str">
        <f t="array" aca="1" ref="CB72" ca="1">IF(OR((CB$67&gt;=$AW$11:$AW$74)*(CB$48&lt;=$AX$11:$AX$74)&gt;0),$B72,"")</f>
        <v/>
      </c>
      <c r="CC72" s="84" t="str">
        <f t="array" aca="1" ref="CC72" ca="1">IF(OR((CC$67&gt;=$AW$11:$AW$74)*(CC$48&lt;=$AX$11:$AX$74)&gt;0),$B72,"")</f>
        <v/>
      </c>
      <c r="CD72" s="84" t="str">
        <f t="array" aca="1" ref="CD72" ca="1">IF(OR((CD$67&gt;=$AW$11:$AW$74)*(CD$48&lt;=$AX$11:$AX$74)&gt;0),$B72,"")</f>
        <v/>
      </c>
      <c r="CE72" s="84" t="str">
        <f t="array" aca="1" ref="CE72" ca="1">IF(OR((CE$67&gt;=$AW$11:$AW$74)*(CE$48&lt;=$AX$11:$AX$74)&gt;0),$B72,"")</f>
        <v/>
      </c>
      <c r="CF72" s="84" t="str">
        <f t="array" aca="1" ref="CF72" ca="1">IF(OR((CF$67&gt;=$AW$11:$AW$74)*(CF$48&lt;=$AX$11:$AX$74)&gt;0),$B72,"")</f>
        <v/>
      </c>
      <c r="CG72" s="84" t="str">
        <f t="array" aca="1" ref="CG72" ca="1">IF(OR((CG$67&gt;=$AW$11:$AW$74)*(CG$48&lt;=$AX$11:$AX$74)&gt;0),$B72,"")</f>
        <v/>
      </c>
      <c r="CH72" s="84" t="str">
        <f t="array" aca="1" ref="CH72" ca="1">IF(OR((CH$67&gt;=$AW$11:$AW$74)*(CH$48&lt;=$AX$11:$AX$74)&gt;0),$B72,"")</f>
        <v/>
      </c>
      <c r="CI72" s="84" t="str">
        <f t="array" aca="1" ref="CI72" ca="1">IF(OR((CI$67&gt;=$AW$11:$AW$74)*(CI$48&lt;=$AX$11:$AX$74)&gt;0),$B72,"")</f>
        <v/>
      </c>
      <c r="CJ72" s="84" t="str">
        <f t="array" aca="1" ref="CJ72" ca="1">IF(OR((CJ$67&gt;=$AW$11:$AW$74)*(CJ$48&lt;=$AX$11:$AX$74)&gt;0),$B72,"")</f>
        <v/>
      </c>
      <c r="CK72" s="84" t="str">
        <f t="array" aca="1" ref="CK72" ca="1">IF(OR((CK$67&gt;=$AW$11:$AW$74)*(CK$48&lt;=$AX$11:$AX$74)&gt;0),$B72,"")</f>
        <v/>
      </c>
      <c r="CL72" s="84" t="str">
        <f t="array" aca="1" ref="CL72" ca="1">IF(OR((CL$67&gt;=$AW$11:$AW$74)*(CL$48&lt;=$AX$11:$AX$74)&gt;0),$B72,"")</f>
        <v/>
      </c>
      <c r="CM72" s="84" t="str">
        <f t="array" aca="1" ref="CM72" ca="1">IF(OR((CM$67&gt;=$AW$11:$AW$74)*(CM$48&lt;=$AX$11:$AX$74)&gt;0),$B72,"")</f>
        <v/>
      </c>
      <c r="CN72" s="84" t="str">
        <f t="array" aca="1" ref="CN72" ca="1">IF(OR((CN$67&gt;=$AW$11:$AW$74)*(CN$48&lt;=$AX$11:$AX$74)&gt;0),$B72,"")</f>
        <v/>
      </c>
      <c r="CO72" s="84" t="str">
        <f t="array" aca="1" ref="CO72" ca="1">IF(OR((CO$67&gt;=$AW$11:$AW$74)*(CO$48&lt;=$AX$11:$AX$74)&gt;0),$B72,"")</f>
        <v/>
      </c>
      <c r="CP72" s="84" t="str">
        <f t="array" aca="1" ref="CP72" ca="1">IF(OR((CP$67&gt;=$AW$11:$AW$74)*(CP$48&lt;=$AX$11:$AX$74)&gt;0),$B72,"")</f>
        <v/>
      </c>
      <c r="CQ72" s="84" t="str">
        <f t="array" aca="1" ref="CQ72" ca="1">IF(OR((CQ$67&gt;=$AW$11:$AW$74)*(CQ$48&lt;=$AX$11:$AX$74)&gt;0),$B72,"")</f>
        <v/>
      </c>
      <c r="CR72" s="84" t="str">
        <f t="array" aca="1" ref="CR72" ca="1">IF(OR((CR$67&gt;=$AW$11:$AW$74)*(CR$48&lt;=$AX$11:$AX$74)&gt;0),$B72,"")</f>
        <v/>
      </c>
      <c r="CS72" s="84" t="str">
        <f t="array" aca="1" ref="CS72" ca="1">IF(OR((CS$67&gt;=$AW$11:$AW$74)*(CS$48&lt;=$AX$11:$AX$74)&gt;0),$B72,"")</f>
        <v/>
      </c>
      <c r="CT72" s="84" t="str">
        <f t="array" aca="1" ref="CT72" ca="1">IF(OR((CT$67&gt;=$AW$11:$AW$74)*(CT$48&lt;=$AX$11:$AX$74)&gt;0),$B72,"")</f>
        <v/>
      </c>
      <c r="CU72" s="84" t="str">
        <f t="array" aca="1" ref="CU72" ca="1">IF(OR((CU$67&gt;=$AW$11:$AW$74)*(CU$48&lt;=$AX$11:$AX$74)&gt;0),$B72,"")</f>
        <v/>
      </c>
      <c r="CV72" s="84" t="str">
        <f t="array" aca="1" ref="CV72" ca="1">IF(OR((CV$67&gt;=$AW$11:$AW$74)*(CV$48&lt;=$AX$11:$AX$74)&gt;0),$B72,"")</f>
        <v/>
      </c>
      <c r="CW72" s="84" t="str">
        <f t="array" aca="1" ref="CW72" ca="1">IF(OR((CW$67&gt;=$AW$11:$AW$74)*(CW$48&lt;=$AX$11:$AX$74)&gt;0),$B72,"")</f>
        <v/>
      </c>
      <c r="CX72" s="84" t="str">
        <f t="array" aca="1" ref="CX72" ca="1">IF(OR((CX$67&gt;=$AW$11:$AW$74)*(CX$48&lt;=$AX$11:$AX$74)&gt;0),$B72,"")</f>
        <v/>
      </c>
      <c r="CY72" s="84" t="str">
        <f t="array" aca="1" ref="CY72" ca="1">IF(OR((CY$67&gt;=$AW$11:$AW$74)*(CY$48&lt;=$AX$11:$AX$74)&gt;0),$B72,"")</f>
        <v/>
      </c>
      <c r="CZ72" s="84" t="str">
        <f t="array" aca="1" ref="CZ72" ca="1">IF(OR((CZ$67&gt;=$AW$11:$AW$74)*(CZ$48&lt;=$AX$11:$AX$74)&gt;0),$B72,"")</f>
        <v/>
      </c>
      <c r="DA72" s="84" t="str">
        <f t="array" aca="1" ref="DA72" ca="1">IF(OR((DA$67&gt;=$AW$11:$AW$74)*(DA$48&lt;=$AX$11:$AX$74)&gt;0),$B72,"")</f>
        <v/>
      </c>
      <c r="DB72" s="84" t="str">
        <f t="array" aca="1" ref="DB72" ca="1">IF(OR((DB$67&gt;=$AW$11:$AW$74)*(DB$48&lt;=$AX$11:$AX$74)&gt;0),$B72,"")</f>
        <v/>
      </c>
      <c r="DC72" s="84" t="str">
        <f t="array" aca="1" ref="DC72" ca="1">IF(OR((DC$67&gt;=$AW$11:$AW$74)*(DC$48&lt;=$AX$11:$AX$74)&gt;0),$B72,"")</f>
        <v/>
      </c>
    </row>
    <row r="73" spans="1:107">
      <c r="A73" s="80" t="s">
        <v>177</v>
      </c>
      <c r="B73" s="128">
        <v>4</v>
      </c>
      <c r="C73" s="84" t="str">
        <f t="array" aca="1" ref="C73" ca="1">IF(OR((C$67&gt;=$AW$11:$AW$74)*(C$48&lt;=$AX$11:$AX$74)&gt;0),$B73,"")</f>
        <v/>
      </c>
      <c r="D73" s="84" t="str">
        <f t="array" aca="1" ref="D73" ca="1">IF(OR((D$67&gt;=$AW$11:$AW$74)*(D$48&lt;=$AX$11:$AX$74)&gt;0),$B73,"")</f>
        <v/>
      </c>
      <c r="E73" s="84" t="str">
        <f t="array" aca="1" ref="E73" ca="1">IF(OR((E$67&gt;=$AW$11:$AW$74)*(E$48&lt;=$AX$11:$AX$74)&gt;0),$B73,"")</f>
        <v/>
      </c>
      <c r="F73" s="84" t="str">
        <f t="array" aca="1" ref="F73" ca="1">IF(OR((F$67&gt;=$AW$11:$AW$74)*(F$48&lt;=$AX$11:$AX$74)&gt;0),$B73,"")</f>
        <v/>
      </c>
      <c r="G73" s="84" t="str">
        <f t="array" aca="1" ref="G73" ca="1">IF(OR((G$67&gt;=$AW$11:$AW$74)*(G$48&lt;=$AX$11:$AX$74)&gt;0),$B73,"")</f>
        <v/>
      </c>
      <c r="H73" s="84" t="str">
        <f t="array" aca="1" ref="H73" ca="1">IF(OR((H$67&gt;=$AW$11:$AW$74)*(H$48&lt;=$AX$11:$AX$74)&gt;0),$B73,"")</f>
        <v/>
      </c>
      <c r="I73" s="84" t="str">
        <f t="array" aca="1" ref="I73" ca="1">IF(OR((I$67&gt;=$AW$11:$AW$74)*(I$48&lt;=$AX$11:$AX$74)&gt;0),$B73,"")</f>
        <v/>
      </c>
      <c r="J73" s="84" t="str">
        <f t="array" aca="1" ref="J73" ca="1">IF(OR((J$67&gt;=$AW$11:$AW$74)*(J$48&lt;=$AX$11:$AX$74)&gt;0),$B73,"")</f>
        <v/>
      </c>
      <c r="K73" s="84" t="str">
        <f t="array" aca="1" ref="K73" ca="1">IF(OR((K$67&gt;=$AW$11:$AW$74)*(K$48&lt;=$AX$11:$AX$74)&gt;0),$B73,"")</f>
        <v/>
      </c>
      <c r="L73" s="84" t="str">
        <f t="array" aca="1" ref="L73" ca="1">IF(OR((L$67&gt;=$AW$11:$AW$74)*(L$48&lt;=$AX$11:$AX$74)&gt;0),$B73,"")</f>
        <v/>
      </c>
      <c r="M73" s="84" t="str">
        <f t="array" aca="1" ref="M73" ca="1">IF(OR((M$67&gt;=$AW$11:$AW$74)*(M$48&lt;=$AX$11:$AX$74)&gt;0),$B73,"")</f>
        <v/>
      </c>
      <c r="N73" s="84" t="str">
        <f t="array" aca="1" ref="N73" ca="1">IF(OR((N$67&gt;=$AW$11:$AW$74)*(N$48&lt;=$AX$11:$AX$74)&gt;0),$B73,"")</f>
        <v/>
      </c>
      <c r="O73" s="84" t="str">
        <f t="array" aca="1" ref="O73" ca="1">IF(OR((O$67&gt;=$AW$11:$AW$74)*(O$48&lt;=$AX$11:$AX$74)&gt;0),$B73,"")</f>
        <v/>
      </c>
      <c r="P73" s="84" t="str">
        <f t="array" aca="1" ref="P73" ca="1">IF(OR((P$67&gt;=$AW$11:$AW$74)*(P$48&lt;=$AX$11:$AX$74)&gt;0),$B73,"")</f>
        <v/>
      </c>
      <c r="Q73" s="84" t="str">
        <f t="array" aca="1" ref="Q73" ca="1">IF(OR((Q$67&gt;=$AW$11:$AW$74)*(Q$48&lt;=$AX$11:$AX$74)&gt;0),$B73,"")</f>
        <v/>
      </c>
      <c r="R73" s="84" t="str">
        <f t="array" aca="1" ref="R73" ca="1">IF(OR((R$67&gt;=$AW$11:$AW$74)*(R$48&lt;=$AX$11:$AX$74)&gt;0),$B73,"")</f>
        <v/>
      </c>
      <c r="S73" s="84" t="str">
        <f t="array" aca="1" ref="S73" ca="1">IF(OR((S$67&gt;=$AW$11:$AW$74)*(S$48&lt;=$AX$11:$AX$74)&gt;0),$B73,"")</f>
        <v/>
      </c>
      <c r="T73" s="84" t="str">
        <f t="array" aca="1" ref="T73" ca="1">IF(OR((T$67&gt;=$AW$11:$AW$74)*(T$48&lt;=$AX$11:$AX$74)&gt;0),$B73,"")</f>
        <v/>
      </c>
      <c r="U73" s="84" t="str">
        <f t="array" aca="1" ref="U73" ca="1">IF(OR((U$67&gt;=$AW$11:$AW$74)*(U$48&lt;=$AX$11:$AX$74)&gt;0),$B73,"")</f>
        <v/>
      </c>
      <c r="V73" s="84" t="str">
        <f t="array" aca="1" ref="V73" ca="1">IF(OR((V$67&gt;=$AW$11:$AW$74)*(V$48&lt;=$AX$11:$AX$74)&gt;0),$B73,"")</f>
        <v/>
      </c>
      <c r="W73" s="84" t="str">
        <f t="array" aca="1" ref="W73" ca="1">IF(OR((W$67&gt;=$AW$11:$AW$74)*(W$48&lt;=$AX$11:$AX$74)&gt;0),$B73,"")</f>
        <v/>
      </c>
      <c r="X73" s="84" t="str">
        <f t="array" aca="1" ref="X73" ca="1">IF(OR((X$67&gt;=$AW$11:$AW$74)*(X$48&lt;=$AX$11:$AX$74)&gt;0),$B73,"")</f>
        <v/>
      </c>
      <c r="Y73" s="84" t="str">
        <f t="array" aca="1" ref="Y73" ca="1">IF(OR((Y$67&gt;=$AW$11:$AW$74)*(Y$48&lt;=$AX$11:$AX$74)&gt;0),$B73,"")</f>
        <v/>
      </c>
      <c r="Z73" s="84" t="str">
        <f t="array" aca="1" ref="Z73" ca="1">IF(OR((Z$67&gt;=$AW$11:$AW$74)*(Z$48&lt;=$AX$11:$AX$74)&gt;0),$B73,"")</f>
        <v/>
      </c>
      <c r="AA73" s="84" t="str">
        <f t="array" aca="1" ref="AA73" ca="1">IF(OR((AA$67&gt;=$AW$11:$AW$74)*(AA$48&lt;=$AX$11:$AX$74)&gt;0),$B73,"")</f>
        <v/>
      </c>
      <c r="AB73" s="84" t="str">
        <f t="array" aca="1" ref="AB73" ca="1">IF(OR((AB$67&gt;=$AW$11:$AW$74)*(AB$48&lt;=$AX$11:$AX$74)&gt;0),$B73,"")</f>
        <v/>
      </c>
      <c r="AC73" s="84" t="str">
        <f t="array" aca="1" ref="AC73" ca="1">IF(OR((AC$67&gt;=$AW$11:$AW$74)*(AC$48&lt;=$AX$11:$AX$74)&gt;0),$B73,"")</f>
        <v/>
      </c>
      <c r="AD73" s="84" t="str">
        <f t="array" aca="1" ref="AD73" ca="1">IF(OR((AD$67&gt;=$AW$11:$AW$74)*(AD$48&lt;=$AX$11:$AX$74)&gt;0),$B73,"")</f>
        <v/>
      </c>
      <c r="AE73" s="84" t="str">
        <f t="array" aca="1" ref="AE73" ca="1">IF(OR((AE$67&gt;=$AW$11:$AW$74)*(AE$48&lt;=$AX$11:$AX$74)&gt;0),$B73,"")</f>
        <v/>
      </c>
      <c r="AF73" s="84" t="str">
        <f t="array" aca="1" ref="AF73" ca="1">IF(OR((AF$67&gt;=$AW$11:$AW$74)*(AF$48&lt;=$AX$11:$AX$74)&gt;0),$B73,"")</f>
        <v/>
      </c>
      <c r="AG73" s="84" t="str">
        <f t="array" aca="1" ref="AG73" ca="1">IF(OR((AG$67&gt;=$AW$11:$AW$74)*(AG$48&lt;=$AX$11:$AX$74)&gt;0),$B73,"")</f>
        <v/>
      </c>
      <c r="AH73" s="84" t="str">
        <f t="array" aca="1" ref="AH73" ca="1">IF(OR((AH$67&gt;=$AW$11:$AW$74)*(AH$48&lt;=$AX$11:$AX$74)&gt;0),$B73,"")</f>
        <v/>
      </c>
      <c r="AI73" s="84" t="str">
        <f t="array" aca="1" ref="AI73" ca="1">IF(OR((AI$67&gt;=$AW$11:$AW$74)*(AI$48&lt;=$AX$11:$AX$74)&gt;0),$B73,"")</f>
        <v/>
      </c>
      <c r="AK73" s="80" t="s">
        <v>177</v>
      </c>
      <c r="AL73" s="134">
        <v>4</v>
      </c>
      <c r="AM73" s="84" t="str">
        <f t="array" aca="1" ref="AM73" ca="1">IF(OR((AM$67&gt;=$AW$11:$AW$74)*(AM$48&lt;=$AX$11:$AX$74)&gt;0),$B73,"")</f>
        <v/>
      </c>
      <c r="AN73" s="84" t="str">
        <f t="array" aca="1" ref="AN73" ca="1">IF(OR((AN$67&gt;=$AW$11:$AW$74)*(AN$48&lt;=$AX$11:$AX$74)&gt;0),$B73,"")</f>
        <v/>
      </c>
      <c r="AO73" s="84" t="str">
        <f t="array" aca="1" ref="AO73" ca="1">IF(OR((AO$67&gt;=$AW$11:$AW$74)*(AO$48&lt;=$AX$11:$AX$74)&gt;0),$B73,"")</f>
        <v/>
      </c>
      <c r="AP73" s="84" t="str">
        <f t="array" aca="1" ref="AP73" ca="1">IF(OR((AP$67&gt;=$AW$11:$AW$74)*(AP$48&lt;=$AX$11:$AX$74)&gt;0),$B73,"")</f>
        <v/>
      </c>
      <c r="AQ73" s="84" t="str">
        <f t="array" aca="1" ref="AQ73" ca="1">IF(OR((AQ$67&gt;=$AW$11:$AW$74)*(AQ$48&lt;=$AX$11:$AX$74)&gt;0),$B73,"")</f>
        <v/>
      </c>
      <c r="AR73" s="84" t="str">
        <f t="array" aca="1" ref="AR73" ca="1">IF(OR((AR$67&gt;=$AW$11:$AW$74)*(AR$48&lt;=$AX$11:$AX$74)&gt;0),$B73,"")</f>
        <v/>
      </c>
      <c r="AS73" s="84" t="str">
        <f t="array" aca="1" ref="AS73" ca="1">IF(OR((AS$67&gt;=$AW$11:$AW$74)*(AS$48&lt;=$AX$11:$AX$74)&gt;0),$B73,"")</f>
        <v/>
      </c>
      <c r="AT73" s="84" t="str">
        <f t="array" aca="1" ref="AT73" ca="1">IF(OR((AT$67&gt;=$AW$11:$AW$74)*(AT$48&lt;=$AX$11:$AX$74)&gt;0),$B73,"")</f>
        <v/>
      </c>
      <c r="AU73" s="84" t="str">
        <f t="array" aca="1" ref="AU73" ca="1">IF(OR((AU$67&gt;=$AW$11:$AW$74)*(AU$48&lt;=$AX$11:$AX$74)&gt;0),$B73,"")</f>
        <v/>
      </c>
      <c r="AV73" s="84" t="str">
        <f t="array" aca="1" ref="AV73" ca="1">IF(OR((AV$67&gt;=$AW$11:$AW$74)*(AV$48&lt;=$AX$11:$AX$74)&gt;0),$B73,"")</f>
        <v/>
      </c>
      <c r="AW73" s="84" t="str">
        <f t="array" aca="1" ref="AW73" ca="1">IF(OR((AW$67&gt;=$AW$11:$AW$74)*(AW$48&lt;=$AX$11:$AX$74)&gt;0),$B73,"")</f>
        <v/>
      </c>
      <c r="AX73" s="84" t="str">
        <f t="array" aca="1" ref="AX73" ca="1">IF(OR((AX$67&gt;=$AW$11:$AW$74)*(AX$48&lt;=$AX$11:$AX$74)&gt;0),$B73,"")</f>
        <v/>
      </c>
      <c r="AY73" s="84" t="str">
        <f t="array" aca="1" ref="AY73" ca="1">IF(OR((AY$67&gt;=$AW$11:$AW$74)*(AY$48&lt;=$AX$11:$AX$74)&gt;0),$B73,"")</f>
        <v/>
      </c>
      <c r="AZ73" s="84" t="str">
        <f t="array" aca="1" ref="AZ73" ca="1">IF(OR((AZ$67&gt;=$AW$11:$AW$74)*(AZ$48&lt;=$AX$11:$AX$74)&gt;0),$B73,"")</f>
        <v/>
      </c>
      <c r="BA73" s="84" t="str">
        <f t="array" aca="1" ref="BA73" ca="1">IF(OR((BA$67&gt;=$AW$11:$AW$74)*(BA$48&lt;=$AX$11:$AX$74)&gt;0),$B73,"")</f>
        <v/>
      </c>
      <c r="BB73" s="84" t="str">
        <f t="array" aca="1" ref="BB73" ca="1">IF(OR((BB$67&gt;=$AW$11:$AW$74)*(BB$48&lt;=$AX$11:$AX$74)&gt;0),$B73,"")</f>
        <v/>
      </c>
      <c r="BC73" s="84" t="str">
        <f t="array" aca="1" ref="BC73" ca="1">IF(OR((BC$67&gt;=$AW$11:$AW$74)*(BC$48&lt;=$AX$11:$AX$74)&gt;0),$B73,"")</f>
        <v/>
      </c>
      <c r="BD73" s="84" t="str">
        <f t="array" aca="1" ref="BD73" ca="1">IF(OR((BD$67&gt;=$AW$11:$AW$74)*(BD$48&lt;=$AX$11:$AX$74)&gt;0),$B73,"")</f>
        <v/>
      </c>
      <c r="BE73" s="84" t="str">
        <f t="array" aca="1" ref="BE73" ca="1">IF(OR((BE$67&gt;=$AW$11:$AW$74)*(BE$48&lt;=$AX$11:$AX$74)&gt;0),$B73,"")</f>
        <v/>
      </c>
      <c r="BF73" s="84" t="str">
        <f t="array" aca="1" ref="BF73" ca="1">IF(OR((BF$67&gt;=$AW$11:$AW$74)*(BF$48&lt;=$AX$11:$AX$74)&gt;0),$B73,"")</f>
        <v/>
      </c>
      <c r="BG73" s="84" t="str">
        <f t="array" aca="1" ref="BG73" ca="1">IF(OR((BG$67&gt;=$AW$11:$AW$74)*(BG$48&lt;=$AX$11:$AX$74)&gt;0),$B73,"")</f>
        <v/>
      </c>
      <c r="BH73" s="84" t="str">
        <f t="array" aca="1" ref="BH73" ca="1">IF(OR((BH$67&gt;=$AW$11:$AW$74)*(BH$48&lt;=$AX$11:$AX$74)&gt;0),$B73,"")</f>
        <v/>
      </c>
      <c r="BI73" s="84" t="str">
        <f t="array" aca="1" ref="BI73" ca="1">IF(OR((BI$67&gt;=$AW$11:$AW$74)*(BI$48&lt;=$AX$11:$AX$74)&gt;0),$B73,"")</f>
        <v/>
      </c>
      <c r="BJ73" s="84" t="str">
        <f t="array" aca="1" ref="BJ73" ca="1">IF(OR((BJ$67&gt;=$AW$11:$AW$74)*(BJ$48&lt;=$AX$11:$AX$74)&gt;0),$B73,"")</f>
        <v/>
      </c>
      <c r="BK73" s="84" t="str">
        <f t="array" aca="1" ref="BK73" ca="1">IF(OR((BK$67&gt;=$AW$11:$AW$74)*(BK$48&lt;=$AX$11:$AX$74)&gt;0),$B73,"")</f>
        <v/>
      </c>
      <c r="BL73" s="84" t="str">
        <f t="array" aca="1" ref="BL73" ca="1">IF(OR((BL$67&gt;=$AW$11:$AW$74)*(BL$48&lt;=$AX$11:$AX$74)&gt;0),$B73,"")</f>
        <v/>
      </c>
      <c r="BM73" s="84" t="str">
        <f t="array" aca="1" ref="BM73" ca="1">IF(OR((BM$67&gt;=$AW$11:$AW$74)*(BM$48&lt;=$AX$11:$AX$74)&gt;0),$B73,"")</f>
        <v/>
      </c>
      <c r="BN73" s="84" t="str">
        <f t="array" aca="1" ref="BN73" ca="1">IF(OR((BN$67&gt;=$AW$11:$AW$74)*(BN$48&lt;=$AX$11:$AX$74)&gt;0),$B73,"")</f>
        <v/>
      </c>
      <c r="BO73" s="84" t="str">
        <f t="array" aca="1" ref="BO73" ca="1">IF(OR((BO$67&gt;=$AW$11:$AW$74)*(BO$48&lt;=$AX$11:$AX$74)&gt;0),$B73,"")</f>
        <v/>
      </c>
      <c r="BP73" s="84" t="str">
        <f t="array" aca="1" ref="BP73" ca="1">IF(OR((BP$67&gt;=$AW$11:$AW$74)*(BP$48&lt;=$AX$11:$AX$74)&gt;0),$B73,"")</f>
        <v/>
      </c>
      <c r="BQ73" s="84" t="str">
        <f t="array" aca="1" ref="BQ73" ca="1">IF(OR((BQ$67&gt;=$AW$11:$AW$74)*(BQ$48&lt;=$AX$11:$AX$74)&gt;0),$B73,"")</f>
        <v/>
      </c>
      <c r="BR73" s="84" t="str">
        <f t="array" aca="1" ref="BR73" ca="1">IF(OR((BR$67&gt;=$AW$11:$AW$74)*(BR$48&lt;=$AX$11:$AX$74)&gt;0),$B73,"")</f>
        <v/>
      </c>
      <c r="BS73" s="84" t="str">
        <f t="array" aca="1" ref="BS73" ca="1">IF(OR((BS$67&gt;=$AW$11:$AW$74)*(BS$48&lt;=$AX$11:$AX$74)&gt;0),$B73,"")</f>
        <v/>
      </c>
      <c r="BU73" s="80" t="s">
        <v>177</v>
      </c>
      <c r="BV73" s="134">
        <v>4</v>
      </c>
      <c r="BW73" s="84" t="str">
        <f t="array" aca="1" ref="BW73" ca="1">IF(OR((BW$67&gt;=$AW$11:$AW$74)*(BW$48&lt;=$AX$11:$AX$74)&gt;0),$B73,"")</f>
        <v/>
      </c>
      <c r="BX73" s="84" t="str">
        <f t="array" aca="1" ref="BX73" ca="1">IF(OR((BX$67&gt;=$AW$11:$AW$74)*(BX$48&lt;=$AX$11:$AX$74)&gt;0),$B73,"")</f>
        <v/>
      </c>
      <c r="BY73" s="84" t="str">
        <f t="array" aca="1" ref="BY73" ca="1">IF(OR((BY$67&gt;=$AW$11:$AW$74)*(BY$48&lt;=$AX$11:$AX$74)&gt;0),$B73,"")</f>
        <v/>
      </c>
      <c r="BZ73" s="84" t="str">
        <f t="array" aca="1" ref="BZ73" ca="1">IF(OR((BZ$67&gt;=$AW$11:$AW$74)*(BZ$48&lt;=$AX$11:$AX$74)&gt;0),$B73,"")</f>
        <v/>
      </c>
      <c r="CA73" s="84" t="str">
        <f t="array" aca="1" ref="CA73" ca="1">IF(OR((CA$67&gt;=$AW$11:$AW$74)*(CA$48&lt;=$AX$11:$AX$74)&gt;0),$B73,"")</f>
        <v/>
      </c>
      <c r="CB73" s="84" t="str">
        <f t="array" aca="1" ref="CB73" ca="1">IF(OR((CB$67&gt;=$AW$11:$AW$74)*(CB$48&lt;=$AX$11:$AX$74)&gt;0),$B73,"")</f>
        <v/>
      </c>
      <c r="CC73" s="84" t="str">
        <f t="array" aca="1" ref="CC73" ca="1">IF(OR((CC$67&gt;=$AW$11:$AW$74)*(CC$48&lt;=$AX$11:$AX$74)&gt;0),$B73,"")</f>
        <v/>
      </c>
      <c r="CD73" s="84" t="str">
        <f t="array" aca="1" ref="CD73" ca="1">IF(OR((CD$67&gt;=$AW$11:$AW$74)*(CD$48&lt;=$AX$11:$AX$74)&gt;0),$B73,"")</f>
        <v/>
      </c>
      <c r="CE73" s="84" t="str">
        <f t="array" aca="1" ref="CE73" ca="1">IF(OR((CE$67&gt;=$AW$11:$AW$74)*(CE$48&lt;=$AX$11:$AX$74)&gt;0),$B73,"")</f>
        <v/>
      </c>
      <c r="CF73" s="84" t="str">
        <f t="array" aca="1" ref="CF73" ca="1">IF(OR((CF$67&gt;=$AW$11:$AW$74)*(CF$48&lt;=$AX$11:$AX$74)&gt;0),$B73,"")</f>
        <v/>
      </c>
      <c r="CG73" s="84" t="str">
        <f t="array" aca="1" ref="CG73" ca="1">IF(OR((CG$67&gt;=$AW$11:$AW$74)*(CG$48&lt;=$AX$11:$AX$74)&gt;0),$B73,"")</f>
        <v/>
      </c>
      <c r="CH73" s="84" t="str">
        <f t="array" aca="1" ref="CH73" ca="1">IF(OR((CH$67&gt;=$AW$11:$AW$74)*(CH$48&lt;=$AX$11:$AX$74)&gt;0),$B73,"")</f>
        <v/>
      </c>
      <c r="CI73" s="84" t="str">
        <f t="array" aca="1" ref="CI73" ca="1">IF(OR((CI$67&gt;=$AW$11:$AW$74)*(CI$48&lt;=$AX$11:$AX$74)&gt;0),$B73,"")</f>
        <v/>
      </c>
      <c r="CJ73" s="84" t="str">
        <f t="array" aca="1" ref="CJ73" ca="1">IF(OR((CJ$67&gt;=$AW$11:$AW$74)*(CJ$48&lt;=$AX$11:$AX$74)&gt;0),$B73,"")</f>
        <v/>
      </c>
      <c r="CK73" s="84" t="str">
        <f t="array" aca="1" ref="CK73" ca="1">IF(OR((CK$67&gt;=$AW$11:$AW$74)*(CK$48&lt;=$AX$11:$AX$74)&gt;0),$B73,"")</f>
        <v/>
      </c>
      <c r="CL73" s="84" t="str">
        <f t="array" aca="1" ref="CL73" ca="1">IF(OR((CL$67&gt;=$AW$11:$AW$74)*(CL$48&lt;=$AX$11:$AX$74)&gt;0),$B73,"")</f>
        <v/>
      </c>
      <c r="CM73" s="84" t="str">
        <f t="array" aca="1" ref="CM73" ca="1">IF(OR((CM$67&gt;=$AW$11:$AW$74)*(CM$48&lt;=$AX$11:$AX$74)&gt;0),$B73,"")</f>
        <v/>
      </c>
      <c r="CN73" s="84" t="str">
        <f t="array" aca="1" ref="CN73" ca="1">IF(OR((CN$67&gt;=$AW$11:$AW$74)*(CN$48&lt;=$AX$11:$AX$74)&gt;0),$B73,"")</f>
        <v/>
      </c>
      <c r="CO73" s="84" t="str">
        <f t="array" aca="1" ref="CO73" ca="1">IF(OR((CO$67&gt;=$AW$11:$AW$74)*(CO$48&lt;=$AX$11:$AX$74)&gt;0),$B73,"")</f>
        <v/>
      </c>
      <c r="CP73" s="84" t="str">
        <f t="array" aca="1" ref="CP73" ca="1">IF(OR((CP$67&gt;=$AW$11:$AW$74)*(CP$48&lt;=$AX$11:$AX$74)&gt;0),$B73,"")</f>
        <v/>
      </c>
      <c r="CQ73" s="84" t="str">
        <f t="array" aca="1" ref="CQ73" ca="1">IF(OR((CQ$67&gt;=$AW$11:$AW$74)*(CQ$48&lt;=$AX$11:$AX$74)&gt;0),$B73,"")</f>
        <v/>
      </c>
      <c r="CR73" s="84" t="str">
        <f t="array" aca="1" ref="CR73" ca="1">IF(OR((CR$67&gt;=$AW$11:$AW$74)*(CR$48&lt;=$AX$11:$AX$74)&gt;0),$B73,"")</f>
        <v/>
      </c>
      <c r="CS73" s="84" t="str">
        <f t="array" aca="1" ref="CS73" ca="1">IF(OR((CS$67&gt;=$AW$11:$AW$74)*(CS$48&lt;=$AX$11:$AX$74)&gt;0),$B73,"")</f>
        <v/>
      </c>
      <c r="CT73" s="84" t="str">
        <f t="array" aca="1" ref="CT73" ca="1">IF(OR((CT$67&gt;=$AW$11:$AW$74)*(CT$48&lt;=$AX$11:$AX$74)&gt;0),$B73,"")</f>
        <v/>
      </c>
      <c r="CU73" s="84" t="str">
        <f t="array" aca="1" ref="CU73" ca="1">IF(OR((CU$67&gt;=$AW$11:$AW$74)*(CU$48&lt;=$AX$11:$AX$74)&gt;0),$B73,"")</f>
        <v/>
      </c>
      <c r="CV73" s="84" t="str">
        <f t="array" aca="1" ref="CV73" ca="1">IF(OR((CV$67&gt;=$AW$11:$AW$74)*(CV$48&lt;=$AX$11:$AX$74)&gt;0),$B73,"")</f>
        <v/>
      </c>
      <c r="CW73" s="84" t="str">
        <f t="array" aca="1" ref="CW73" ca="1">IF(OR((CW$67&gt;=$AW$11:$AW$74)*(CW$48&lt;=$AX$11:$AX$74)&gt;0),$B73,"")</f>
        <v/>
      </c>
      <c r="CX73" s="84" t="str">
        <f t="array" aca="1" ref="CX73" ca="1">IF(OR((CX$67&gt;=$AW$11:$AW$74)*(CX$48&lt;=$AX$11:$AX$74)&gt;0),$B73,"")</f>
        <v/>
      </c>
      <c r="CY73" s="84" t="str">
        <f t="array" aca="1" ref="CY73" ca="1">IF(OR((CY$67&gt;=$AW$11:$AW$74)*(CY$48&lt;=$AX$11:$AX$74)&gt;0),$B73,"")</f>
        <v/>
      </c>
      <c r="CZ73" s="84" t="str">
        <f t="array" aca="1" ref="CZ73" ca="1">IF(OR((CZ$67&gt;=$AW$11:$AW$74)*(CZ$48&lt;=$AX$11:$AX$74)&gt;0),$B73,"")</f>
        <v/>
      </c>
      <c r="DA73" s="84" t="str">
        <f t="array" aca="1" ref="DA73" ca="1">IF(OR((DA$67&gt;=$AW$11:$AW$74)*(DA$48&lt;=$AX$11:$AX$74)&gt;0),$B73,"")</f>
        <v/>
      </c>
      <c r="DB73" s="84" t="str">
        <f t="array" aca="1" ref="DB73" ca="1">IF(OR((DB$67&gt;=$AW$11:$AW$74)*(DB$48&lt;=$AX$11:$AX$74)&gt;0),$B73,"")</f>
        <v/>
      </c>
      <c r="DC73" s="84" t="str">
        <f t="array" aca="1" ref="DC73" ca="1">IF(OR((DC$67&gt;=$AW$11:$AW$74)*(DC$48&lt;=$AX$11:$AX$74)&gt;0),$B73,"")</f>
        <v/>
      </c>
    </row>
    <row r="74" spans="1:107" ht="16.5" customHeight="1">
      <c r="A74" s="80" t="s">
        <v>178</v>
      </c>
      <c r="B74" s="128">
        <v>4</v>
      </c>
      <c r="C74" s="84" t="str">
        <f t="array" aca="1" ref="C74" ca="1">IF(OR((C$67&gt;=$AW$11:$AW$74)*(C$48&lt;=$AX$11:$AX$74)&gt;0),$B74,"")</f>
        <v/>
      </c>
      <c r="D74" s="84" t="str">
        <f t="array" aca="1" ref="D74" ca="1">IF(OR((D$67&gt;=$AW$11:$AW$74)*(D$48&lt;=$AX$11:$AX$74)&gt;0),$B74,"")</f>
        <v/>
      </c>
      <c r="E74" s="84" t="str">
        <f t="array" aca="1" ref="E74" ca="1">IF(OR((E$67&gt;=$AW$11:$AW$74)*(E$48&lt;=$AX$11:$AX$74)&gt;0),$B74,"")</f>
        <v/>
      </c>
      <c r="F74" s="84" t="str">
        <f t="array" aca="1" ref="F74" ca="1">IF(OR((F$67&gt;=$AW$11:$AW$74)*(F$48&lt;=$AX$11:$AX$74)&gt;0),$B74,"")</f>
        <v/>
      </c>
      <c r="G74" s="84" t="str">
        <f t="array" aca="1" ref="G74" ca="1">IF(OR((G$67&gt;=$AW$11:$AW$74)*(G$48&lt;=$AX$11:$AX$74)&gt;0),$B74,"")</f>
        <v/>
      </c>
      <c r="H74" s="84" t="str">
        <f t="array" aca="1" ref="H74" ca="1">IF(OR((H$67&gt;=$AW$11:$AW$74)*(H$48&lt;=$AX$11:$AX$74)&gt;0),$B74,"")</f>
        <v/>
      </c>
      <c r="I74" s="84" t="str">
        <f t="array" aca="1" ref="I74" ca="1">IF(OR((I$67&gt;=$AW$11:$AW$74)*(I$48&lt;=$AX$11:$AX$74)&gt;0),$B74,"")</f>
        <v/>
      </c>
      <c r="J74" s="84" t="str">
        <f t="array" aca="1" ref="J74" ca="1">IF(OR((J$67&gt;=$AW$11:$AW$74)*(J$48&lt;=$AX$11:$AX$74)&gt;0),$B74,"")</f>
        <v/>
      </c>
      <c r="K74" s="84" t="str">
        <f t="array" aca="1" ref="K74" ca="1">IF(OR((K$67&gt;=$AW$11:$AW$74)*(K$48&lt;=$AX$11:$AX$74)&gt;0),$B74,"")</f>
        <v/>
      </c>
      <c r="L74" s="84" t="str">
        <f t="array" aca="1" ref="L74" ca="1">IF(OR((L$67&gt;=$AW$11:$AW$74)*(L$48&lt;=$AX$11:$AX$74)&gt;0),$B74,"")</f>
        <v/>
      </c>
      <c r="M74" s="84" t="str">
        <f t="array" aca="1" ref="M74" ca="1">IF(OR((M$67&gt;=$AW$11:$AW$74)*(M$48&lt;=$AX$11:$AX$74)&gt;0),$B74,"")</f>
        <v/>
      </c>
      <c r="N74" s="84" t="str">
        <f t="array" aca="1" ref="N74" ca="1">IF(OR((N$67&gt;=$AW$11:$AW$74)*(N$48&lt;=$AX$11:$AX$74)&gt;0),$B74,"")</f>
        <v/>
      </c>
      <c r="O74" s="84" t="str">
        <f t="array" aca="1" ref="O74" ca="1">IF(OR((O$67&gt;=$AW$11:$AW$74)*(O$48&lt;=$AX$11:$AX$74)&gt;0),$B74,"")</f>
        <v/>
      </c>
      <c r="P74" s="84" t="str">
        <f t="array" aca="1" ref="P74" ca="1">IF(OR((P$67&gt;=$AW$11:$AW$74)*(P$48&lt;=$AX$11:$AX$74)&gt;0),$B74,"")</f>
        <v/>
      </c>
      <c r="Q74" s="84" t="str">
        <f t="array" aca="1" ref="Q74" ca="1">IF(OR((Q$67&gt;=$AW$11:$AW$74)*(Q$48&lt;=$AX$11:$AX$74)&gt;0),$B74,"")</f>
        <v/>
      </c>
      <c r="R74" s="84" t="str">
        <f t="array" aca="1" ref="R74" ca="1">IF(OR((R$67&gt;=$AW$11:$AW$74)*(R$48&lt;=$AX$11:$AX$74)&gt;0),$B74,"")</f>
        <v/>
      </c>
      <c r="S74" s="84" t="str">
        <f t="array" aca="1" ref="S74" ca="1">IF(OR((S$67&gt;=$AW$11:$AW$74)*(S$48&lt;=$AX$11:$AX$74)&gt;0),$B74,"")</f>
        <v/>
      </c>
      <c r="T74" s="84" t="str">
        <f t="array" aca="1" ref="T74" ca="1">IF(OR((T$67&gt;=$AW$11:$AW$74)*(T$48&lt;=$AX$11:$AX$74)&gt;0),$B74,"")</f>
        <v/>
      </c>
      <c r="U74" s="84" t="str">
        <f t="array" aca="1" ref="U74" ca="1">IF(OR((U$67&gt;=$AW$11:$AW$74)*(U$48&lt;=$AX$11:$AX$74)&gt;0),$B74,"")</f>
        <v/>
      </c>
      <c r="V74" s="84" t="str">
        <f t="array" aca="1" ref="V74" ca="1">IF(OR((V$67&gt;=$AW$11:$AW$74)*(V$48&lt;=$AX$11:$AX$74)&gt;0),$B74,"")</f>
        <v/>
      </c>
      <c r="W74" s="84" t="str">
        <f t="array" aca="1" ref="W74" ca="1">IF(OR((W$67&gt;=$AW$11:$AW$74)*(W$48&lt;=$AX$11:$AX$74)&gt;0),$B74,"")</f>
        <v/>
      </c>
      <c r="X74" s="84" t="str">
        <f t="array" aca="1" ref="X74" ca="1">IF(OR((X$67&gt;=$AW$11:$AW$74)*(X$48&lt;=$AX$11:$AX$74)&gt;0),$B74,"")</f>
        <v/>
      </c>
      <c r="Y74" s="84" t="str">
        <f t="array" aca="1" ref="Y74" ca="1">IF(OR((Y$67&gt;=$AW$11:$AW$74)*(Y$48&lt;=$AX$11:$AX$74)&gt;0),$B74,"")</f>
        <v/>
      </c>
      <c r="Z74" s="84" t="str">
        <f t="array" aca="1" ref="Z74" ca="1">IF(OR((Z$67&gt;=$AW$11:$AW$74)*(Z$48&lt;=$AX$11:$AX$74)&gt;0),$B74,"")</f>
        <v/>
      </c>
      <c r="AA74" s="84" t="str">
        <f t="array" aca="1" ref="AA74" ca="1">IF(OR((AA$67&gt;=$AW$11:$AW$74)*(AA$48&lt;=$AX$11:$AX$74)&gt;0),$B74,"")</f>
        <v/>
      </c>
      <c r="AB74" s="84" t="str">
        <f t="array" aca="1" ref="AB74" ca="1">IF(OR((AB$67&gt;=$AW$11:$AW$74)*(AB$48&lt;=$AX$11:$AX$74)&gt;0),$B74,"")</f>
        <v/>
      </c>
      <c r="AC74" s="84" t="str">
        <f t="array" aca="1" ref="AC74" ca="1">IF(OR((AC$67&gt;=$AW$11:$AW$74)*(AC$48&lt;=$AX$11:$AX$74)&gt;0),$B74,"")</f>
        <v/>
      </c>
      <c r="AD74" s="84" t="str">
        <f t="array" aca="1" ref="AD74" ca="1">IF(OR((AD$67&gt;=$AW$11:$AW$74)*(AD$48&lt;=$AX$11:$AX$74)&gt;0),$B74,"")</f>
        <v/>
      </c>
      <c r="AE74" s="84" t="str">
        <f t="array" aca="1" ref="AE74" ca="1">IF(OR((AE$67&gt;=$AW$11:$AW$74)*(AE$48&lt;=$AX$11:$AX$74)&gt;0),$B74,"")</f>
        <v/>
      </c>
      <c r="AF74" s="84" t="str">
        <f t="array" aca="1" ref="AF74" ca="1">IF(OR((AF$67&gt;=$AW$11:$AW$74)*(AF$48&lt;=$AX$11:$AX$74)&gt;0),$B74,"")</f>
        <v/>
      </c>
      <c r="AG74" s="84" t="str">
        <f t="array" aca="1" ref="AG74" ca="1">IF(OR((AG$67&gt;=$AW$11:$AW$74)*(AG$48&lt;=$AX$11:$AX$74)&gt;0),$B74,"")</f>
        <v/>
      </c>
      <c r="AH74" s="84" t="str">
        <f t="array" aca="1" ref="AH74" ca="1">IF(OR((AH$67&gt;=$AW$11:$AW$74)*(AH$48&lt;=$AX$11:$AX$74)&gt;0),$B74,"")</f>
        <v/>
      </c>
      <c r="AI74" s="84" t="str">
        <f t="array" aca="1" ref="AI74" ca="1">IF(OR((AI$67&gt;=$AW$11:$AW$74)*(AI$48&lt;=$AX$11:$AX$74)&gt;0),$B74,"")</f>
        <v/>
      </c>
      <c r="AK74" s="80" t="s">
        <v>178</v>
      </c>
      <c r="AL74" s="134">
        <v>4</v>
      </c>
      <c r="AM74" s="84" t="str">
        <f t="array" aca="1" ref="AM74" ca="1">IF(OR((AM$67&gt;=$AW$11:$AW$74)*(AM$48&lt;=$AX$11:$AX$74)&gt;0),$B74,"")</f>
        <v/>
      </c>
      <c r="AN74" s="84" t="str">
        <f t="array" aca="1" ref="AN74" ca="1">IF(OR((AN$67&gt;=$AW$11:$AW$74)*(AN$48&lt;=$AX$11:$AX$74)&gt;0),$B74,"")</f>
        <v/>
      </c>
      <c r="AO74" s="84" t="str">
        <f t="array" aca="1" ref="AO74" ca="1">IF(OR((AO$67&gt;=$AW$11:$AW$74)*(AO$48&lt;=$AX$11:$AX$74)&gt;0),$B74,"")</f>
        <v/>
      </c>
      <c r="AP74" s="84" t="str">
        <f t="array" aca="1" ref="AP74" ca="1">IF(OR((AP$67&gt;=$AW$11:$AW$74)*(AP$48&lt;=$AX$11:$AX$74)&gt;0),$B74,"")</f>
        <v/>
      </c>
      <c r="AQ74" s="84" t="str">
        <f t="array" aca="1" ref="AQ74" ca="1">IF(OR((AQ$67&gt;=$AW$11:$AW$74)*(AQ$48&lt;=$AX$11:$AX$74)&gt;0),$B74,"")</f>
        <v/>
      </c>
      <c r="AR74" s="84" t="str">
        <f t="array" aca="1" ref="AR74" ca="1">IF(OR((AR$67&gt;=$AW$11:$AW$74)*(AR$48&lt;=$AX$11:$AX$74)&gt;0),$B74,"")</f>
        <v/>
      </c>
      <c r="AS74" s="84" t="str">
        <f t="array" aca="1" ref="AS74" ca="1">IF(OR((AS$67&gt;=$AW$11:$AW$74)*(AS$48&lt;=$AX$11:$AX$74)&gt;0),$B74,"")</f>
        <v/>
      </c>
      <c r="AT74" s="84" t="str">
        <f t="array" aca="1" ref="AT74" ca="1">IF(OR((AT$67&gt;=$AW$11:$AW$74)*(AT$48&lt;=$AX$11:$AX$74)&gt;0),$B74,"")</f>
        <v/>
      </c>
      <c r="AU74" s="84" t="str">
        <f t="array" aca="1" ref="AU74" ca="1">IF(OR((AU$67&gt;=$AW$11:$AW$74)*(AU$48&lt;=$AX$11:$AX$74)&gt;0),$B74,"")</f>
        <v/>
      </c>
      <c r="AV74" s="84" t="str">
        <f t="array" aca="1" ref="AV74" ca="1">IF(OR((AV$67&gt;=$AW$11:$AW$74)*(AV$48&lt;=$AX$11:$AX$74)&gt;0),$B74,"")</f>
        <v/>
      </c>
      <c r="AW74" s="84" t="str">
        <f t="array" aca="1" ref="AW74" ca="1">IF(OR((AW$67&gt;=$AW$11:$AW$74)*(AW$48&lt;=$AX$11:$AX$74)&gt;0),$B74,"")</f>
        <v/>
      </c>
      <c r="AX74" s="84" t="str">
        <f t="array" aca="1" ref="AX74" ca="1">IF(OR((AX$67&gt;=$AW$11:$AW$74)*(AX$48&lt;=$AX$11:$AX$74)&gt;0),$B74,"")</f>
        <v/>
      </c>
      <c r="AY74" s="84" t="str">
        <f t="array" aca="1" ref="AY74" ca="1">IF(OR((AY$67&gt;=$AW$11:$AW$74)*(AY$48&lt;=$AX$11:$AX$74)&gt;0),$B74,"")</f>
        <v/>
      </c>
      <c r="AZ74" s="84" t="str">
        <f t="array" aca="1" ref="AZ74" ca="1">IF(OR((AZ$67&gt;=$AW$11:$AW$74)*(AZ$48&lt;=$AX$11:$AX$74)&gt;0),$B74,"")</f>
        <v/>
      </c>
      <c r="BA74" s="84" t="str">
        <f t="array" aca="1" ref="BA74" ca="1">IF(OR((BA$67&gt;=$AW$11:$AW$74)*(BA$48&lt;=$AX$11:$AX$74)&gt;0),$B74,"")</f>
        <v/>
      </c>
      <c r="BB74" s="84" t="str">
        <f t="array" aca="1" ref="BB74" ca="1">IF(OR((BB$67&gt;=$AW$11:$AW$74)*(BB$48&lt;=$AX$11:$AX$74)&gt;0),$B74,"")</f>
        <v/>
      </c>
      <c r="BC74" s="84" t="str">
        <f t="array" aca="1" ref="BC74" ca="1">IF(OR((BC$67&gt;=$AW$11:$AW$74)*(BC$48&lt;=$AX$11:$AX$74)&gt;0),$B74,"")</f>
        <v/>
      </c>
      <c r="BD74" s="84" t="str">
        <f t="array" aca="1" ref="BD74" ca="1">IF(OR((BD$67&gt;=$AW$11:$AW$74)*(BD$48&lt;=$AX$11:$AX$74)&gt;0),$B74,"")</f>
        <v/>
      </c>
      <c r="BE74" s="84" t="str">
        <f t="array" aca="1" ref="BE74" ca="1">IF(OR((BE$67&gt;=$AW$11:$AW$74)*(BE$48&lt;=$AX$11:$AX$74)&gt;0),$B74,"")</f>
        <v/>
      </c>
      <c r="BF74" s="84" t="str">
        <f t="array" aca="1" ref="BF74" ca="1">IF(OR((BF$67&gt;=$AW$11:$AW$74)*(BF$48&lt;=$AX$11:$AX$74)&gt;0),$B74,"")</f>
        <v/>
      </c>
      <c r="BG74" s="84" t="str">
        <f t="array" aca="1" ref="BG74" ca="1">IF(OR((BG$67&gt;=$AW$11:$AW$74)*(BG$48&lt;=$AX$11:$AX$74)&gt;0),$B74,"")</f>
        <v/>
      </c>
      <c r="BH74" s="84" t="str">
        <f t="array" aca="1" ref="BH74" ca="1">IF(OR((BH$67&gt;=$AW$11:$AW$74)*(BH$48&lt;=$AX$11:$AX$74)&gt;0),$B74,"")</f>
        <v/>
      </c>
      <c r="BI74" s="84" t="str">
        <f t="array" aca="1" ref="BI74" ca="1">IF(OR((BI$67&gt;=$AW$11:$AW$74)*(BI$48&lt;=$AX$11:$AX$74)&gt;0),$B74,"")</f>
        <v/>
      </c>
      <c r="BJ74" s="84" t="str">
        <f t="array" aca="1" ref="BJ74" ca="1">IF(OR((BJ$67&gt;=$AW$11:$AW$74)*(BJ$48&lt;=$AX$11:$AX$74)&gt;0),$B74,"")</f>
        <v/>
      </c>
      <c r="BK74" s="84" t="str">
        <f t="array" aca="1" ref="BK74" ca="1">IF(OR((BK$67&gt;=$AW$11:$AW$74)*(BK$48&lt;=$AX$11:$AX$74)&gt;0),$B74,"")</f>
        <v/>
      </c>
      <c r="BL74" s="84" t="str">
        <f t="array" aca="1" ref="BL74" ca="1">IF(OR((BL$67&gt;=$AW$11:$AW$74)*(BL$48&lt;=$AX$11:$AX$74)&gt;0),$B74,"")</f>
        <v/>
      </c>
      <c r="BM74" s="84" t="str">
        <f t="array" aca="1" ref="BM74" ca="1">IF(OR((BM$67&gt;=$AW$11:$AW$74)*(BM$48&lt;=$AX$11:$AX$74)&gt;0),$B74,"")</f>
        <v/>
      </c>
      <c r="BN74" s="84" t="str">
        <f t="array" aca="1" ref="BN74" ca="1">IF(OR((BN$67&gt;=$AW$11:$AW$74)*(BN$48&lt;=$AX$11:$AX$74)&gt;0),$B74,"")</f>
        <v/>
      </c>
      <c r="BO74" s="84" t="str">
        <f t="array" aca="1" ref="BO74" ca="1">IF(OR((BO$67&gt;=$AW$11:$AW$74)*(BO$48&lt;=$AX$11:$AX$74)&gt;0),$B74,"")</f>
        <v/>
      </c>
      <c r="BP74" s="84" t="str">
        <f t="array" aca="1" ref="BP74" ca="1">IF(OR((BP$67&gt;=$AW$11:$AW$74)*(BP$48&lt;=$AX$11:$AX$74)&gt;0),$B74,"")</f>
        <v/>
      </c>
      <c r="BQ74" s="84" t="str">
        <f t="array" aca="1" ref="BQ74" ca="1">IF(OR((BQ$67&gt;=$AW$11:$AW$74)*(BQ$48&lt;=$AX$11:$AX$74)&gt;0),$B74,"")</f>
        <v/>
      </c>
      <c r="BR74" s="84" t="str">
        <f t="array" aca="1" ref="BR74" ca="1">IF(OR((BR$67&gt;=$AW$11:$AW$74)*(BR$48&lt;=$AX$11:$AX$74)&gt;0),$B74,"")</f>
        <v/>
      </c>
      <c r="BS74" s="84" t="str">
        <f t="array" aca="1" ref="BS74" ca="1">IF(OR((BS$67&gt;=$AW$11:$AW$74)*(BS$48&lt;=$AX$11:$AX$74)&gt;0),$B74,"")</f>
        <v/>
      </c>
      <c r="BU74" s="80" t="s">
        <v>178</v>
      </c>
      <c r="BV74" s="134">
        <v>4</v>
      </c>
      <c r="BW74" s="84" t="str">
        <f t="array" aca="1" ref="BW74" ca="1">IF(OR((BW$67&gt;=$AW$11:$AW$74)*(BW$48&lt;=$AX$11:$AX$74)&gt;0),$B74,"")</f>
        <v/>
      </c>
      <c r="BX74" s="84" t="str">
        <f t="array" aca="1" ref="BX74" ca="1">IF(OR((BX$67&gt;=$AW$11:$AW$74)*(BX$48&lt;=$AX$11:$AX$74)&gt;0),$B74,"")</f>
        <v/>
      </c>
      <c r="BY74" s="84" t="str">
        <f t="array" aca="1" ref="BY74" ca="1">IF(OR((BY$67&gt;=$AW$11:$AW$74)*(BY$48&lt;=$AX$11:$AX$74)&gt;0),$B74,"")</f>
        <v/>
      </c>
      <c r="BZ74" s="84" t="str">
        <f t="array" aca="1" ref="BZ74" ca="1">IF(OR((BZ$67&gt;=$AW$11:$AW$74)*(BZ$48&lt;=$AX$11:$AX$74)&gt;0),$B74,"")</f>
        <v/>
      </c>
      <c r="CA74" s="84" t="str">
        <f t="array" aca="1" ref="CA74" ca="1">IF(OR((CA$67&gt;=$AW$11:$AW$74)*(CA$48&lt;=$AX$11:$AX$74)&gt;0),$B74,"")</f>
        <v/>
      </c>
      <c r="CB74" s="84" t="str">
        <f t="array" aca="1" ref="CB74" ca="1">IF(OR((CB$67&gt;=$AW$11:$AW$74)*(CB$48&lt;=$AX$11:$AX$74)&gt;0),$B74,"")</f>
        <v/>
      </c>
      <c r="CC74" s="84" t="str">
        <f t="array" aca="1" ref="CC74" ca="1">IF(OR((CC$67&gt;=$AW$11:$AW$74)*(CC$48&lt;=$AX$11:$AX$74)&gt;0),$B74,"")</f>
        <v/>
      </c>
      <c r="CD74" s="84" t="str">
        <f t="array" aca="1" ref="CD74" ca="1">IF(OR((CD$67&gt;=$AW$11:$AW$74)*(CD$48&lt;=$AX$11:$AX$74)&gt;0),$B74,"")</f>
        <v/>
      </c>
      <c r="CE74" s="84" t="str">
        <f t="array" aca="1" ref="CE74" ca="1">IF(OR((CE$67&gt;=$AW$11:$AW$74)*(CE$48&lt;=$AX$11:$AX$74)&gt;0),$B74,"")</f>
        <v/>
      </c>
      <c r="CF74" s="84" t="str">
        <f t="array" aca="1" ref="CF74" ca="1">IF(OR((CF$67&gt;=$AW$11:$AW$74)*(CF$48&lt;=$AX$11:$AX$74)&gt;0),$B74,"")</f>
        <v/>
      </c>
      <c r="CG74" s="84" t="str">
        <f t="array" aca="1" ref="CG74" ca="1">IF(OR((CG$67&gt;=$AW$11:$AW$74)*(CG$48&lt;=$AX$11:$AX$74)&gt;0),$B74,"")</f>
        <v/>
      </c>
      <c r="CH74" s="84" t="str">
        <f t="array" aca="1" ref="CH74" ca="1">IF(OR((CH$67&gt;=$AW$11:$AW$74)*(CH$48&lt;=$AX$11:$AX$74)&gt;0),$B74,"")</f>
        <v/>
      </c>
      <c r="CI74" s="84" t="str">
        <f t="array" aca="1" ref="CI74" ca="1">IF(OR((CI$67&gt;=$AW$11:$AW$74)*(CI$48&lt;=$AX$11:$AX$74)&gt;0),$B74,"")</f>
        <v/>
      </c>
      <c r="CJ74" s="84" t="str">
        <f t="array" aca="1" ref="CJ74" ca="1">IF(OR((CJ$67&gt;=$AW$11:$AW$74)*(CJ$48&lt;=$AX$11:$AX$74)&gt;0),$B74,"")</f>
        <v/>
      </c>
      <c r="CK74" s="84" t="str">
        <f t="array" aca="1" ref="CK74" ca="1">IF(OR((CK$67&gt;=$AW$11:$AW$74)*(CK$48&lt;=$AX$11:$AX$74)&gt;0),$B74,"")</f>
        <v/>
      </c>
      <c r="CL74" s="84" t="str">
        <f t="array" aca="1" ref="CL74" ca="1">IF(OR((CL$67&gt;=$AW$11:$AW$74)*(CL$48&lt;=$AX$11:$AX$74)&gt;0),$B74,"")</f>
        <v/>
      </c>
      <c r="CM74" s="84" t="str">
        <f t="array" aca="1" ref="CM74" ca="1">IF(OR((CM$67&gt;=$AW$11:$AW$74)*(CM$48&lt;=$AX$11:$AX$74)&gt;0),$B74,"")</f>
        <v/>
      </c>
      <c r="CN74" s="84" t="str">
        <f t="array" aca="1" ref="CN74" ca="1">IF(OR((CN$67&gt;=$AW$11:$AW$74)*(CN$48&lt;=$AX$11:$AX$74)&gt;0),$B74,"")</f>
        <v/>
      </c>
      <c r="CO74" s="84" t="str">
        <f t="array" aca="1" ref="CO74" ca="1">IF(OR((CO$67&gt;=$AW$11:$AW$74)*(CO$48&lt;=$AX$11:$AX$74)&gt;0),$B74,"")</f>
        <v/>
      </c>
      <c r="CP74" s="84" t="str">
        <f t="array" aca="1" ref="CP74" ca="1">IF(OR((CP$67&gt;=$AW$11:$AW$74)*(CP$48&lt;=$AX$11:$AX$74)&gt;0),$B74,"")</f>
        <v/>
      </c>
      <c r="CQ74" s="84" t="str">
        <f t="array" aca="1" ref="CQ74" ca="1">IF(OR((CQ$67&gt;=$AW$11:$AW$74)*(CQ$48&lt;=$AX$11:$AX$74)&gt;0),$B74,"")</f>
        <v/>
      </c>
      <c r="CR74" s="84" t="str">
        <f t="array" aca="1" ref="CR74" ca="1">IF(OR((CR$67&gt;=$AW$11:$AW$74)*(CR$48&lt;=$AX$11:$AX$74)&gt;0),$B74,"")</f>
        <v/>
      </c>
      <c r="CS74" s="84" t="str">
        <f t="array" aca="1" ref="CS74" ca="1">IF(OR((CS$67&gt;=$AW$11:$AW$74)*(CS$48&lt;=$AX$11:$AX$74)&gt;0),$B74,"")</f>
        <v/>
      </c>
      <c r="CT74" s="84" t="str">
        <f t="array" aca="1" ref="CT74" ca="1">IF(OR((CT$67&gt;=$AW$11:$AW$74)*(CT$48&lt;=$AX$11:$AX$74)&gt;0),$B74,"")</f>
        <v/>
      </c>
      <c r="CU74" s="84" t="str">
        <f t="array" aca="1" ref="CU74" ca="1">IF(OR((CU$67&gt;=$AW$11:$AW$74)*(CU$48&lt;=$AX$11:$AX$74)&gt;0),$B74,"")</f>
        <v/>
      </c>
      <c r="CV74" s="84" t="str">
        <f t="array" aca="1" ref="CV74" ca="1">IF(OR((CV$67&gt;=$AW$11:$AW$74)*(CV$48&lt;=$AX$11:$AX$74)&gt;0),$B74,"")</f>
        <v/>
      </c>
      <c r="CW74" s="84" t="str">
        <f t="array" aca="1" ref="CW74" ca="1">IF(OR((CW$67&gt;=$AW$11:$AW$74)*(CW$48&lt;=$AX$11:$AX$74)&gt;0),$B74,"")</f>
        <v/>
      </c>
      <c r="CX74" s="84" t="str">
        <f t="array" aca="1" ref="CX74" ca="1">IF(OR((CX$67&gt;=$AW$11:$AW$74)*(CX$48&lt;=$AX$11:$AX$74)&gt;0),$B74,"")</f>
        <v/>
      </c>
      <c r="CY74" s="84" t="str">
        <f t="array" aca="1" ref="CY74" ca="1">IF(OR((CY$67&gt;=$AW$11:$AW$74)*(CY$48&lt;=$AX$11:$AX$74)&gt;0),$B74,"")</f>
        <v/>
      </c>
      <c r="CZ74" s="84" t="str">
        <f t="array" aca="1" ref="CZ74" ca="1">IF(OR((CZ$67&gt;=$AW$11:$AW$74)*(CZ$48&lt;=$AX$11:$AX$74)&gt;0),$B74,"")</f>
        <v/>
      </c>
      <c r="DA74" s="84" t="str">
        <f t="array" aca="1" ref="DA74" ca="1">IF(OR((DA$67&gt;=$AW$11:$AW$74)*(DA$48&lt;=$AX$11:$AX$74)&gt;0),$B74,"")</f>
        <v/>
      </c>
      <c r="DB74" s="84" t="str">
        <f t="array" aca="1" ref="DB74" ca="1">IF(OR((DB$67&gt;=$AW$11:$AW$74)*(DB$48&lt;=$AX$11:$AX$74)&gt;0),$B74,"")</f>
        <v/>
      </c>
      <c r="DC74" s="84" t="str">
        <f t="array" aca="1" ref="DC74" ca="1">IF(OR((DC$67&gt;=$AW$11:$AW$74)*(DC$48&lt;=$AX$11:$AX$74)&gt;0),$B74,"")</f>
        <v/>
      </c>
    </row>
    <row r="75" spans="1:107">
      <c r="A75" s="80" t="s">
        <v>179</v>
      </c>
      <c r="B75" s="128">
        <v>2</v>
      </c>
      <c r="C75" s="84" t="str">
        <f t="array" aca="1" ref="C75" ca="1">IF(OR((C$67&gt;=$AW$11:$AW$74)*(C$48&lt;=$AX$11:$AX$74)&gt;0),$B75,"")</f>
        <v/>
      </c>
      <c r="D75" s="84" t="str">
        <f t="array" aca="1" ref="D75" ca="1">IF(OR((D$67&gt;=$AW$11:$AW$74)*(D$48&lt;=$AX$11:$AX$74)&gt;0),$B75,"")</f>
        <v/>
      </c>
      <c r="E75" s="84" t="str">
        <f t="array" aca="1" ref="E75" ca="1">IF(OR((E$67&gt;=$AW$11:$AW$74)*(E$48&lt;=$AX$11:$AX$74)&gt;0),$B75,"")</f>
        <v/>
      </c>
      <c r="F75" s="84" t="str">
        <f t="array" aca="1" ref="F75" ca="1">IF(OR((F$67&gt;=$AW$11:$AW$74)*(F$48&lt;=$AX$11:$AX$74)&gt;0),$B75,"")</f>
        <v/>
      </c>
      <c r="G75" s="84" t="str">
        <f t="array" aca="1" ref="G75" ca="1">IF(OR((G$67&gt;=$AW$11:$AW$74)*(G$48&lt;=$AX$11:$AX$74)&gt;0),$B75,"")</f>
        <v/>
      </c>
      <c r="H75" s="84" t="str">
        <f t="array" aca="1" ref="H75" ca="1">IF(OR((H$67&gt;=$AW$11:$AW$74)*(H$48&lt;=$AX$11:$AX$74)&gt;0),$B75,"")</f>
        <v/>
      </c>
      <c r="I75" s="84" t="str">
        <f t="array" aca="1" ref="I75" ca="1">IF(OR((I$67&gt;=$AW$11:$AW$74)*(I$48&lt;=$AX$11:$AX$74)&gt;0),$B75,"")</f>
        <v/>
      </c>
      <c r="J75" s="84" t="str">
        <f t="array" aca="1" ref="J75" ca="1">IF(OR((J$67&gt;=$AW$11:$AW$74)*(J$48&lt;=$AX$11:$AX$74)&gt;0),$B75,"")</f>
        <v/>
      </c>
      <c r="K75" s="84" t="str">
        <f t="array" aca="1" ref="K75" ca="1">IF(OR((K$67&gt;=$AW$11:$AW$74)*(K$48&lt;=$AX$11:$AX$74)&gt;0),$B75,"")</f>
        <v/>
      </c>
      <c r="L75" s="84" t="str">
        <f t="array" aca="1" ref="L75" ca="1">IF(OR((L$67&gt;=$AW$11:$AW$74)*(L$48&lt;=$AX$11:$AX$74)&gt;0),$B75,"")</f>
        <v/>
      </c>
      <c r="M75" s="84" t="str">
        <f t="array" aca="1" ref="M75" ca="1">IF(OR((M$67&gt;=$AW$11:$AW$74)*(M$48&lt;=$AX$11:$AX$74)&gt;0),$B75,"")</f>
        <v/>
      </c>
      <c r="N75" s="84" t="str">
        <f t="array" aca="1" ref="N75" ca="1">IF(OR((N$67&gt;=$AW$11:$AW$74)*(N$48&lt;=$AX$11:$AX$74)&gt;0),$B75,"")</f>
        <v/>
      </c>
      <c r="O75" s="84" t="str">
        <f t="array" aca="1" ref="O75" ca="1">IF(OR((O$67&gt;=$AW$11:$AW$74)*(O$48&lt;=$AX$11:$AX$74)&gt;0),$B75,"")</f>
        <v/>
      </c>
      <c r="P75" s="84" t="str">
        <f t="array" aca="1" ref="P75" ca="1">IF(OR((P$67&gt;=$AW$11:$AW$74)*(P$48&lt;=$AX$11:$AX$74)&gt;0),$B75,"")</f>
        <v/>
      </c>
      <c r="Q75" s="84" t="str">
        <f t="array" aca="1" ref="Q75" ca="1">IF(OR((Q$67&gt;=$AW$11:$AW$74)*(Q$48&lt;=$AX$11:$AX$74)&gt;0),$B75,"")</f>
        <v/>
      </c>
      <c r="R75" s="84" t="str">
        <f t="array" aca="1" ref="R75" ca="1">IF(OR((R$67&gt;=$AW$11:$AW$74)*(R$48&lt;=$AX$11:$AX$74)&gt;0),$B75,"")</f>
        <v/>
      </c>
      <c r="S75" s="84" t="str">
        <f t="array" aca="1" ref="S75" ca="1">IF(OR((S$67&gt;=$AW$11:$AW$74)*(S$48&lt;=$AX$11:$AX$74)&gt;0),$B75,"")</f>
        <v/>
      </c>
      <c r="T75" s="84" t="str">
        <f t="array" aca="1" ref="T75" ca="1">IF(OR((T$67&gt;=$AW$11:$AW$74)*(T$48&lt;=$AX$11:$AX$74)&gt;0),$B75,"")</f>
        <v/>
      </c>
      <c r="U75" s="84" t="str">
        <f t="array" aca="1" ref="U75" ca="1">IF(OR((U$67&gt;=$AW$11:$AW$74)*(U$48&lt;=$AX$11:$AX$74)&gt;0),$B75,"")</f>
        <v/>
      </c>
      <c r="V75" s="84" t="str">
        <f t="array" aca="1" ref="V75" ca="1">IF(OR((V$67&gt;=$AW$11:$AW$74)*(V$48&lt;=$AX$11:$AX$74)&gt;0),$B75,"")</f>
        <v/>
      </c>
      <c r="W75" s="84" t="str">
        <f t="array" aca="1" ref="W75" ca="1">IF(OR((W$67&gt;=$AW$11:$AW$74)*(W$48&lt;=$AX$11:$AX$74)&gt;0),$B75,"")</f>
        <v/>
      </c>
      <c r="X75" s="84" t="str">
        <f t="array" aca="1" ref="X75" ca="1">IF(OR((X$67&gt;=$AW$11:$AW$74)*(X$48&lt;=$AX$11:$AX$74)&gt;0),$B75,"")</f>
        <v/>
      </c>
      <c r="Y75" s="84" t="str">
        <f t="array" aca="1" ref="Y75" ca="1">IF(OR((Y$67&gt;=$AW$11:$AW$74)*(Y$48&lt;=$AX$11:$AX$74)&gt;0),$B75,"")</f>
        <v/>
      </c>
      <c r="Z75" s="84" t="str">
        <f t="array" aca="1" ref="Z75" ca="1">IF(OR((Z$67&gt;=$AW$11:$AW$74)*(Z$48&lt;=$AX$11:$AX$74)&gt;0),$B75,"")</f>
        <v/>
      </c>
      <c r="AA75" s="84" t="str">
        <f t="array" aca="1" ref="AA75" ca="1">IF(OR((AA$67&gt;=$AW$11:$AW$74)*(AA$48&lt;=$AX$11:$AX$74)&gt;0),$B75,"")</f>
        <v/>
      </c>
      <c r="AB75" s="84" t="str">
        <f t="array" aca="1" ref="AB75" ca="1">IF(OR((AB$67&gt;=$AW$11:$AW$74)*(AB$48&lt;=$AX$11:$AX$74)&gt;0),$B75,"")</f>
        <v/>
      </c>
      <c r="AC75" s="84" t="str">
        <f t="array" aca="1" ref="AC75" ca="1">IF(OR((AC$67&gt;=$AW$11:$AW$74)*(AC$48&lt;=$AX$11:$AX$74)&gt;0),$B75,"")</f>
        <v/>
      </c>
      <c r="AD75" s="84" t="str">
        <f t="array" aca="1" ref="AD75" ca="1">IF(OR((AD$67&gt;=$AW$11:$AW$74)*(AD$48&lt;=$AX$11:$AX$74)&gt;0),$B75,"")</f>
        <v/>
      </c>
      <c r="AE75" s="84" t="str">
        <f t="array" aca="1" ref="AE75" ca="1">IF(OR((AE$67&gt;=$AW$11:$AW$74)*(AE$48&lt;=$AX$11:$AX$74)&gt;0),$B75,"")</f>
        <v/>
      </c>
      <c r="AF75" s="84" t="str">
        <f t="array" aca="1" ref="AF75" ca="1">IF(OR((AF$67&gt;=$AW$11:$AW$74)*(AF$48&lt;=$AX$11:$AX$74)&gt;0),$B75,"")</f>
        <v/>
      </c>
      <c r="AG75" s="84" t="str">
        <f t="array" aca="1" ref="AG75" ca="1">IF(OR((AG$67&gt;=$AW$11:$AW$74)*(AG$48&lt;=$AX$11:$AX$74)&gt;0),$B75,"")</f>
        <v/>
      </c>
      <c r="AH75" s="84" t="str">
        <f t="array" aca="1" ref="AH75" ca="1">IF(OR((AH$67&gt;=$AW$11:$AW$74)*(AH$48&lt;=$AX$11:$AX$74)&gt;0),$B75,"")</f>
        <v/>
      </c>
      <c r="AI75" s="84" t="str">
        <f t="array" aca="1" ref="AI75" ca="1">IF(OR((AI$67&gt;=$AW$11:$AW$74)*(AI$48&lt;=$AX$11:$AX$74)&gt;0),$B75,"")</f>
        <v/>
      </c>
      <c r="AK75" s="80" t="s">
        <v>179</v>
      </c>
      <c r="AL75" s="134">
        <v>2</v>
      </c>
      <c r="AM75" s="84" t="str">
        <f t="array" aca="1" ref="AM75" ca="1">IF(OR((AM$67&gt;=$AW$11:$AW$74)*(AM$48&lt;=$AX$11:$AX$74)&gt;0),$B75,"")</f>
        <v/>
      </c>
      <c r="AN75" s="84" t="str">
        <f t="array" aca="1" ref="AN75" ca="1">IF(OR((AN$67&gt;=$AW$11:$AW$74)*(AN$48&lt;=$AX$11:$AX$74)&gt;0),$B75,"")</f>
        <v/>
      </c>
      <c r="AO75" s="84" t="str">
        <f t="array" aca="1" ref="AO75" ca="1">IF(OR((AO$67&gt;=$AW$11:$AW$74)*(AO$48&lt;=$AX$11:$AX$74)&gt;0),$B75,"")</f>
        <v/>
      </c>
      <c r="AP75" s="84" t="str">
        <f t="array" aca="1" ref="AP75" ca="1">IF(OR((AP$67&gt;=$AW$11:$AW$74)*(AP$48&lt;=$AX$11:$AX$74)&gt;0),$B75,"")</f>
        <v/>
      </c>
      <c r="AQ75" s="84" t="str">
        <f t="array" aca="1" ref="AQ75" ca="1">IF(OR((AQ$67&gt;=$AW$11:$AW$74)*(AQ$48&lt;=$AX$11:$AX$74)&gt;0),$B75,"")</f>
        <v/>
      </c>
      <c r="AR75" s="84" t="str">
        <f t="array" aca="1" ref="AR75" ca="1">IF(OR((AR$67&gt;=$AW$11:$AW$74)*(AR$48&lt;=$AX$11:$AX$74)&gt;0),$B75,"")</f>
        <v/>
      </c>
      <c r="AS75" s="84" t="str">
        <f t="array" aca="1" ref="AS75" ca="1">IF(OR((AS$67&gt;=$AW$11:$AW$74)*(AS$48&lt;=$AX$11:$AX$74)&gt;0),$B75,"")</f>
        <v/>
      </c>
      <c r="AT75" s="84" t="str">
        <f t="array" aca="1" ref="AT75" ca="1">IF(OR((AT$67&gt;=$AW$11:$AW$74)*(AT$48&lt;=$AX$11:$AX$74)&gt;0),$B75,"")</f>
        <v/>
      </c>
      <c r="AU75" s="84" t="str">
        <f t="array" aca="1" ref="AU75" ca="1">IF(OR((AU$67&gt;=$AW$11:$AW$74)*(AU$48&lt;=$AX$11:$AX$74)&gt;0),$B75,"")</f>
        <v/>
      </c>
      <c r="AV75" s="84" t="str">
        <f t="array" aca="1" ref="AV75" ca="1">IF(OR((AV$67&gt;=$AW$11:$AW$74)*(AV$48&lt;=$AX$11:$AX$74)&gt;0),$B75,"")</f>
        <v/>
      </c>
      <c r="AW75" s="84" t="str">
        <f t="array" aca="1" ref="AW75" ca="1">IF(OR((AW$67&gt;=$AW$11:$AW$74)*(AW$48&lt;=$AX$11:$AX$74)&gt;0),$B75,"")</f>
        <v/>
      </c>
      <c r="AX75" s="84" t="str">
        <f t="array" aca="1" ref="AX75" ca="1">IF(OR((AX$67&gt;=$AW$11:$AW$74)*(AX$48&lt;=$AX$11:$AX$74)&gt;0),$B75,"")</f>
        <v/>
      </c>
      <c r="AY75" s="84" t="str">
        <f t="array" aca="1" ref="AY75" ca="1">IF(OR((AY$67&gt;=$AW$11:$AW$74)*(AY$48&lt;=$AX$11:$AX$74)&gt;0),$B75,"")</f>
        <v/>
      </c>
      <c r="AZ75" s="84" t="str">
        <f t="array" aca="1" ref="AZ75" ca="1">IF(OR((AZ$67&gt;=$AW$11:$AW$74)*(AZ$48&lt;=$AX$11:$AX$74)&gt;0),$B75,"")</f>
        <v/>
      </c>
      <c r="BA75" s="84" t="str">
        <f t="array" aca="1" ref="BA75" ca="1">IF(OR((BA$67&gt;=$AW$11:$AW$74)*(BA$48&lt;=$AX$11:$AX$74)&gt;0),$B75,"")</f>
        <v/>
      </c>
      <c r="BB75" s="84" t="str">
        <f t="array" aca="1" ref="BB75" ca="1">IF(OR((BB$67&gt;=$AW$11:$AW$74)*(BB$48&lt;=$AX$11:$AX$74)&gt;0),$B75,"")</f>
        <v/>
      </c>
      <c r="BC75" s="84" t="str">
        <f t="array" aca="1" ref="BC75" ca="1">IF(OR((BC$67&gt;=$AW$11:$AW$74)*(BC$48&lt;=$AX$11:$AX$74)&gt;0),$B75,"")</f>
        <v/>
      </c>
      <c r="BD75" s="84" t="str">
        <f t="array" aca="1" ref="BD75" ca="1">IF(OR((BD$67&gt;=$AW$11:$AW$74)*(BD$48&lt;=$AX$11:$AX$74)&gt;0),$B75,"")</f>
        <v/>
      </c>
      <c r="BE75" s="84" t="str">
        <f t="array" aca="1" ref="BE75" ca="1">IF(OR((BE$67&gt;=$AW$11:$AW$74)*(BE$48&lt;=$AX$11:$AX$74)&gt;0),$B75,"")</f>
        <v/>
      </c>
      <c r="BF75" s="84" t="str">
        <f t="array" aca="1" ref="BF75" ca="1">IF(OR((BF$67&gt;=$AW$11:$AW$74)*(BF$48&lt;=$AX$11:$AX$74)&gt;0),$B75,"")</f>
        <v/>
      </c>
      <c r="BG75" s="84" t="str">
        <f t="array" aca="1" ref="BG75" ca="1">IF(OR((BG$67&gt;=$AW$11:$AW$74)*(BG$48&lt;=$AX$11:$AX$74)&gt;0),$B75,"")</f>
        <v/>
      </c>
      <c r="BH75" s="84" t="str">
        <f t="array" aca="1" ref="BH75" ca="1">IF(OR((BH$67&gt;=$AW$11:$AW$74)*(BH$48&lt;=$AX$11:$AX$74)&gt;0),$B75,"")</f>
        <v/>
      </c>
      <c r="BI75" s="84" t="str">
        <f t="array" aca="1" ref="BI75" ca="1">IF(OR((BI$67&gt;=$AW$11:$AW$74)*(BI$48&lt;=$AX$11:$AX$74)&gt;0),$B75,"")</f>
        <v/>
      </c>
      <c r="BJ75" s="84" t="str">
        <f t="array" aca="1" ref="BJ75" ca="1">IF(OR((BJ$67&gt;=$AW$11:$AW$74)*(BJ$48&lt;=$AX$11:$AX$74)&gt;0),$B75,"")</f>
        <v/>
      </c>
      <c r="BK75" s="84" t="str">
        <f t="array" aca="1" ref="BK75" ca="1">IF(OR((BK$67&gt;=$AW$11:$AW$74)*(BK$48&lt;=$AX$11:$AX$74)&gt;0),$B75,"")</f>
        <v/>
      </c>
      <c r="BL75" s="84" t="str">
        <f t="array" aca="1" ref="BL75" ca="1">IF(OR((BL$67&gt;=$AW$11:$AW$74)*(BL$48&lt;=$AX$11:$AX$74)&gt;0),$B75,"")</f>
        <v/>
      </c>
      <c r="BM75" s="84" t="str">
        <f t="array" aca="1" ref="BM75" ca="1">IF(OR((BM$67&gt;=$AW$11:$AW$74)*(BM$48&lt;=$AX$11:$AX$74)&gt;0),$B75,"")</f>
        <v/>
      </c>
      <c r="BN75" s="84" t="str">
        <f t="array" aca="1" ref="BN75" ca="1">IF(OR((BN$67&gt;=$AW$11:$AW$74)*(BN$48&lt;=$AX$11:$AX$74)&gt;0),$B75,"")</f>
        <v/>
      </c>
      <c r="BO75" s="84" t="str">
        <f t="array" aca="1" ref="BO75" ca="1">IF(OR((BO$67&gt;=$AW$11:$AW$74)*(BO$48&lt;=$AX$11:$AX$74)&gt;0),$B75,"")</f>
        <v/>
      </c>
      <c r="BP75" s="84" t="str">
        <f t="array" aca="1" ref="BP75" ca="1">IF(OR((BP$67&gt;=$AW$11:$AW$74)*(BP$48&lt;=$AX$11:$AX$74)&gt;0),$B75,"")</f>
        <v/>
      </c>
      <c r="BQ75" s="84" t="str">
        <f t="array" aca="1" ref="BQ75" ca="1">IF(OR((BQ$67&gt;=$AW$11:$AW$74)*(BQ$48&lt;=$AX$11:$AX$74)&gt;0),$B75,"")</f>
        <v/>
      </c>
      <c r="BR75" s="84" t="str">
        <f t="array" aca="1" ref="BR75" ca="1">IF(OR((BR$67&gt;=$AW$11:$AW$74)*(BR$48&lt;=$AX$11:$AX$74)&gt;0),$B75,"")</f>
        <v/>
      </c>
      <c r="BS75" s="84" t="str">
        <f t="array" aca="1" ref="BS75" ca="1">IF(OR((BS$67&gt;=$AW$11:$AW$74)*(BS$48&lt;=$AX$11:$AX$74)&gt;0),$B75,"")</f>
        <v/>
      </c>
      <c r="BU75" s="80" t="s">
        <v>179</v>
      </c>
      <c r="BV75" s="134">
        <v>2</v>
      </c>
      <c r="BW75" s="84" t="str">
        <f t="array" aca="1" ref="BW75" ca="1">IF(OR((BW$67&gt;=$AW$11:$AW$74)*(BW$48&lt;=$AX$11:$AX$74)&gt;0),$B75,"")</f>
        <v/>
      </c>
      <c r="BX75" s="84" t="str">
        <f t="array" aca="1" ref="BX75" ca="1">IF(OR((BX$67&gt;=$AW$11:$AW$74)*(BX$48&lt;=$AX$11:$AX$74)&gt;0),$B75,"")</f>
        <v/>
      </c>
      <c r="BY75" s="84" t="str">
        <f t="array" aca="1" ref="BY75" ca="1">IF(OR((BY$67&gt;=$AW$11:$AW$74)*(BY$48&lt;=$AX$11:$AX$74)&gt;0),$B75,"")</f>
        <v/>
      </c>
      <c r="BZ75" s="84" t="str">
        <f t="array" aca="1" ref="BZ75" ca="1">IF(OR((BZ$67&gt;=$AW$11:$AW$74)*(BZ$48&lt;=$AX$11:$AX$74)&gt;0),$B75,"")</f>
        <v/>
      </c>
      <c r="CA75" s="84" t="str">
        <f t="array" aca="1" ref="CA75" ca="1">IF(OR((CA$67&gt;=$AW$11:$AW$74)*(CA$48&lt;=$AX$11:$AX$74)&gt;0),$B75,"")</f>
        <v/>
      </c>
      <c r="CB75" s="84" t="str">
        <f t="array" aca="1" ref="CB75" ca="1">IF(OR((CB$67&gt;=$AW$11:$AW$74)*(CB$48&lt;=$AX$11:$AX$74)&gt;0),$B75,"")</f>
        <v/>
      </c>
      <c r="CC75" s="84" t="str">
        <f t="array" aca="1" ref="CC75" ca="1">IF(OR((CC$67&gt;=$AW$11:$AW$74)*(CC$48&lt;=$AX$11:$AX$74)&gt;0),$B75,"")</f>
        <v/>
      </c>
      <c r="CD75" s="84" t="str">
        <f t="array" aca="1" ref="CD75" ca="1">IF(OR((CD$67&gt;=$AW$11:$AW$74)*(CD$48&lt;=$AX$11:$AX$74)&gt;0),$B75,"")</f>
        <v/>
      </c>
      <c r="CE75" s="84" t="str">
        <f t="array" aca="1" ref="CE75" ca="1">IF(OR((CE$67&gt;=$AW$11:$AW$74)*(CE$48&lt;=$AX$11:$AX$74)&gt;0),$B75,"")</f>
        <v/>
      </c>
      <c r="CF75" s="84" t="str">
        <f t="array" aca="1" ref="CF75" ca="1">IF(OR((CF$67&gt;=$AW$11:$AW$74)*(CF$48&lt;=$AX$11:$AX$74)&gt;0),$B75,"")</f>
        <v/>
      </c>
      <c r="CG75" s="84" t="str">
        <f t="array" aca="1" ref="CG75" ca="1">IF(OR((CG$67&gt;=$AW$11:$AW$74)*(CG$48&lt;=$AX$11:$AX$74)&gt;0),$B75,"")</f>
        <v/>
      </c>
      <c r="CH75" s="84" t="str">
        <f t="array" aca="1" ref="CH75" ca="1">IF(OR((CH$67&gt;=$AW$11:$AW$74)*(CH$48&lt;=$AX$11:$AX$74)&gt;0),$B75,"")</f>
        <v/>
      </c>
      <c r="CI75" s="84" t="str">
        <f t="array" aca="1" ref="CI75" ca="1">IF(OR((CI$67&gt;=$AW$11:$AW$74)*(CI$48&lt;=$AX$11:$AX$74)&gt;0),$B75,"")</f>
        <v/>
      </c>
      <c r="CJ75" s="84" t="str">
        <f t="array" aca="1" ref="CJ75" ca="1">IF(OR((CJ$67&gt;=$AW$11:$AW$74)*(CJ$48&lt;=$AX$11:$AX$74)&gt;0),$B75,"")</f>
        <v/>
      </c>
      <c r="CK75" s="84" t="str">
        <f t="array" aca="1" ref="CK75" ca="1">IF(OR((CK$67&gt;=$AW$11:$AW$74)*(CK$48&lt;=$AX$11:$AX$74)&gt;0),$B75,"")</f>
        <v/>
      </c>
      <c r="CL75" s="84" t="str">
        <f t="array" aca="1" ref="CL75" ca="1">IF(OR((CL$67&gt;=$AW$11:$AW$74)*(CL$48&lt;=$AX$11:$AX$74)&gt;0),$B75,"")</f>
        <v/>
      </c>
      <c r="CM75" s="84" t="str">
        <f t="array" aca="1" ref="CM75" ca="1">IF(OR((CM$67&gt;=$AW$11:$AW$74)*(CM$48&lt;=$AX$11:$AX$74)&gt;0),$B75,"")</f>
        <v/>
      </c>
      <c r="CN75" s="84" t="str">
        <f t="array" aca="1" ref="CN75" ca="1">IF(OR((CN$67&gt;=$AW$11:$AW$74)*(CN$48&lt;=$AX$11:$AX$74)&gt;0),$B75,"")</f>
        <v/>
      </c>
      <c r="CO75" s="84" t="str">
        <f t="array" aca="1" ref="CO75" ca="1">IF(OR((CO$67&gt;=$AW$11:$AW$74)*(CO$48&lt;=$AX$11:$AX$74)&gt;0),$B75,"")</f>
        <v/>
      </c>
      <c r="CP75" s="84" t="str">
        <f t="array" aca="1" ref="CP75" ca="1">IF(OR((CP$67&gt;=$AW$11:$AW$74)*(CP$48&lt;=$AX$11:$AX$74)&gt;0),$B75,"")</f>
        <v/>
      </c>
      <c r="CQ75" s="84" t="str">
        <f t="array" aca="1" ref="CQ75" ca="1">IF(OR((CQ$67&gt;=$AW$11:$AW$74)*(CQ$48&lt;=$AX$11:$AX$74)&gt;0),$B75,"")</f>
        <v/>
      </c>
      <c r="CR75" s="84" t="str">
        <f t="array" aca="1" ref="CR75" ca="1">IF(OR((CR$67&gt;=$AW$11:$AW$74)*(CR$48&lt;=$AX$11:$AX$74)&gt;0),$B75,"")</f>
        <v/>
      </c>
      <c r="CS75" s="84" t="str">
        <f t="array" aca="1" ref="CS75" ca="1">IF(OR((CS$67&gt;=$AW$11:$AW$74)*(CS$48&lt;=$AX$11:$AX$74)&gt;0),$B75,"")</f>
        <v/>
      </c>
      <c r="CT75" s="84" t="str">
        <f t="array" aca="1" ref="CT75" ca="1">IF(OR((CT$67&gt;=$AW$11:$AW$74)*(CT$48&lt;=$AX$11:$AX$74)&gt;0),$B75,"")</f>
        <v/>
      </c>
      <c r="CU75" s="84" t="str">
        <f t="array" aca="1" ref="CU75" ca="1">IF(OR((CU$67&gt;=$AW$11:$AW$74)*(CU$48&lt;=$AX$11:$AX$74)&gt;0),$B75,"")</f>
        <v/>
      </c>
      <c r="CV75" s="84" t="str">
        <f t="array" aca="1" ref="CV75" ca="1">IF(OR((CV$67&gt;=$AW$11:$AW$74)*(CV$48&lt;=$AX$11:$AX$74)&gt;0),$B75,"")</f>
        <v/>
      </c>
      <c r="CW75" s="84" t="str">
        <f t="array" aca="1" ref="CW75" ca="1">IF(OR((CW$67&gt;=$AW$11:$AW$74)*(CW$48&lt;=$AX$11:$AX$74)&gt;0),$B75,"")</f>
        <v/>
      </c>
      <c r="CX75" s="84" t="str">
        <f t="array" aca="1" ref="CX75" ca="1">IF(OR((CX$67&gt;=$AW$11:$AW$74)*(CX$48&lt;=$AX$11:$AX$74)&gt;0),$B75,"")</f>
        <v/>
      </c>
      <c r="CY75" s="84" t="str">
        <f t="array" aca="1" ref="CY75" ca="1">IF(OR((CY$67&gt;=$AW$11:$AW$74)*(CY$48&lt;=$AX$11:$AX$74)&gt;0),$B75,"")</f>
        <v/>
      </c>
      <c r="CZ75" s="84" t="str">
        <f t="array" aca="1" ref="CZ75" ca="1">IF(OR((CZ$67&gt;=$AW$11:$AW$74)*(CZ$48&lt;=$AX$11:$AX$74)&gt;0),$B75,"")</f>
        <v/>
      </c>
      <c r="DA75" s="84" t="str">
        <f t="array" aca="1" ref="DA75" ca="1">IF(OR((DA$67&gt;=$AW$11:$AW$74)*(DA$48&lt;=$AX$11:$AX$74)&gt;0),$B75,"")</f>
        <v/>
      </c>
      <c r="DB75" s="84" t="str">
        <f t="array" aca="1" ref="DB75" ca="1">IF(OR((DB$67&gt;=$AW$11:$AW$74)*(DB$48&lt;=$AX$11:$AX$74)&gt;0),$B75,"")</f>
        <v/>
      </c>
      <c r="DC75" s="84" t="str">
        <f t="array" aca="1" ref="DC75" ca="1">IF(OR((DC$67&gt;=$AW$11:$AW$74)*(DC$48&lt;=$AX$11:$AX$74)&gt;0),$B75,"")</f>
        <v/>
      </c>
    </row>
    <row r="76" spans="1:107">
      <c r="A76" s="80" t="s">
        <v>180</v>
      </c>
      <c r="B76" s="128">
        <v>3</v>
      </c>
      <c r="C76" s="84" t="str">
        <f t="array" aca="1" ref="C76" ca="1">IF(OR((C$67&gt;=$AW$11:$AW$74)*(C$48&lt;=$AX$11:$AX$74)&gt;0),$B76,"")</f>
        <v/>
      </c>
      <c r="D76" s="84" t="str">
        <f t="array" aca="1" ref="D76" ca="1">IF(OR((D$67&gt;=$AW$11:$AW$74)*(D$48&lt;=$AX$11:$AX$74)&gt;0),$B76,"")</f>
        <v/>
      </c>
      <c r="E76" s="84" t="str">
        <f t="array" aca="1" ref="E76" ca="1">IF(OR((E$67&gt;=$AW$11:$AW$74)*(E$48&lt;=$AX$11:$AX$74)&gt;0),$B76,"")</f>
        <v/>
      </c>
      <c r="F76" s="84" t="str">
        <f t="array" aca="1" ref="F76" ca="1">IF(OR((F$67&gt;=$AW$11:$AW$74)*(F$48&lt;=$AX$11:$AX$74)&gt;0),$B76,"")</f>
        <v/>
      </c>
      <c r="G76" s="84" t="str">
        <f t="array" aca="1" ref="G76" ca="1">IF(OR((G$67&gt;=$AW$11:$AW$74)*(G$48&lt;=$AX$11:$AX$74)&gt;0),$B76,"")</f>
        <v/>
      </c>
      <c r="H76" s="84" t="str">
        <f t="array" aca="1" ref="H76" ca="1">IF(OR((H$67&gt;=$AW$11:$AW$74)*(H$48&lt;=$AX$11:$AX$74)&gt;0),$B76,"")</f>
        <v/>
      </c>
      <c r="I76" s="84" t="str">
        <f t="array" aca="1" ref="I76" ca="1">IF(OR((I$67&gt;=$AW$11:$AW$74)*(I$48&lt;=$AX$11:$AX$74)&gt;0),$B76,"")</f>
        <v/>
      </c>
      <c r="J76" s="84" t="str">
        <f t="array" aca="1" ref="J76" ca="1">IF(OR((J$67&gt;=$AW$11:$AW$74)*(J$48&lt;=$AX$11:$AX$74)&gt;0),$B76,"")</f>
        <v/>
      </c>
      <c r="K76" s="84" t="str">
        <f t="array" aca="1" ref="K76" ca="1">IF(OR((K$67&gt;=$AW$11:$AW$74)*(K$48&lt;=$AX$11:$AX$74)&gt;0),$B76,"")</f>
        <v/>
      </c>
      <c r="L76" s="84" t="str">
        <f t="array" aca="1" ref="L76" ca="1">IF(OR((L$67&gt;=$AW$11:$AW$74)*(L$48&lt;=$AX$11:$AX$74)&gt;0),$B76,"")</f>
        <v/>
      </c>
      <c r="M76" s="84" t="str">
        <f t="array" aca="1" ref="M76" ca="1">IF(OR((M$67&gt;=$AW$11:$AW$74)*(M$48&lt;=$AX$11:$AX$74)&gt;0),$B76,"")</f>
        <v/>
      </c>
      <c r="N76" s="84" t="str">
        <f t="array" aca="1" ref="N76" ca="1">IF(OR((N$67&gt;=$AW$11:$AW$74)*(N$48&lt;=$AX$11:$AX$74)&gt;0),$B76,"")</f>
        <v/>
      </c>
      <c r="O76" s="84" t="str">
        <f t="array" aca="1" ref="O76" ca="1">IF(OR((O$67&gt;=$AW$11:$AW$74)*(O$48&lt;=$AX$11:$AX$74)&gt;0),$B76,"")</f>
        <v/>
      </c>
      <c r="P76" s="84" t="str">
        <f t="array" aca="1" ref="P76" ca="1">IF(OR((P$67&gt;=$AW$11:$AW$74)*(P$48&lt;=$AX$11:$AX$74)&gt;0),$B76,"")</f>
        <v/>
      </c>
      <c r="Q76" s="84" t="str">
        <f t="array" aca="1" ref="Q76" ca="1">IF(OR((Q$67&gt;=$AW$11:$AW$74)*(Q$48&lt;=$AX$11:$AX$74)&gt;0),$B76,"")</f>
        <v/>
      </c>
      <c r="R76" s="84" t="str">
        <f t="array" aca="1" ref="R76" ca="1">IF(OR((R$67&gt;=$AW$11:$AW$74)*(R$48&lt;=$AX$11:$AX$74)&gt;0),$B76,"")</f>
        <v/>
      </c>
      <c r="S76" s="84" t="str">
        <f t="array" aca="1" ref="S76" ca="1">IF(OR((S$67&gt;=$AW$11:$AW$74)*(S$48&lt;=$AX$11:$AX$74)&gt;0),$B76,"")</f>
        <v/>
      </c>
      <c r="T76" s="84" t="str">
        <f t="array" aca="1" ref="T76" ca="1">IF(OR((T$67&gt;=$AW$11:$AW$74)*(T$48&lt;=$AX$11:$AX$74)&gt;0),$B76,"")</f>
        <v/>
      </c>
      <c r="U76" s="84" t="str">
        <f t="array" aca="1" ref="U76" ca="1">IF(OR((U$67&gt;=$AW$11:$AW$74)*(U$48&lt;=$AX$11:$AX$74)&gt;0),$B76,"")</f>
        <v/>
      </c>
      <c r="V76" s="84" t="str">
        <f t="array" aca="1" ref="V76" ca="1">IF(OR((V$67&gt;=$AW$11:$AW$74)*(V$48&lt;=$AX$11:$AX$74)&gt;0),$B76,"")</f>
        <v/>
      </c>
      <c r="W76" s="84" t="str">
        <f t="array" aca="1" ref="W76" ca="1">IF(OR((W$67&gt;=$AW$11:$AW$74)*(W$48&lt;=$AX$11:$AX$74)&gt;0),$B76,"")</f>
        <v/>
      </c>
      <c r="X76" s="84" t="str">
        <f t="array" aca="1" ref="X76" ca="1">IF(OR((X$67&gt;=$AW$11:$AW$74)*(X$48&lt;=$AX$11:$AX$74)&gt;0),$B76,"")</f>
        <v/>
      </c>
      <c r="Y76" s="84" t="str">
        <f t="array" aca="1" ref="Y76" ca="1">IF(OR((Y$67&gt;=$AW$11:$AW$74)*(Y$48&lt;=$AX$11:$AX$74)&gt;0),$B76,"")</f>
        <v/>
      </c>
      <c r="Z76" s="84" t="str">
        <f t="array" aca="1" ref="Z76" ca="1">IF(OR((Z$67&gt;=$AW$11:$AW$74)*(Z$48&lt;=$AX$11:$AX$74)&gt;0),$B76,"")</f>
        <v/>
      </c>
      <c r="AA76" s="84" t="str">
        <f t="array" aca="1" ref="AA76" ca="1">IF(OR((AA$67&gt;=$AW$11:$AW$74)*(AA$48&lt;=$AX$11:$AX$74)&gt;0),$B76,"")</f>
        <v/>
      </c>
      <c r="AB76" s="84" t="str">
        <f t="array" aca="1" ref="AB76" ca="1">IF(OR((AB$67&gt;=$AW$11:$AW$74)*(AB$48&lt;=$AX$11:$AX$74)&gt;0),$B76,"")</f>
        <v/>
      </c>
      <c r="AC76" s="84" t="str">
        <f t="array" aca="1" ref="AC76" ca="1">IF(OR((AC$67&gt;=$AW$11:$AW$74)*(AC$48&lt;=$AX$11:$AX$74)&gt;0),$B76,"")</f>
        <v/>
      </c>
      <c r="AD76" s="84" t="str">
        <f t="array" aca="1" ref="AD76" ca="1">IF(OR((AD$67&gt;=$AW$11:$AW$74)*(AD$48&lt;=$AX$11:$AX$74)&gt;0),$B76,"")</f>
        <v/>
      </c>
      <c r="AE76" s="84" t="str">
        <f t="array" aca="1" ref="AE76" ca="1">IF(OR((AE$67&gt;=$AW$11:$AW$74)*(AE$48&lt;=$AX$11:$AX$74)&gt;0),$B76,"")</f>
        <v/>
      </c>
      <c r="AF76" s="84" t="str">
        <f t="array" aca="1" ref="AF76" ca="1">IF(OR((AF$67&gt;=$AW$11:$AW$74)*(AF$48&lt;=$AX$11:$AX$74)&gt;0),$B76,"")</f>
        <v/>
      </c>
      <c r="AG76" s="84" t="str">
        <f t="array" aca="1" ref="AG76" ca="1">IF(OR((AG$67&gt;=$AW$11:$AW$74)*(AG$48&lt;=$AX$11:$AX$74)&gt;0),$B76,"")</f>
        <v/>
      </c>
      <c r="AH76" s="84" t="str">
        <f t="array" aca="1" ref="AH76" ca="1">IF(OR((AH$67&gt;=$AW$11:$AW$74)*(AH$48&lt;=$AX$11:$AX$74)&gt;0),$B76,"")</f>
        <v/>
      </c>
      <c r="AI76" s="84" t="str">
        <f t="array" aca="1" ref="AI76" ca="1">IF(OR((AI$67&gt;=$AW$11:$AW$74)*(AI$48&lt;=$AX$11:$AX$74)&gt;0),$B76,"")</f>
        <v/>
      </c>
      <c r="AK76" s="80" t="s">
        <v>180</v>
      </c>
      <c r="AL76" s="134">
        <v>3</v>
      </c>
      <c r="AM76" s="84" t="str">
        <f t="array" aca="1" ref="AM76" ca="1">IF(OR((AM$67&gt;=$AW$11:$AW$74)*(AM$48&lt;=$AX$11:$AX$74)&gt;0),$B76,"")</f>
        <v/>
      </c>
      <c r="AN76" s="84" t="str">
        <f t="array" aca="1" ref="AN76" ca="1">IF(OR((AN$67&gt;=$AW$11:$AW$74)*(AN$48&lt;=$AX$11:$AX$74)&gt;0),$B76,"")</f>
        <v/>
      </c>
      <c r="AO76" s="84" t="str">
        <f t="array" aca="1" ref="AO76" ca="1">IF(OR((AO$67&gt;=$AW$11:$AW$74)*(AO$48&lt;=$AX$11:$AX$74)&gt;0),$B76,"")</f>
        <v/>
      </c>
      <c r="AP76" s="84" t="str">
        <f t="array" aca="1" ref="AP76" ca="1">IF(OR((AP$67&gt;=$AW$11:$AW$74)*(AP$48&lt;=$AX$11:$AX$74)&gt;0),$B76,"")</f>
        <v/>
      </c>
      <c r="AQ76" s="84" t="str">
        <f t="array" aca="1" ref="AQ76" ca="1">IF(OR((AQ$67&gt;=$AW$11:$AW$74)*(AQ$48&lt;=$AX$11:$AX$74)&gt;0),$B76,"")</f>
        <v/>
      </c>
      <c r="AR76" s="84" t="str">
        <f t="array" aca="1" ref="AR76" ca="1">IF(OR((AR$67&gt;=$AW$11:$AW$74)*(AR$48&lt;=$AX$11:$AX$74)&gt;0),$B76,"")</f>
        <v/>
      </c>
      <c r="AS76" s="84" t="str">
        <f t="array" aca="1" ref="AS76" ca="1">IF(OR((AS$67&gt;=$AW$11:$AW$74)*(AS$48&lt;=$AX$11:$AX$74)&gt;0),$B76,"")</f>
        <v/>
      </c>
      <c r="AT76" s="84" t="str">
        <f t="array" aca="1" ref="AT76" ca="1">IF(OR((AT$67&gt;=$AW$11:$AW$74)*(AT$48&lt;=$AX$11:$AX$74)&gt;0),$B76,"")</f>
        <v/>
      </c>
      <c r="AU76" s="84" t="str">
        <f t="array" aca="1" ref="AU76" ca="1">IF(OR((AU$67&gt;=$AW$11:$AW$74)*(AU$48&lt;=$AX$11:$AX$74)&gt;0),$B76,"")</f>
        <v/>
      </c>
      <c r="AV76" s="84" t="str">
        <f t="array" aca="1" ref="AV76" ca="1">IF(OR((AV$67&gt;=$AW$11:$AW$74)*(AV$48&lt;=$AX$11:$AX$74)&gt;0),$B76,"")</f>
        <v/>
      </c>
      <c r="AW76" s="84" t="str">
        <f t="array" aca="1" ref="AW76" ca="1">IF(OR((AW$67&gt;=$AW$11:$AW$74)*(AW$48&lt;=$AX$11:$AX$74)&gt;0),$B76,"")</f>
        <v/>
      </c>
      <c r="AX76" s="84" t="str">
        <f t="array" aca="1" ref="AX76" ca="1">IF(OR((AX$67&gt;=$AW$11:$AW$74)*(AX$48&lt;=$AX$11:$AX$74)&gt;0),$B76,"")</f>
        <v/>
      </c>
      <c r="AY76" s="84" t="str">
        <f t="array" aca="1" ref="AY76" ca="1">IF(OR((AY$67&gt;=$AW$11:$AW$74)*(AY$48&lt;=$AX$11:$AX$74)&gt;0),$B76,"")</f>
        <v/>
      </c>
      <c r="AZ76" s="84" t="str">
        <f t="array" aca="1" ref="AZ76" ca="1">IF(OR((AZ$67&gt;=$AW$11:$AW$74)*(AZ$48&lt;=$AX$11:$AX$74)&gt;0),$B76,"")</f>
        <v/>
      </c>
      <c r="BA76" s="84" t="str">
        <f t="array" aca="1" ref="BA76" ca="1">IF(OR((BA$67&gt;=$AW$11:$AW$74)*(BA$48&lt;=$AX$11:$AX$74)&gt;0),$B76,"")</f>
        <v/>
      </c>
      <c r="BB76" s="84" t="str">
        <f t="array" aca="1" ref="BB76" ca="1">IF(OR((BB$67&gt;=$AW$11:$AW$74)*(BB$48&lt;=$AX$11:$AX$74)&gt;0),$B76,"")</f>
        <v/>
      </c>
      <c r="BC76" s="84" t="str">
        <f t="array" aca="1" ref="BC76" ca="1">IF(OR((BC$67&gt;=$AW$11:$AW$74)*(BC$48&lt;=$AX$11:$AX$74)&gt;0),$B76,"")</f>
        <v/>
      </c>
      <c r="BD76" s="84" t="str">
        <f t="array" aca="1" ref="BD76" ca="1">IF(OR((BD$67&gt;=$AW$11:$AW$74)*(BD$48&lt;=$AX$11:$AX$74)&gt;0),$B76,"")</f>
        <v/>
      </c>
      <c r="BE76" s="84" t="str">
        <f t="array" aca="1" ref="BE76" ca="1">IF(OR((BE$67&gt;=$AW$11:$AW$74)*(BE$48&lt;=$AX$11:$AX$74)&gt;0),$B76,"")</f>
        <v/>
      </c>
      <c r="BF76" s="84" t="str">
        <f t="array" aca="1" ref="BF76" ca="1">IF(OR((BF$67&gt;=$AW$11:$AW$74)*(BF$48&lt;=$AX$11:$AX$74)&gt;0),$B76,"")</f>
        <v/>
      </c>
      <c r="BG76" s="84" t="str">
        <f t="array" aca="1" ref="BG76" ca="1">IF(OR((BG$67&gt;=$AW$11:$AW$74)*(BG$48&lt;=$AX$11:$AX$74)&gt;0),$B76,"")</f>
        <v/>
      </c>
      <c r="BH76" s="84" t="str">
        <f t="array" aca="1" ref="BH76" ca="1">IF(OR((BH$67&gt;=$AW$11:$AW$74)*(BH$48&lt;=$AX$11:$AX$74)&gt;0),$B76,"")</f>
        <v/>
      </c>
      <c r="BI76" s="84" t="str">
        <f t="array" aca="1" ref="BI76" ca="1">IF(OR((BI$67&gt;=$AW$11:$AW$74)*(BI$48&lt;=$AX$11:$AX$74)&gt;0),$B76,"")</f>
        <v/>
      </c>
      <c r="BJ76" s="84" t="str">
        <f t="array" aca="1" ref="BJ76" ca="1">IF(OR((BJ$67&gt;=$AW$11:$AW$74)*(BJ$48&lt;=$AX$11:$AX$74)&gt;0),$B76,"")</f>
        <v/>
      </c>
      <c r="BK76" s="84" t="str">
        <f t="array" aca="1" ref="BK76" ca="1">IF(OR((BK$67&gt;=$AW$11:$AW$74)*(BK$48&lt;=$AX$11:$AX$74)&gt;0),$B76,"")</f>
        <v/>
      </c>
      <c r="BL76" s="84" t="str">
        <f t="array" aca="1" ref="BL76" ca="1">IF(OR((BL$67&gt;=$AW$11:$AW$74)*(BL$48&lt;=$AX$11:$AX$74)&gt;0),$B76,"")</f>
        <v/>
      </c>
      <c r="BM76" s="84" t="str">
        <f t="array" aca="1" ref="BM76" ca="1">IF(OR((BM$67&gt;=$AW$11:$AW$74)*(BM$48&lt;=$AX$11:$AX$74)&gt;0),$B76,"")</f>
        <v/>
      </c>
      <c r="BN76" s="84" t="str">
        <f t="array" aca="1" ref="BN76" ca="1">IF(OR((BN$67&gt;=$AW$11:$AW$74)*(BN$48&lt;=$AX$11:$AX$74)&gt;0),$B76,"")</f>
        <v/>
      </c>
      <c r="BO76" s="84" t="str">
        <f t="array" aca="1" ref="BO76" ca="1">IF(OR((BO$67&gt;=$AW$11:$AW$74)*(BO$48&lt;=$AX$11:$AX$74)&gt;0),$B76,"")</f>
        <v/>
      </c>
      <c r="BP76" s="84" t="str">
        <f t="array" aca="1" ref="BP76" ca="1">IF(OR((BP$67&gt;=$AW$11:$AW$74)*(BP$48&lt;=$AX$11:$AX$74)&gt;0),$B76,"")</f>
        <v/>
      </c>
      <c r="BQ76" s="84" t="str">
        <f t="array" aca="1" ref="BQ76" ca="1">IF(OR((BQ$67&gt;=$AW$11:$AW$74)*(BQ$48&lt;=$AX$11:$AX$74)&gt;0),$B76,"")</f>
        <v/>
      </c>
      <c r="BR76" s="84" t="str">
        <f t="array" aca="1" ref="BR76" ca="1">IF(OR((BR$67&gt;=$AW$11:$AW$74)*(BR$48&lt;=$AX$11:$AX$74)&gt;0),$B76,"")</f>
        <v/>
      </c>
      <c r="BS76" s="84" t="str">
        <f t="array" aca="1" ref="BS76" ca="1">IF(OR((BS$67&gt;=$AW$11:$AW$74)*(BS$48&lt;=$AX$11:$AX$74)&gt;0),$B76,"")</f>
        <v/>
      </c>
      <c r="BU76" s="80" t="s">
        <v>180</v>
      </c>
      <c r="BV76" s="134">
        <v>3</v>
      </c>
      <c r="BW76" s="84" t="str">
        <f t="array" aca="1" ref="BW76" ca="1">IF(OR((BW$67&gt;=$AW$11:$AW$74)*(BW$48&lt;=$AX$11:$AX$74)&gt;0),$B76,"")</f>
        <v/>
      </c>
      <c r="BX76" s="84" t="str">
        <f t="array" aca="1" ref="BX76" ca="1">IF(OR((BX$67&gt;=$AW$11:$AW$74)*(BX$48&lt;=$AX$11:$AX$74)&gt;0),$B76,"")</f>
        <v/>
      </c>
      <c r="BY76" s="84" t="str">
        <f t="array" aca="1" ref="BY76" ca="1">IF(OR((BY$67&gt;=$AW$11:$AW$74)*(BY$48&lt;=$AX$11:$AX$74)&gt;0),$B76,"")</f>
        <v/>
      </c>
      <c r="BZ76" s="84" t="str">
        <f t="array" aca="1" ref="BZ76" ca="1">IF(OR((BZ$67&gt;=$AW$11:$AW$74)*(BZ$48&lt;=$AX$11:$AX$74)&gt;0),$B76,"")</f>
        <v/>
      </c>
      <c r="CA76" s="84" t="str">
        <f t="array" aca="1" ref="CA76" ca="1">IF(OR((CA$67&gt;=$AW$11:$AW$74)*(CA$48&lt;=$AX$11:$AX$74)&gt;0),$B76,"")</f>
        <v/>
      </c>
      <c r="CB76" s="84" t="str">
        <f t="array" aca="1" ref="CB76" ca="1">IF(OR((CB$67&gt;=$AW$11:$AW$74)*(CB$48&lt;=$AX$11:$AX$74)&gt;0),$B76,"")</f>
        <v/>
      </c>
      <c r="CC76" s="84" t="str">
        <f t="array" aca="1" ref="CC76" ca="1">IF(OR((CC$67&gt;=$AW$11:$AW$74)*(CC$48&lt;=$AX$11:$AX$74)&gt;0),$B76,"")</f>
        <v/>
      </c>
      <c r="CD76" s="84" t="str">
        <f t="array" aca="1" ref="CD76" ca="1">IF(OR((CD$67&gt;=$AW$11:$AW$74)*(CD$48&lt;=$AX$11:$AX$74)&gt;0),$B76,"")</f>
        <v/>
      </c>
      <c r="CE76" s="84" t="str">
        <f t="array" aca="1" ref="CE76" ca="1">IF(OR((CE$67&gt;=$AW$11:$AW$74)*(CE$48&lt;=$AX$11:$AX$74)&gt;0),$B76,"")</f>
        <v/>
      </c>
      <c r="CF76" s="84" t="str">
        <f t="array" aca="1" ref="CF76" ca="1">IF(OR((CF$67&gt;=$AW$11:$AW$74)*(CF$48&lt;=$AX$11:$AX$74)&gt;0),$B76,"")</f>
        <v/>
      </c>
      <c r="CG76" s="84" t="str">
        <f t="array" aca="1" ref="CG76" ca="1">IF(OR((CG$67&gt;=$AW$11:$AW$74)*(CG$48&lt;=$AX$11:$AX$74)&gt;0),$B76,"")</f>
        <v/>
      </c>
      <c r="CH76" s="84" t="str">
        <f t="array" aca="1" ref="CH76" ca="1">IF(OR((CH$67&gt;=$AW$11:$AW$74)*(CH$48&lt;=$AX$11:$AX$74)&gt;0),$B76,"")</f>
        <v/>
      </c>
      <c r="CI76" s="84" t="str">
        <f t="array" aca="1" ref="CI76" ca="1">IF(OR((CI$67&gt;=$AW$11:$AW$74)*(CI$48&lt;=$AX$11:$AX$74)&gt;0),$B76,"")</f>
        <v/>
      </c>
      <c r="CJ76" s="84" t="str">
        <f t="array" aca="1" ref="CJ76" ca="1">IF(OR((CJ$67&gt;=$AW$11:$AW$74)*(CJ$48&lt;=$AX$11:$AX$74)&gt;0),$B76,"")</f>
        <v/>
      </c>
      <c r="CK76" s="84" t="str">
        <f t="array" aca="1" ref="CK76" ca="1">IF(OR((CK$67&gt;=$AW$11:$AW$74)*(CK$48&lt;=$AX$11:$AX$74)&gt;0),$B76,"")</f>
        <v/>
      </c>
      <c r="CL76" s="84" t="str">
        <f t="array" aca="1" ref="CL76" ca="1">IF(OR((CL$67&gt;=$AW$11:$AW$74)*(CL$48&lt;=$AX$11:$AX$74)&gt;0),$B76,"")</f>
        <v/>
      </c>
      <c r="CM76" s="84" t="str">
        <f t="array" aca="1" ref="CM76" ca="1">IF(OR((CM$67&gt;=$AW$11:$AW$74)*(CM$48&lt;=$AX$11:$AX$74)&gt;0),$B76,"")</f>
        <v/>
      </c>
      <c r="CN76" s="84" t="str">
        <f t="array" aca="1" ref="CN76" ca="1">IF(OR((CN$67&gt;=$AW$11:$AW$74)*(CN$48&lt;=$AX$11:$AX$74)&gt;0),$B76,"")</f>
        <v/>
      </c>
      <c r="CO76" s="84" t="str">
        <f t="array" aca="1" ref="CO76" ca="1">IF(OR((CO$67&gt;=$AW$11:$AW$74)*(CO$48&lt;=$AX$11:$AX$74)&gt;0),$B76,"")</f>
        <v/>
      </c>
      <c r="CP76" s="84" t="str">
        <f t="array" aca="1" ref="CP76" ca="1">IF(OR((CP$67&gt;=$AW$11:$AW$74)*(CP$48&lt;=$AX$11:$AX$74)&gt;0),$B76,"")</f>
        <v/>
      </c>
      <c r="CQ76" s="84" t="str">
        <f t="array" aca="1" ref="CQ76" ca="1">IF(OR((CQ$67&gt;=$AW$11:$AW$74)*(CQ$48&lt;=$AX$11:$AX$74)&gt;0),$B76,"")</f>
        <v/>
      </c>
      <c r="CR76" s="84" t="str">
        <f t="array" aca="1" ref="CR76" ca="1">IF(OR((CR$67&gt;=$AW$11:$AW$74)*(CR$48&lt;=$AX$11:$AX$74)&gt;0),$B76,"")</f>
        <v/>
      </c>
      <c r="CS76" s="84" t="str">
        <f t="array" aca="1" ref="CS76" ca="1">IF(OR((CS$67&gt;=$AW$11:$AW$74)*(CS$48&lt;=$AX$11:$AX$74)&gt;0),$B76,"")</f>
        <v/>
      </c>
      <c r="CT76" s="84" t="str">
        <f t="array" aca="1" ref="CT76" ca="1">IF(OR((CT$67&gt;=$AW$11:$AW$74)*(CT$48&lt;=$AX$11:$AX$74)&gt;0),$B76,"")</f>
        <v/>
      </c>
      <c r="CU76" s="84" t="str">
        <f t="array" aca="1" ref="CU76" ca="1">IF(OR((CU$67&gt;=$AW$11:$AW$74)*(CU$48&lt;=$AX$11:$AX$74)&gt;0),$B76,"")</f>
        <v/>
      </c>
      <c r="CV76" s="84" t="str">
        <f t="array" aca="1" ref="CV76" ca="1">IF(OR((CV$67&gt;=$AW$11:$AW$74)*(CV$48&lt;=$AX$11:$AX$74)&gt;0),$B76,"")</f>
        <v/>
      </c>
      <c r="CW76" s="84" t="str">
        <f t="array" aca="1" ref="CW76" ca="1">IF(OR((CW$67&gt;=$AW$11:$AW$74)*(CW$48&lt;=$AX$11:$AX$74)&gt;0),$B76,"")</f>
        <v/>
      </c>
      <c r="CX76" s="84" t="str">
        <f t="array" aca="1" ref="CX76" ca="1">IF(OR((CX$67&gt;=$AW$11:$AW$74)*(CX$48&lt;=$AX$11:$AX$74)&gt;0),$B76,"")</f>
        <v/>
      </c>
      <c r="CY76" s="84" t="str">
        <f t="array" aca="1" ref="CY76" ca="1">IF(OR((CY$67&gt;=$AW$11:$AW$74)*(CY$48&lt;=$AX$11:$AX$74)&gt;0),$B76,"")</f>
        <v/>
      </c>
      <c r="CZ76" s="84" t="str">
        <f t="array" aca="1" ref="CZ76" ca="1">IF(OR((CZ$67&gt;=$AW$11:$AW$74)*(CZ$48&lt;=$AX$11:$AX$74)&gt;0),$B76,"")</f>
        <v/>
      </c>
      <c r="DA76" s="84" t="str">
        <f t="array" aca="1" ref="DA76" ca="1">IF(OR((DA$67&gt;=$AW$11:$AW$74)*(DA$48&lt;=$AX$11:$AX$74)&gt;0),$B76,"")</f>
        <v/>
      </c>
      <c r="DB76" s="84" t="str">
        <f t="array" aca="1" ref="DB76" ca="1">IF(OR((DB$67&gt;=$AW$11:$AW$74)*(DB$48&lt;=$AX$11:$AX$74)&gt;0),$B76,"")</f>
        <v/>
      </c>
      <c r="DC76" s="84" t="str">
        <f t="array" aca="1" ref="DC76" ca="1">IF(OR((DC$67&gt;=$AW$11:$AW$74)*(DC$48&lt;=$AX$11:$AX$74)&gt;0),$B76,"")</f>
        <v/>
      </c>
    </row>
    <row r="77" spans="1:107">
      <c r="A77" s="80" t="s">
        <v>181</v>
      </c>
      <c r="B77" s="128">
        <v>3</v>
      </c>
      <c r="C77" s="84" t="str">
        <f t="array" aca="1" ref="C77" ca="1">IF(OR((C$67&gt;=$AW$11:$AW$74)*(C$48&lt;=$AX$11:$AX$74)&gt;0),$B77,"")</f>
        <v/>
      </c>
      <c r="D77" s="84" t="str">
        <f t="array" aca="1" ref="D77" ca="1">IF(OR((D$67&gt;=$AW$11:$AW$74)*(D$48&lt;=$AX$11:$AX$74)&gt;0),$B77,"")</f>
        <v/>
      </c>
      <c r="E77" s="84" t="str">
        <f t="array" aca="1" ref="E77" ca="1">IF(OR((E$67&gt;=$AW$11:$AW$74)*(E$48&lt;=$AX$11:$AX$74)&gt;0),$B77,"")</f>
        <v/>
      </c>
      <c r="F77" s="84" t="str">
        <f t="array" aca="1" ref="F77" ca="1">IF(OR((F$67&gt;=$AW$11:$AW$74)*(F$48&lt;=$AX$11:$AX$74)&gt;0),$B77,"")</f>
        <v/>
      </c>
      <c r="G77" s="84" t="str">
        <f t="array" aca="1" ref="G77" ca="1">IF(OR((G$67&gt;=$AW$11:$AW$74)*(G$48&lt;=$AX$11:$AX$74)&gt;0),$B77,"")</f>
        <v/>
      </c>
      <c r="H77" s="84" t="str">
        <f t="array" aca="1" ref="H77" ca="1">IF(OR((H$67&gt;=$AW$11:$AW$74)*(H$48&lt;=$AX$11:$AX$74)&gt;0),$B77,"")</f>
        <v/>
      </c>
      <c r="I77" s="84" t="str">
        <f t="array" aca="1" ref="I77" ca="1">IF(OR((I$67&gt;=$AW$11:$AW$74)*(I$48&lt;=$AX$11:$AX$74)&gt;0),$B77,"")</f>
        <v/>
      </c>
      <c r="J77" s="84" t="str">
        <f t="array" aca="1" ref="J77" ca="1">IF(OR((J$67&gt;=$AW$11:$AW$74)*(J$48&lt;=$AX$11:$AX$74)&gt;0),$B77,"")</f>
        <v/>
      </c>
      <c r="K77" s="84" t="str">
        <f t="array" aca="1" ref="K77" ca="1">IF(OR((K$67&gt;=$AW$11:$AW$74)*(K$48&lt;=$AX$11:$AX$74)&gt;0),$B77,"")</f>
        <v/>
      </c>
      <c r="L77" s="84" t="str">
        <f t="array" aca="1" ref="L77" ca="1">IF(OR((L$67&gt;=$AW$11:$AW$74)*(L$48&lt;=$AX$11:$AX$74)&gt;0),$B77,"")</f>
        <v/>
      </c>
      <c r="M77" s="84" t="str">
        <f t="array" aca="1" ref="M77" ca="1">IF(OR((M$67&gt;=$AW$11:$AW$74)*(M$48&lt;=$AX$11:$AX$74)&gt;0),$B77,"")</f>
        <v/>
      </c>
      <c r="N77" s="84" t="str">
        <f t="array" aca="1" ref="N77" ca="1">IF(OR((N$67&gt;=$AW$11:$AW$74)*(N$48&lt;=$AX$11:$AX$74)&gt;0),$B77,"")</f>
        <v/>
      </c>
      <c r="O77" s="84" t="str">
        <f t="array" aca="1" ref="O77" ca="1">IF(OR((O$67&gt;=$AW$11:$AW$74)*(O$48&lt;=$AX$11:$AX$74)&gt;0),$B77,"")</f>
        <v/>
      </c>
      <c r="P77" s="84" t="str">
        <f t="array" aca="1" ref="P77" ca="1">IF(OR((P$67&gt;=$AW$11:$AW$74)*(P$48&lt;=$AX$11:$AX$74)&gt;0),$B77,"")</f>
        <v/>
      </c>
      <c r="Q77" s="84" t="str">
        <f t="array" aca="1" ref="Q77" ca="1">IF(OR((Q$67&gt;=$AW$11:$AW$74)*(Q$48&lt;=$AX$11:$AX$74)&gt;0),$B77,"")</f>
        <v/>
      </c>
      <c r="R77" s="84" t="str">
        <f t="array" aca="1" ref="R77" ca="1">IF(OR((R$67&gt;=$AW$11:$AW$74)*(R$48&lt;=$AX$11:$AX$74)&gt;0),$B77,"")</f>
        <v/>
      </c>
      <c r="S77" s="84" t="str">
        <f t="array" aca="1" ref="S77" ca="1">IF(OR((S$67&gt;=$AW$11:$AW$74)*(S$48&lt;=$AX$11:$AX$74)&gt;0),$B77,"")</f>
        <v/>
      </c>
      <c r="T77" s="84" t="str">
        <f t="array" aca="1" ref="T77" ca="1">IF(OR((T$67&gt;=$AW$11:$AW$74)*(T$48&lt;=$AX$11:$AX$74)&gt;0),$B77,"")</f>
        <v/>
      </c>
      <c r="U77" s="84" t="str">
        <f t="array" aca="1" ref="U77" ca="1">IF(OR((U$67&gt;=$AW$11:$AW$74)*(U$48&lt;=$AX$11:$AX$74)&gt;0),$B77,"")</f>
        <v/>
      </c>
      <c r="V77" s="84" t="str">
        <f t="array" aca="1" ref="V77" ca="1">IF(OR((V$67&gt;=$AW$11:$AW$74)*(V$48&lt;=$AX$11:$AX$74)&gt;0),$B77,"")</f>
        <v/>
      </c>
      <c r="W77" s="84" t="str">
        <f t="array" aca="1" ref="W77" ca="1">IF(OR((W$67&gt;=$AW$11:$AW$74)*(W$48&lt;=$AX$11:$AX$74)&gt;0),$B77,"")</f>
        <v/>
      </c>
      <c r="X77" s="84" t="str">
        <f t="array" aca="1" ref="X77" ca="1">IF(OR((X$67&gt;=$AW$11:$AW$74)*(X$48&lt;=$AX$11:$AX$74)&gt;0),$B77,"")</f>
        <v/>
      </c>
      <c r="Y77" s="84" t="str">
        <f t="array" aca="1" ref="Y77" ca="1">IF(OR((Y$67&gt;=$AW$11:$AW$74)*(Y$48&lt;=$AX$11:$AX$74)&gt;0),$B77,"")</f>
        <v/>
      </c>
      <c r="Z77" s="84" t="str">
        <f t="array" aca="1" ref="Z77" ca="1">IF(OR((Z$67&gt;=$AW$11:$AW$74)*(Z$48&lt;=$AX$11:$AX$74)&gt;0),$B77,"")</f>
        <v/>
      </c>
      <c r="AA77" s="84" t="str">
        <f t="array" aca="1" ref="AA77" ca="1">IF(OR((AA$67&gt;=$AW$11:$AW$74)*(AA$48&lt;=$AX$11:$AX$74)&gt;0),$B77,"")</f>
        <v/>
      </c>
      <c r="AB77" s="84" t="str">
        <f t="array" aca="1" ref="AB77" ca="1">IF(OR((AB$67&gt;=$AW$11:$AW$74)*(AB$48&lt;=$AX$11:$AX$74)&gt;0),$B77,"")</f>
        <v/>
      </c>
      <c r="AC77" s="84" t="str">
        <f t="array" aca="1" ref="AC77" ca="1">IF(OR((AC$67&gt;=$AW$11:$AW$74)*(AC$48&lt;=$AX$11:$AX$74)&gt;0),$B77,"")</f>
        <v/>
      </c>
      <c r="AD77" s="84" t="str">
        <f t="array" aca="1" ref="AD77" ca="1">IF(OR((AD$67&gt;=$AW$11:$AW$74)*(AD$48&lt;=$AX$11:$AX$74)&gt;0),$B77,"")</f>
        <v/>
      </c>
      <c r="AE77" s="84" t="str">
        <f t="array" aca="1" ref="AE77" ca="1">IF(OR((AE$67&gt;=$AW$11:$AW$74)*(AE$48&lt;=$AX$11:$AX$74)&gt;0),$B77,"")</f>
        <v/>
      </c>
      <c r="AF77" s="84" t="str">
        <f t="array" aca="1" ref="AF77" ca="1">IF(OR((AF$67&gt;=$AW$11:$AW$74)*(AF$48&lt;=$AX$11:$AX$74)&gt;0),$B77,"")</f>
        <v/>
      </c>
      <c r="AG77" s="84" t="str">
        <f t="array" aca="1" ref="AG77" ca="1">IF(OR((AG$67&gt;=$AW$11:$AW$74)*(AG$48&lt;=$AX$11:$AX$74)&gt;0),$B77,"")</f>
        <v/>
      </c>
      <c r="AH77" s="84" t="str">
        <f t="array" aca="1" ref="AH77" ca="1">IF(OR((AH$67&gt;=$AW$11:$AW$74)*(AH$48&lt;=$AX$11:$AX$74)&gt;0),$B77,"")</f>
        <v/>
      </c>
      <c r="AI77" s="84" t="str">
        <f t="array" aca="1" ref="AI77" ca="1">IF(OR((AI$67&gt;=$AW$11:$AW$74)*(AI$48&lt;=$AX$11:$AX$74)&gt;0),$B77,"")</f>
        <v/>
      </c>
      <c r="AK77" s="80" t="s">
        <v>181</v>
      </c>
      <c r="AL77" s="134">
        <v>3</v>
      </c>
      <c r="AM77" s="84" t="str">
        <f t="array" aca="1" ref="AM77" ca="1">IF(OR((AM$67&gt;=$AW$11:$AW$74)*(AM$48&lt;=$AX$11:$AX$74)&gt;0),$B77,"")</f>
        <v/>
      </c>
      <c r="AN77" s="84" t="str">
        <f t="array" aca="1" ref="AN77" ca="1">IF(OR((AN$67&gt;=$AW$11:$AW$74)*(AN$48&lt;=$AX$11:$AX$74)&gt;0),$B77,"")</f>
        <v/>
      </c>
      <c r="AO77" s="84" t="str">
        <f t="array" aca="1" ref="AO77" ca="1">IF(OR((AO$67&gt;=$AW$11:$AW$74)*(AO$48&lt;=$AX$11:$AX$74)&gt;0),$B77,"")</f>
        <v/>
      </c>
      <c r="AP77" s="84" t="str">
        <f t="array" aca="1" ref="AP77" ca="1">IF(OR((AP$67&gt;=$AW$11:$AW$74)*(AP$48&lt;=$AX$11:$AX$74)&gt;0),$B77,"")</f>
        <v/>
      </c>
      <c r="AQ77" s="84" t="str">
        <f t="array" aca="1" ref="AQ77" ca="1">IF(OR((AQ$67&gt;=$AW$11:$AW$74)*(AQ$48&lt;=$AX$11:$AX$74)&gt;0),$B77,"")</f>
        <v/>
      </c>
      <c r="AR77" s="84" t="str">
        <f t="array" aca="1" ref="AR77" ca="1">IF(OR((AR$67&gt;=$AW$11:$AW$74)*(AR$48&lt;=$AX$11:$AX$74)&gt;0),$B77,"")</f>
        <v/>
      </c>
      <c r="AS77" s="84" t="str">
        <f t="array" aca="1" ref="AS77" ca="1">IF(OR((AS$67&gt;=$AW$11:$AW$74)*(AS$48&lt;=$AX$11:$AX$74)&gt;0),$B77,"")</f>
        <v/>
      </c>
      <c r="AT77" s="84" t="str">
        <f t="array" aca="1" ref="AT77" ca="1">IF(OR((AT$67&gt;=$AW$11:$AW$74)*(AT$48&lt;=$AX$11:$AX$74)&gt;0),$B77,"")</f>
        <v/>
      </c>
      <c r="AU77" s="84" t="str">
        <f t="array" aca="1" ref="AU77" ca="1">IF(OR((AU$67&gt;=$AW$11:$AW$74)*(AU$48&lt;=$AX$11:$AX$74)&gt;0),$B77,"")</f>
        <v/>
      </c>
      <c r="AV77" s="84" t="str">
        <f t="array" aca="1" ref="AV77" ca="1">IF(OR((AV$67&gt;=$AW$11:$AW$74)*(AV$48&lt;=$AX$11:$AX$74)&gt;0),$B77,"")</f>
        <v/>
      </c>
      <c r="AW77" s="84" t="str">
        <f t="array" aca="1" ref="AW77" ca="1">IF(OR((AW$67&gt;=$AW$11:$AW$74)*(AW$48&lt;=$AX$11:$AX$74)&gt;0),$B77,"")</f>
        <v/>
      </c>
      <c r="AX77" s="84" t="str">
        <f t="array" aca="1" ref="AX77" ca="1">IF(OR((AX$67&gt;=$AW$11:$AW$74)*(AX$48&lt;=$AX$11:$AX$74)&gt;0),$B77,"")</f>
        <v/>
      </c>
      <c r="AY77" s="84" t="str">
        <f t="array" aca="1" ref="AY77" ca="1">IF(OR((AY$67&gt;=$AW$11:$AW$74)*(AY$48&lt;=$AX$11:$AX$74)&gt;0),$B77,"")</f>
        <v/>
      </c>
      <c r="AZ77" s="84" t="str">
        <f t="array" aca="1" ref="AZ77" ca="1">IF(OR((AZ$67&gt;=$AW$11:$AW$74)*(AZ$48&lt;=$AX$11:$AX$74)&gt;0),$B77,"")</f>
        <v/>
      </c>
      <c r="BA77" s="84" t="str">
        <f t="array" aca="1" ref="BA77" ca="1">IF(OR((BA$67&gt;=$AW$11:$AW$74)*(BA$48&lt;=$AX$11:$AX$74)&gt;0),$B77,"")</f>
        <v/>
      </c>
      <c r="BB77" s="84" t="str">
        <f t="array" aca="1" ref="BB77" ca="1">IF(OR((BB$67&gt;=$AW$11:$AW$74)*(BB$48&lt;=$AX$11:$AX$74)&gt;0),$B77,"")</f>
        <v/>
      </c>
      <c r="BC77" s="84" t="str">
        <f t="array" aca="1" ref="BC77" ca="1">IF(OR((BC$67&gt;=$AW$11:$AW$74)*(BC$48&lt;=$AX$11:$AX$74)&gt;0),$B77,"")</f>
        <v/>
      </c>
      <c r="BD77" s="84" t="str">
        <f t="array" aca="1" ref="BD77" ca="1">IF(OR((BD$67&gt;=$AW$11:$AW$74)*(BD$48&lt;=$AX$11:$AX$74)&gt;0),$B77,"")</f>
        <v/>
      </c>
      <c r="BE77" s="84" t="str">
        <f t="array" aca="1" ref="BE77" ca="1">IF(OR((BE$67&gt;=$AW$11:$AW$74)*(BE$48&lt;=$AX$11:$AX$74)&gt;0),$B77,"")</f>
        <v/>
      </c>
      <c r="BF77" s="84" t="str">
        <f t="array" aca="1" ref="BF77" ca="1">IF(OR((BF$67&gt;=$AW$11:$AW$74)*(BF$48&lt;=$AX$11:$AX$74)&gt;0),$B77,"")</f>
        <v/>
      </c>
      <c r="BG77" s="84" t="str">
        <f t="array" aca="1" ref="BG77" ca="1">IF(OR((BG$67&gt;=$AW$11:$AW$74)*(BG$48&lt;=$AX$11:$AX$74)&gt;0),$B77,"")</f>
        <v/>
      </c>
      <c r="BH77" s="84" t="str">
        <f t="array" aca="1" ref="BH77" ca="1">IF(OR((BH$67&gt;=$AW$11:$AW$74)*(BH$48&lt;=$AX$11:$AX$74)&gt;0),$B77,"")</f>
        <v/>
      </c>
      <c r="BI77" s="84" t="str">
        <f t="array" aca="1" ref="BI77" ca="1">IF(OR((BI$67&gt;=$AW$11:$AW$74)*(BI$48&lt;=$AX$11:$AX$74)&gt;0),$B77,"")</f>
        <v/>
      </c>
      <c r="BJ77" s="84" t="str">
        <f t="array" aca="1" ref="BJ77" ca="1">IF(OR((BJ$67&gt;=$AW$11:$AW$74)*(BJ$48&lt;=$AX$11:$AX$74)&gt;0),$B77,"")</f>
        <v/>
      </c>
      <c r="BK77" s="84" t="str">
        <f t="array" aca="1" ref="BK77" ca="1">IF(OR((BK$67&gt;=$AW$11:$AW$74)*(BK$48&lt;=$AX$11:$AX$74)&gt;0),$B77,"")</f>
        <v/>
      </c>
      <c r="BL77" s="84" t="str">
        <f t="array" aca="1" ref="BL77" ca="1">IF(OR((BL$67&gt;=$AW$11:$AW$74)*(BL$48&lt;=$AX$11:$AX$74)&gt;0),$B77,"")</f>
        <v/>
      </c>
      <c r="BM77" s="84" t="str">
        <f t="array" aca="1" ref="BM77" ca="1">IF(OR((BM$67&gt;=$AW$11:$AW$74)*(BM$48&lt;=$AX$11:$AX$74)&gt;0),$B77,"")</f>
        <v/>
      </c>
      <c r="BN77" s="84" t="str">
        <f t="array" aca="1" ref="BN77" ca="1">IF(OR((BN$67&gt;=$AW$11:$AW$74)*(BN$48&lt;=$AX$11:$AX$74)&gt;0),$B77,"")</f>
        <v/>
      </c>
      <c r="BO77" s="84" t="str">
        <f t="array" aca="1" ref="BO77" ca="1">IF(OR((BO$67&gt;=$AW$11:$AW$74)*(BO$48&lt;=$AX$11:$AX$74)&gt;0),$B77,"")</f>
        <v/>
      </c>
      <c r="BP77" s="84" t="str">
        <f t="array" aca="1" ref="BP77" ca="1">IF(OR((BP$67&gt;=$AW$11:$AW$74)*(BP$48&lt;=$AX$11:$AX$74)&gt;0),$B77,"")</f>
        <v/>
      </c>
      <c r="BQ77" s="84" t="str">
        <f t="array" aca="1" ref="BQ77" ca="1">IF(OR((BQ$67&gt;=$AW$11:$AW$74)*(BQ$48&lt;=$AX$11:$AX$74)&gt;0),$B77,"")</f>
        <v/>
      </c>
      <c r="BR77" s="84" t="str">
        <f t="array" aca="1" ref="BR77" ca="1">IF(OR((BR$67&gt;=$AW$11:$AW$74)*(BR$48&lt;=$AX$11:$AX$74)&gt;0),$B77,"")</f>
        <v/>
      </c>
      <c r="BS77" s="84" t="str">
        <f t="array" aca="1" ref="BS77" ca="1">IF(OR((BS$67&gt;=$AW$11:$AW$74)*(BS$48&lt;=$AX$11:$AX$74)&gt;0),$B77,"")</f>
        <v/>
      </c>
      <c r="BU77" s="80" t="s">
        <v>181</v>
      </c>
      <c r="BV77" s="134">
        <v>3</v>
      </c>
      <c r="BW77" s="84" t="str">
        <f t="array" aca="1" ref="BW77" ca="1">IF(OR((BW$67&gt;=$AW$11:$AW$74)*(BW$48&lt;=$AX$11:$AX$74)&gt;0),$B77,"")</f>
        <v/>
      </c>
      <c r="BX77" s="84" t="str">
        <f t="array" aca="1" ref="BX77" ca="1">IF(OR((BX$67&gt;=$AW$11:$AW$74)*(BX$48&lt;=$AX$11:$AX$74)&gt;0),$B77,"")</f>
        <v/>
      </c>
      <c r="BY77" s="84" t="str">
        <f t="array" aca="1" ref="BY77" ca="1">IF(OR((BY$67&gt;=$AW$11:$AW$74)*(BY$48&lt;=$AX$11:$AX$74)&gt;0),$B77,"")</f>
        <v/>
      </c>
      <c r="BZ77" s="84" t="str">
        <f t="array" aca="1" ref="BZ77" ca="1">IF(OR((BZ$67&gt;=$AW$11:$AW$74)*(BZ$48&lt;=$AX$11:$AX$74)&gt;0),$B77,"")</f>
        <v/>
      </c>
      <c r="CA77" s="84" t="str">
        <f t="array" aca="1" ref="CA77" ca="1">IF(OR((CA$67&gt;=$AW$11:$AW$74)*(CA$48&lt;=$AX$11:$AX$74)&gt;0),$B77,"")</f>
        <v/>
      </c>
      <c r="CB77" s="84" t="str">
        <f t="array" aca="1" ref="CB77" ca="1">IF(OR((CB$67&gt;=$AW$11:$AW$74)*(CB$48&lt;=$AX$11:$AX$74)&gt;0),$B77,"")</f>
        <v/>
      </c>
      <c r="CC77" s="84" t="str">
        <f t="array" aca="1" ref="CC77" ca="1">IF(OR((CC$67&gt;=$AW$11:$AW$74)*(CC$48&lt;=$AX$11:$AX$74)&gt;0),$B77,"")</f>
        <v/>
      </c>
      <c r="CD77" s="84" t="str">
        <f t="array" aca="1" ref="CD77" ca="1">IF(OR((CD$67&gt;=$AW$11:$AW$74)*(CD$48&lt;=$AX$11:$AX$74)&gt;0),$B77,"")</f>
        <v/>
      </c>
      <c r="CE77" s="84" t="str">
        <f t="array" aca="1" ref="CE77" ca="1">IF(OR((CE$67&gt;=$AW$11:$AW$74)*(CE$48&lt;=$AX$11:$AX$74)&gt;0),$B77,"")</f>
        <v/>
      </c>
      <c r="CF77" s="84" t="str">
        <f t="array" aca="1" ref="CF77" ca="1">IF(OR((CF$67&gt;=$AW$11:$AW$74)*(CF$48&lt;=$AX$11:$AX$74)&gt;0),$B77,"")</f>
        <v/>
      </c>
      <c r="CG77" s="84" t="str">
        <f t="array" aca="1" ref="CG77" ca="1">IF(OR((CG$67&gt;=$AW$11:$AW$74)*(CG$48&lt;=$AX$11:$AX$74)&gt;0),$B77,"")</f>
        <v/>
      </c>
      <c r="CH77" s="84" t="str">
        <f t="array" aca="1" ref="CH77" ca="1">IF(OR((CH$67&gt;=$AW$11:$AW$74)*(CH$48&lt;=$AX$11:$AX$74)&gt;0),$B77,"")</f>
        <v/>
      </c>
      <c r="CI77" s="84" t="str">
        <f t="array" aca="1" ref="CI77" ca="1">IF(OR((CI$67&gt;=$AW$11:$AW$74)*(CI$48&lt;=$AX$11:$AX$74)&gt;0),$B77,"")</f>
        <v/>
      </c>
      <c r="CJ77" s="84" t="str">
        <f t="array" aca="1" ref="CJ77" ca="1">IF(OR((CJ$67&gt;=$AW$11:$AW$74)*(CJ$48&lt;=$AX$11:$AX$74)&gt;0),$B77,"")</f>
        <v/>
      </c>
      <c r="CK77" s="84" t="str">
        <f t="array" aca="1" ref="CK77" ca="1">IF(OR((CK$67&gt;=$AW$11:$AW$74)*(CK$48&lt;=$AX$11:$AX$74)&gt;0),$B77,"")</f>
        <v/>
      </c>
      <c r="CL77" s="84" t="str">
        <f t="array" aca="1" ref="CL77" ca="1">IF(OR((CL$67&gt;=$AW$11:$AW$74)*(CL$48&lt;=$AX$11:$AX$74)&gt;0),$B77,"")</f>
        <v/>
      </c>
      <c r="CM77" s="84" t="str">
        <f t="array" aca="1" ref="CM77" ca="1">IF(OR((CM$67&gt;=$AW$11:$AW$74)*(CM$48&lt;=$AX$11:$AX$74)&gt;0),$B77,"")</f>
        <v/>
      </c>
      <c r="CN77" s="84" t="str">
        <f t="array" aca="1" ref="CN77" ca="1">IF(OR((CN$67&gt;=$AW$11:$AW$74)*(CN$48&lt;=$AX$11:$AX$74)&gt;0),$B77,"")</f>
        <v/>
      </c>
      <c r="CO77" s="84" t="str">
        <f t="array" aca="1" ref="CO77" ca="1">IF(OR((CO$67&gt;=$AW$11:$AW$74)*(CO$48&lt;=$AX$11:$AX$74)&gt;0),$B77,"")</f>
        <v/>
      </c>
      <c r="CP77" s="84" t="str">
        <f t="array" aca="1" ref="CP77" ca="1">IF(OR((CP$67&gt;=$AW$11:$AW$74)*(CP$48&lt;=$AX$11:$AX$74)&gt;0),$B77,"")</f>
        <v/>
      </c>
      <c r="CQ77" s="84" t="str">
        <f t="array" aca="1" ref="CQ77" ca="1">IF(OR((CQ$67&gt;=$AW$11:$AW$74)*(CQ$48&lt;=$AX$11:$AX$74)&gt;0),$B77,"")</f>
        <v/>
      </c>
      <c r="CR77" s="84" t="str">
        <f t="array" aca="1" ref="CR77" ca="1">IF(OR((CR$67&gt;=$AW$11:$AW$74)*(CR$48&lt;=$AX$11:$AX$74)&gt;0),$B77,"")</f>
        <v/>
      </c>
      <c r="CS77" s="84" t="str">
        <f t="array" aca="1" ref="CS77" ca="1">IF(OR((CS$67&gt;=$AW$11:$AW$74)*(CS$48&lt;=$AX$11:$AX$74)&gt;0),$B77,"")</f>
        <v/>
      </c>
      <c r="CT77" s="84" t="str">
        <f t="array" aca="1" ref="CT77" ca="1">IF(OR((CT$67&gt;=$AW$11:$AW$74)*(CT$48&lt;=$AX$11:$AX$74)&gt;0),$B77,"")</f>
        <v/>
      </c>
      <c r="CU77" s="84" t="str">
        <f t="array" aca="1" ref="CU77" ca="1">IF(OR((CU$67&gt;=$AW$11:$AW$74)*(CU$48&lt;=$AX$11:$AX$74)&gt;0),$B77,"")</f>
        <v/>
      </c>
      <c r="CV77" s="84" t="str">
        <f t="array" aca="1" ref="CV77" ca="1">IF(OR((CV$67&gt;=$AW$11:$AW$74)*(CV$48&lt;=$AX$11:$AX$74)&gt;0),$B77,"")</f>
        <v/>
      </c>
      <c r="CW77" s="84" t="str">
        <f t="array" aca="1" ref="CW77" ca="1">IF(OR((CW$67&gt;=$AW$11:$AW$74)*(CW$48&lt;=$AX$11:$AX$74)&gt;0),$B77,"")</f>
        <v/>
      </c>
      <c r="CX77" s="84" t="str">
        <f t="array" aca="1" ref="CX77" ca="1">IF(OR((CX$67&gt;=$AW$11:$AW$74)*(CX$48&lt;=$AX$11:$AX$74)&gt;0),$B77,"")</f>
        <v/>
      </c>
      <c r="CY77" s="84" t="str">
        <f t="array" aca="1" ref="CY77" ca="1">IF(OR((CY$67&gt;=$AW$11:$AW$74)*(CY$48&lt;=$AX$11:$AX$74)&gt;0),$B77,"")</f>
        <v/>
      </c>
      <c r="CZ77" s="84" t="str">
        <f t="array" aca="1" ref="CZ77" ca="1">IF(OR((CZ$67&gt;=$AW$11:$AW$74)*(CZ$48&lt;=$AX$11:$AX$74)&gt;0),$B77,"")</f>
        <v/>
      </c>
      <c r="DA77" s="84" t="str">
        <f t="array" aca="1" ref="DA77" ca="1">IF(OR((DA$67&gt;=$AW$11:$AW$74)*(DA$48&lt;=$AX$11:$AX$74)&gt;0),$B77,"")</f>
        <v/>
      </c>
      <c r="DB77" s="84" t="str">
        <f t="array" aca="1" ref="DB77" ca="1">IF(OR((DB$67&gt;=$AW$11:$AW$74)*(DB$48&lt;=$AX$11:$AX$74)&gt;0),$B77,"")</f>
        <v/>
      </c>
      <c r="DC77" s="84" t="str">
        <f t="array" aca="1" ref="DC77" ca="1">IF(OR((DC$67&gt;=$AW$11:$AW$74)*(DC$48&lt;=$AX$11:$AX$74)&gt;0),$B77,"")</f>
        <v/>
      </c>
    </row>
    <row r="78" spans="1:107">
      <c r="A78" s="80" t="s">
        <v>182</v>
      </c>
      <c r="B78" s="128">
        <v>3</v>
      </c>
      <c r="C78" s="84" t="str">
        <f t="array" aca="1" ref="C78" ca="1">IF(OR((C$67&gt;=$AW$11:$AW$74)*(C$48&lt;=$AX$11:$AX$74)&gt;0),$B78,"")</f>
        <v/>
      </c>
      <c r="D78" s="84" t="str">
        <f t="array" aca="1" ref="D78" ca="1">IF(OR((D$67&gt;=$AW$11:$AW$74)*(D$48&lt;=$AX$11:$AX$74)&gt;0),$B78,"")</f>
        <v/>
      </c>
      <c r="E78" s="84" t="str">
        <f t="array" aca="1" ref="E78" ca="1">IF(OR((E$67&gt;=$AW$11:$AW$74)*(E$48&lt;=$AX$11:$AX$74)&gt;0),$B78,"")</f>
        <v/>
      </c>
      <c r="F78" s="84" t="str">
        <f t="array" aca="1" ref="F78" ca="1">IF(OR((F$67&gt;=$AW$11:$AW$74)*(F$48&lt;=$AX$11:$AX$74)&gt;0),$B78,"")</f>
        <v/>
      </c>
      <c r="G78" s="84" t="str">
        <f t="array" aca="1" ref="G78" ca="1">IF(OR((G$67&gt;=$AW$11:$AW$74)*(G$48&lt;=$AX$11:$AX$74)&gt;0),$B78,"")</f>
        <v/>
      </c>
      <c r="H78" s="84" t="str">
        <f t="array" aca="1" ref="H78" ca="1">IF(OR((H$67&gt;=$AW$11:$AW$74)*(H$48&lt;=$AX$11:$AX$74)&gt;0),$B78,"")</f>
        <v/>
      </c>
      <c r="I78" s="84" t="str">
        <f t="array" aca="1" ref="I78" ca="1">IF(OR((I$67&gt;=$AW$11:$AW$74)*(I$48&lt;=$AX$11:$AX$74)&gt;0),$B78,"")</f>
        <v/>
      </c>
      <c r="J78" s="84" t="str">
        <f t="array" aca="1" ref="J78" ca="1">IF(OR((J$67&gt;=$AW$11:$AW$74)*(J$48&lt;=$AX$11:$AX$74)&gt;0),$B78,"")</f>
        <v/>
      </c>
      <c r="K78" s="84" t="str">
        <f t="array" aca="1" ref="K78" ca="1">IF(OR((K$67&gt;=$AW$11:$AW$74)*(K$48&lt;=$AX$11:$AX$74)&gt;0),$B78,"")</f>
        <v/>
      </c>
      <c r="L78" s="84" t="str">
        <f t="array" aca="1" ref="L78" ca="1">IF(OR((L$67&gt;=$AW$11:$AW$74)*(L$48&lt;=$AX$11:$AX$74)&gt;0),$B78,"")</f>
        <v/>
      </c>
      <c r="M78" s="84" t="str">
        <f t="array" aca="1" ref="M78" ca="1">IF(OR((M$67&gt;=$AW$11:$AW$74)*(M$48&lt;=$AX$11:$AX$74)&gt;0),$B78,"")</f>
        <v/>
      </c>
      <c r="N78" s="84" t="str">
        <f t="array" aca="1" ref="N78" ca="1">IF(OR((N$67&gt;=$AW$11:$AW$74)*(N$48&lt;=$AX$11:$AX$74)&gt;0),$B78,"")</f>
        <v/>
      </c>
      <c r="O78" s="84" t="str">
        <f t="array" aca="1" ref="O78" ca="1">IF(OR((O$67&gt;=$AW$11:$AW$74)*(O$48&lt;=$AX$11:$AX$74)&gt;0),$B78,"")</f>
        <v/>
      </c>
      <c r="P78" s="84" t="str">
        <f t="array" aca="1" ref="P78" ca="1">IF(OR((P$67&gt;=$AW$11:$AW$74)*(P$48&lt;=$AX$11:$AX$74)&gt;0),$B78,"")</f>
        <v/>
      </c>
      <c r="Q78" s="84" t="str">
        <f t="array" aca="1" ref="Q78" ca="1">IF(OR((Q$67&gt;=$AW$11:$AW$74)*(Q$48&lt;=$AX$11:$AX$74)&gt;0),$B78,"")</f>
        <v/>
      </c>
      <c r="R78" s="84" t="str">
        <f t="array" aca="1" ref="R78" ca="1">IF(OR((R$67&gt;=$AW$11:$AW$74)*(R$48&lt;=$AX$11:$AX$74)&gt;0),$B78,"")</f>
        <v/>
      </c>
      <c r="S78" s="84" t="str">
        <f t="array" aca="1" ref="S78" ca="1">IF(OR((S$67&gt;=$AW$11:$AW$74)*(S$48&lt;=$AX$11:$AX$74)&gt;0),$B78,"")</f>
        <v/>
      </c>
      <c r="T78" s="84" t="str">
        <f t="array" aca="1" ref="T78" ca="1">IF(OR((T$67&gt;=$AW$11:$AW$74)*(T$48&lt;=$AX$11:$AX$74)&gt;0),$B78,"")</f>
        <v/>
      </c>
      <c r="U78" s="84" t="str">
        <f t="array" aca="1" ref="U78" ca="1">IF(OR((U$67&gt;=$AW$11:$AW$74)*(U$48&lt;=$AX$11:$AX$74)&gt;0),$B78,"")</f>
        <v/>
      </c>
      <c r="V78" s="84" t="str">
        <f t="array" aca="1" ref="V78" ca="1">IF(OR((V$67&gt;=$AW$11:$AW$74)*(V$48&lt;=$AX$11:$AX$74)&gt;0),$B78,"")</f>
        <v/>
      </c>
      <c r="W78" s="84" t="str">
        <f t="array" aca="1" ref="W78" ca="1">IF(OR((W$67&gt;=$AW$11:$AW$74)*(W$48&lt;=$AX$11:$AX$74)&gt;0),$B78,"")</f>
        <v/>
      </c>
      <c r="X78" s="84" t="str">
        <f t="array" aca="1" ref="X78" ca="1">IF(OR((X$67&gt;=$AW$11:$AW$74)*(X$48&lt;=$AX$11:$AX$74)&gt;0),$B78,"")</f>
        <v/>
      </c>
      <c r="Y78" s="84" t="str">
        <f t="array" aca="1" ref="Y78" ca="1">IF(OR((Y$67&gt;=$AW$11:$AW$74)*(Y$48&lt;=$AX$11:$AX$74)&gt;0),$B78,"")</f>
        <v/>
      </c>
      <c r="Z78" s="84" t="str">
        <f t="array" aca="1" ref="Z78" ca="1">IF(OR((Z$67&gt;=$AW$11:$AW$74)*(Z$48&lt;=$AX$11:$AX$74)&gt;0),$B78,"")</f>
        <v/>
      </c>
      <c r="AA78" s="84" t="str">
        <f t="array" aca="1" ref="AA78" ca="1">IF(OR((AA$67&gt;=$AW$11:$AW$74)*(AA$48&lt;=$AX$11:$AX$74)&gt;0),$B78,"")</f>
        <v/>
      </c>
      <c r="AB78" s="84" t="str">
        <f t="array" aca="1" ref="AB78" ca="1">IF(OR((AB$67&gt;=$AW$11:$AW$74)*(AB$48&lt;=$AX$11:$AX$74)&gt;0),$B78,"")</f>
        <v/>
      </c>
      <c r="AC78" s="84" t="str">
        <f t="array" aca="1" ref="AC78" ca="1">IF(OR((AC$67&gt;=$AW$11:$AW$74)*(AC$48&lt;=$AX$11:$AX$74)&gt;0),$B78,"")</f>
        <v/>
      </c>
      <c r="AD78" s="84" t="str">
        <f t="array" aca="1" ref="AD78" ca="1">IF(OR((AD$67&gt;=$AW$11:$AW$74)*(AD$48&lt;=$AX$11:$AX$74)&gt;0),$B78,"")</f>
        <v/>
      </c>
      <c r="AE78" s="84" t="str">
        <f t="array" aca="1" ref="AE78" ca="1">IF(OR((AE$67&gt;=$AW$11:$AW$74)*(AE$48&lt;=$AX$11:$AX$74)&gt;0),$B78,"")</f>
        <v/>
      </c>
      <c r="AF78" s="84" t="str">
        <f t="array" aca="1" ref="AF78" ca="1">IF(OR((AF$67&gt;=$AW$11:$AW$74)*(AF$48&lt;=$AX$11:$AX$74)&gt;0),$B78,"")</f>
        <v/>
      </c>
      <c r="AG78" s="84" t="str">
        <f t="array" aca="1" ref="AG78" ca="1">IF(OR((AG$67&gt;=$AW$11:$AW$74)*(AG$48&lt;=$AX$11:$AX$74)&gt;0),$B78,"")</f>
        <v/>
      </c>
      <c r="AH78" s="84" t="str">
        <f t="array" aca="1" ref="AH78" ca="1">IF(OR((AH$67&gt;=$AW$11:$AW$74)*(AH$48&lt;=$AX$11:$AX$74)&gt;0),$B78,"")</f>
        <v/>
      </c>
      <c r="AI78" s="84" t="str">
        <f t="array" aca="1" ref="AI78" ca="1">IF(OR((AI$67&gt;=$AW$11:$AW$74)*(AI$48&lt;=$AX$11:$AX$74)&gt;0),$B78,"")</f>
        <v/>
      </c>
      <c r="AK78" s="80" t="s">
        <v>182</v>
      </c>
      <c r="AL78" s="134">
        <v>3</v>
      </c>
      <c r="AM78" s="84" t="str">
        <f t="array" aca="1" ref="AM78" ca="1">IF(OR((AM$67&gt;=$AW$11:$AW$74)*(AM$48&lt;=$AX$11:$AX$74)&gt;0),$B78,"")</f>
        <v/>
      </c>
      <c r="AN78" s="84" t="str">
        <f t="array" aca="1" ref="AN78" ca="1">IF(OR((AN$67&gt;=$AW$11:$AW$74)*(AN$48&lt;=$AX$11:$AX$74)&gt;0),$B78,"")</f>
        <v/>
      </c>
      <c r="AO78" s="84" t="str">
        <f t="array" aca="1" ref="AO78" ca="1">IF(OR((AO$67&gt;=$AW$11:$AW$74)*(AO$48&lt;=$AX$11:$AX$74)&gt;0),$B78,"")</f>
        <v/>
      </c>
      <c r="AP78" s="84" t="str">
        <f t="array" aca="1" ref="AP78" ca="1">IF(OR((AP$67&gt;=$AW$11:$AW$74)*(AP$48&lt;=$AX$11:$AX$74)&gt;0),$B78,"")</f>
        <v/>
      </c>
      <c r="AQ78" s="84" t="str">
        <f t="array" aca="1" ref="AQ78" ca="1">IF(OR((AQ$67&gt;=$AW$11:$AW$74)*(AQ$48&lt;=$AX$11:$AX$74)&gt;0),$B78,"")</f>
        <v/>
      </c>
      <c r="AR78" s="84" t="str">
        <f t="array" aca="1" ref="AR78" ca="1">IF(OR((AR$67&gt;=$AW$11:$AW$74)*(AR$48&lt;=$AX$11:$AX$74)&gt;0),$B78,"")</f>
        <v/>
      </c>
      <c r="AS78" s="84" t="str">
        <f t="array" aca="1" ref="AS78" ca="1">IF(OR((AS$67&gt;=$AW$11:$AW$74)*(AS$48&lt;=$AX$11:$AX$74)&gt;0),$B78,"")</f>
        <v/>
      </c>
      <c r="AT78" s="84" t="str">
        <f t="array" aca="1" ref="AT78" ca="1">IF(OR((AT$67&gt;=$AW$11:$AW$74)*(AT$48&lt;=$AX$11:$AX$74)&gt;0),$B78,"")</f>
        <v/>
      </c>
      <c r="AU78" s="84" t="str">
        <f t="array" aca="1" ref="AU78" ca="1">IF(OR((AU$67&gt;=$AW$11:$AW$74)*(AU$48&lt;=$AX$11:$AX$74)&gt;0),$B78,"")</f>
        <v/>
      </c>
      <c r="AV78" s="84" t="str">
        <f t="array" aca="1" ref="AV78" ca="1">IF(OR((AV$67&gt;=$AW$11:$AW$74)*(AV$48&lt;=$AX$11:$AX$74)&gt;0),$B78,"")</f>
        <v/>
      </c>
      <c r="AW78" s="84" t="str">
        <f t="array" aca="1" ref="AW78" ca="1">IF(OR((AW$67&gt;=$AW$11:$AW$74)*(AW$48&lt;=$AX$11:$AX$74)&gt;0),$B78,"")</f>
        <v/>
      </c>
      <c r="AX78" s="84" t="str">
        <f t="array" aca="1" ref="AX78" ca="1">IF(OR((AX$67&gt;=$AW$11:$AW$74)*(AX$48&lt;=$AX$11:$AX$74)&gt;0),$B78,"")</f>
        <v/>
      </c>
      <c r="AY78" s="84" t="str">
        <f t="array" aca="1" ref="AY78" ca="1">IF(OR((AY$67&gt;=$AW$11:$AW$74)*(AY$48&lt;=$AX$11:$AX$74)&gt;0),$B78,"")</f>
        <v/>
      </c>
      <c r="AZ78" s="84" t="str">
        <f t="array" aca="1" ref="AZ78" ca="1">IF(OR((AZ$67&gt;=$AW$11:$AW$74)*(AZ$48&lt;=$AX$11:$AX$74)&gt;0),$B78,"")</f>
        <v/>
      </c>
      <c r="BA78" s="84" t="str">
        <f t="array" aca="1" ref="BA78" ca="1">IF(OR((BA$67&gt;=$AW$11:$AW$74)*(BA$48&lt;=$AX$11:$AX$74)&gt;0),$B78,"")</f>
        <v/>
      </c>
      <c r="BB78" s="84" t="str">
        <f t="array" aca="1" ref="BB78" ca="1">IF(OR((BB$67&gt;=$AW$11:$AW$74)*(BB$48&lt;=$AX$11:$AX$74)&gt;0),$B78,"")</f>
        <v/>
      </c>
      <c r="BC78" s="84" t="str">
        <f t="array" aca="1" ref="BC78" ca="1">IF(OR((BC$67&gt;=$AW$11:$AW$74)*(BC$48&lt;=$AX$11:$AX$74)&gt;0),$B78,"")</f>
        <v/>
      </c>
      <c r="BD78" s="84" t="str">
        <f t="array" aca="1" ref="BD78" ca="1">IF(OR((BD$67&gt;=$AW$11:$AW$74)*(BD$48&lt;=$AX$11:$AX$74)&gt;0),$B78,"")</f>
        <v/>
      </c>
      <c r="BE78" s="84" t="str">
        <f t="array" aca="1" ref="BE78" ca="1">IF(OR((BE$67&gt;=$AW$11:$AW$74)*(BE$48&lt;=$AX$11:$AX$74)&gt;0),$B78,"")</f>
        <v/>
      </c>
      <c r="BF78" s="84" t="str">
        <f t="array" aca="1" ref="BF78" ca="1">IF(OR((BF$67&gt;=$AW$11:$AW$74)*(BF$48&lt;=$AX$11:$AX$74)&gt;0),$B78,"")</f>
        <v/>
      </c>
      <c r="BG78" s="84" t="str">
        <f t="array" aca="1" ref="BG78" ca="1">IF(OR((BG$67&gt;=$AW$11:$AW$74)*(BG$48&lt;=$AX$11:$AX$74)&gt;0),$B78,"")</f>
        <v/>
      </c>
      <c r="BH78" s="84" t="str">
        <f t="array" aca="1" ref="BH78" ca="1">IF(OR((BH$67&gt;=$AW$11:$AW$74)*(BH$48&lt;=$AX$11:$AX$74)&gt;0),$B78,"")</f>
        <v/>
      </c>
      <c r="BI78" s="84" t="str">
        <f t="array" aca="1" ref="BI78" ca="1">IF(OR((BI$67&gt;=$AW$11:$AW$74)*(BI$48&lt;=$AX$11:$AX$74)&gt;0),$B78,"")</f>
        <v/>
      </c>
      <c r="BJ78" s="84" t="str">
        <f t="array" aca="1" ref="BJ78" ca="1">IF(OR((BJ$67&gt;=$AW$11:$AW$74)*(BJ$48&lt;=$AX$11:$AX$74)&gt;0),$B78,"")</f>
        <v/>
      </c>
      <c r="BK78" s="84" t="str">
        <f t="array" aca="1" ref="BK78" ca="1">IF(OR((BK$67&gt;=$AW$11:$AW$74)*(BK$48&lt;=$AX$11:$AX$74)&gt;0),$B78,"")</f>
        <v/>
      </c>
      <c r="BL78" s="84" t="str">
        <f t="array" aca="1" ref="BL78" ca="1">IF(OR((BL$67&gt;=$AW$11:$AW$74)*(BL$48&lt;=$AX$11:$AX$74)&gt;0),$B78,"")</f>
        <v/>
      </c>
      <c r="BM78" s="84" t="str">
        <f t="array" aca="1" ref="BM78" ca="1">IF(OR((BM$67&gt;=$AW$11:$AW$74)*(BM$48&lt;=$AX$11:$AX$74)&gt;0),$B78,"")</f>
        <v/>
      </c>
      <c r="BN78" s="84" t="str">
        <f t="array" aca="1" ref="BN78" ca="1">IF(OR((BN$67&gt;=$AW$11:$AW$74)*(BN$48&lt;=$AX$11:$AX$74)&gt;0),$B78,"")</f>
        <v/>
      </c>
      <c r="BO78" s="84" t="str">
        <f t="array" aca="1" ref="BO78" ca="1">IF(OR((BO$67&gt;=$AW$11:$AW$74)*(BO$48&lt;=$AX$11:$AX$74)&gt;0),$B78,"")</f>
        <v/>
      </c>
      <c r="BP78" s="84" t="str">
        <f t="array" aca="1" ref="BP78" ca="1">IF(OR((BP$67&gt;=$AW$11:$AW$74)*(BP$48&lt;=$AX$11:$AX$74)&gt;0),$B78,"")</f>
        <v/>
      </c>
      <c r="BQ78" s="84" t="str">
        <f t="array" aca="1" ref="BQ78" ca="1">IF(OR((BQ$67&gt;=$AW$11:$AW$74)*(BQ$48&lt;=$AX$11:$AX$74)&gt;0),$B78,"")</f>
        <v/>
      </c>
      <c r="BR78" s="84" t="str">
        <f t="array" aca="1" ref="BR78" ca="1">IF(OR((BR$67&gt;=$AW$11:$AW$74)*(BR$48&lt;=$AX$11:$AX$74)&gt;0),$B78,"")</f>
        <v/>
      </c>
      <c r="BS78" s="84" t="str">
        <f t="array" aca="1" ref="BS78" ca="1">IF(OR((BS$67&gt;=$AW$11:$AW$74)*(BS$48&lt;=$AX$11:$AX$74)&gt;0),$B78,"")</f>
        <v/>
      </c>
      <c r="BU78" s="80" t="s">
        <v>182</v>
      </c>
      <c r="BV78" s="134">
        <v>3</v>
      </c>
      <c r="BW78" s="84" t="str">
        <f t="array" aca="1" ref="BW78" ca="1">IF(OR((BW$67&gt;=$AW$11:$AW$74)*(BW$48&lt;=$AX$11:$AX$74)&gt;0),$B78,"")</f>
        <v/>
      </c>
      <c r="BX78" s="84" t="str">
        <f t="array" aca="1" ref="BX78" ca="1">IF(OR((BX$67&gt;=$AW$11:$AW$74)*(BX$48&lt;=$AX$11:$AX$74)&gt;0),$B78,"")</f>
        <v/>
      </c>
      <c r="BY78" s="84" t="str">
        <f t="array" aca="1" ref="BY78" ca="1">IF(OR((BY$67&gt;=$AW$11:$AW$74)*(BY$48&lt;=$AX$11:$AX$74)&gt;0),$B78,"")</f>
        <v/>
      </c>
      <c r="BZ78" s="84" t="str">
        <f t="array" aca="1" ref="BZ78" ca="1">IF(OR((BZ$67&gt;=$AW$11:$AW$74)*(BZ$48&lt;=$AX$11:$AX$74)&gt;0),$B78,"")</f>
        <v/>
      </c>
      <c r="CA78" s="84" t="str">
        <f t="array" aca="1" ref="CA78" ca="1">IF(OR((CA$67&gt;=$AW$11:$AW$74)*(CA$48&lt;=$AX$11:$AX$74)&gt;0),$B78,"")</f>
        <v/>
      </c>
      <c r="CB78" s="84" t="str">
        <f t="array" aca="1" ref="CB78" ca="1">IF(OR((CB$67&gt;=$AW$11:$AW$74)*(CB$48&lt;=$AX$11:$AX$74)&gt;0),$B78,"")</f>
        <v/>
      </c>
      <c r="CC78" s="84" t="str">
        <f t="array" aca="1" ref="CC78" ca="1">IF(OR((CC$67&gt;=$AW$11:$AW$74)*(CC$48&lt;=$AX$11:$AX$74)&gt;0),$B78,"")</f>
        <v/>
      </c>
      <c r="CD78" s="84" t="str">
        <f t="array" aca="1" ref="CD78" ca="1">IF(OR((CD$67&gt;=$AW$11:$AW$74)*(CD$48&lt;=$AX$11:$AX$74)&gt;0),$B78,"")</f>
        <v/>
      </c>
      <c r="CE78" s="84" t="str">
        <f t="array" aca="1" ref="CE78" ca="1">IF(OR((CE$67&gt;=$AW$11:$AW$74)*(CE$48&lt;=$AX$11:$AX$74)&gt;0),$B78,"")</f>
        <v/>
      </c>
      <c r="CF78" s="84" t="str">
        <f t="array" aca="1" ref="CF78" ca="1">IF(OR((CF$67&gt;=$AW$11:$AW$74)*(CF$48&lt;=$AX$11:$AX$74)&gt;0),$B78,"")</f>
        <v/>
      </c>
      <c r="CG78" s="84" t="str">
        <f t="array" aca="1" ref="CG78" ca="1">IF(OR((CG$67&gt;=$AW$11:$AW$74)*(CG$48&lt;=$AX$11:$AX$74)&gt;0),$B78,"")</f>
        <v/>
      </c>
      <c r="CH78" s="84" t="str">
        <f t="array" aca="1" ref="CH78" ca="1">IF(OR((CH$67&gt;=$AW$11:$AW$74)*(CH$48&lt;=$AX$11:$AX$74)&gt;0),$B78,"")</f>
        <v/>
      </c>
      <c r="CI78" s="84" t="str">
        <f t="array" aca="1" ref="CI78" ca="1">IF(OR((CI$67&gt;=$AW$11:$AW$74)*(CI$48&lt;=$AX$11:$AX$74)&gt;0),$B78,"")</f>
        <v/>
      </c>
      <c r="CJ78" s="84" t="str">
        <f t="array" aca="1" ref="CJ78" ca="1">IF(OR((CJ$67&gt;=$AW$11:$AW$74)*(CJ$48&lt;=$AX$11:$AX$74)&gt;0),$B78,"")</f>
        <v/>
      </c>
      <c r="CK78" s="84" t="str">
        <f t="array" aca="1" ref="CK78" ca="1">IF(OR((CK$67&gt;=$AW$11:$AW$74)*(CK$48&lt;=$AX$11:$AX$74)&gt;0),$B78,"")</f>
        <v/>
      </c>
      <c r="CL78" s="84" t="str">
        <f t="array" aca="1" ref="CL78" ca="1">IF(OR((CL$67&gt;=$AW$11:$AW$74)*(CL$48&lt;=$AX$11:$AX$74)&gt;0),$B78,"")</f>
        <v/>
      </c>
      <c r="CM78" s="84" t="str">
        <f t="array" aca="1" ref="CM78" ca="1">IF(OR((CM$67&gt;=$AW$11:$AW$74)*(CM$48&lt;=$AX$11:$AX$74)&gt;0),$B78,"")</f>
        <v/>
      </c>
      <c r="CN78" s="84" t="str">
        <f t="array" aca="1" ref="CN78" ca="1">IF(OR((CN$67&gt;=$AW$11:$AW$74)*(CN$48&lt;=$AX$11:$AX$74)&gt;0),$B78,"")</f>
        <v/>
      </c>
      <c r="CO78" s="84" t="str">
        <f t="array" aca="1" ref="CO78" ca="1">IF(OR((CO$67&gt;=$AW$11:$AW$74)*(CO$48&lt;=$AX$11:$AX$74)&gt;0),$B78,"")</f>
        <v/>
      </c>
      <c r="CP78" s="84" t="str">
        <f t="array" aca="1" ref="CP78" ca="1">IF(OR((CP$67&gt;=$AW$11:$AW$74)*(CP$48&lt;=$AX$11:$AX$74)&gt;0),$B78,"")</f>
        <v/>
      </c>
      <c r="CQ78" s="84" t="str">
        <f t="array" aca="1" ref="CQ78" ca="1">IF(OR((CQ$67&gt;=$AW$11:$AW$74)*(CQ$48&lt;=$AX$11:$AX$74)&gt;0),$B78,"")</f>
        <v/>
      </c>
      <c r="CR78" s="84" t="str">
        <f t="array" aca="1" ref="CR78" ca="1">IF(OR((CR$67&gt;=$AW$11:$AW$74)*(CR$48&lt;=$AX$11:$AX$74)&gt;0),$B78,"")</f>
        <v/>
      </c>
      <c r="CS78" s="84" t="str">
        <f t="array" aca="1" ref="CS78" ca="1">IF(OR((CS$67&gt;=$AW$11:$AW$74)*(CS$48&lt;=$AX$11:$AX$74)&gt;0),$B78,"")</f>
        <v/>
      </c>
      <c r="CT78" s="84" t="str">
        <f t="array" aca="1" ref="CT78" ca="1">IF(OR((CT$67&gt;=$AW$11:$AW$74)*(CT$48&lt;=$AX$11:$AX$74)&gt;0),$B78,"")</f>
        <v/>
      </c>
      <c r="CU78" s="84" t="str">
        <f t="array" aca="1" ref="CU78" ca="1">IF(OR((CU$67&gt;=$AW$11:$AW$74)*(CU$48&lt;=$AX$11:$AX$74)&gt;0),$B78,"")</f>
        <v/>
      </c>
      <c r="CV78" s="84" t="str">
        <f t="array" aca="1" ref="CV78" ca="1">IF(OR((CV$67&gt;=$AW$11:$AW$74)*(CV$48&lt;=$AX$11:$AX$74)&gt;0),$B78,"")</f>
        <v/>
      </c>
      <c r="CW78" s="84" t="str">
        <f t="array" aca="1" ref="CW78" ca="1">IF(OR((CW$67&gt;=$AW$11:$AW$74)*(CW$48&lt;=$AX$11:$AX$74)&gt;0),$B78,"")</f>
        <v/>
      </c>
      <c r="CX78" s="84" t="str">
        <f t="array" aca="1" ref="CX78" ca="1">IF(OR((CX$67&gt;=$AW$11:$AW$74)*(CX$48&lt;=$AX$11:$AX$74)&gt;0),$B78,"")</f>
        <v/>
      </c>
      <c r="CY78" s="84" t="str">
        <f t="array" aca="1" ref="CY78" ca="1">IF(OR((CY$67&gt;=$AW$11:$AW$74)*(CY$48&lt;=$AX$11:$AX$74)&gt;0),$B78,"")</f>
        <v/>
      </c>
      <c r="CZ78" s="84" t="str">
        <f t="array" aca="1" ref="CZ78" ca="1">IF(OR((CZ$67&gt;=$AW$11:$AW$74)*(CZ$48&lt;=$AX$11:$AX$74)&gt;0),$B78,"")</f>
        <v/>
      </c>
      <c r="DA78" s="84" t="str">
        <f t="array" aca="1" ref="DA78" ca="1">IF(OR((DA$67&gt;=$AW$11:$AW$74)*(DA$48&lt;=$AX$11:$AX$74)&gt;0),$B78,"")</f>
        <v/>
      </c>
      <c r="DB78" s="84" t="str">
        <f t="array" aca="1" ref="DB78" ca="1">IF(OR((DB$67&gt;=$AW$11:$AW$74)*(DB$48&lt;=$AX$11:$AX$74)&gt;0),$B78,"")</f>
        <v/>
      </c>
      <c r="DC78" s="84" t="str">
        <f t="array" aca="1" ref="DC78" ca="1">IF(OR((DC$67&gt;=$AW$11:$AW$74)*(DC$48&lt;=$AX$11:$AX$74)&gt;0),$B78,"")</f>
        <v/>
      </c>
    </row>
    <row r="79" spans="1:107">
      <c r="A79" s="80" t="s">
        <v>183</v>
      </c>
      <c r="B79" s="128">
        <v>5</v>
      </c>
      <c r="C79" s="84" t="str">
        <f t="array" aca="1" ref="C79" ca="1">IF(OR((C$67&gt;=$AW$11:$AW$74)*(C$48&lt;=$AX$11:$AX$74)&gt;0),$B79,"")</f>
        <v/>
      </c>
      <c r="D79" s="84" t="str">
        <f t="array" aca="1" ref="D79" ca="1">IF(OR((D$67&gt;=$AW$11:$AW$74)*(D$48&lt;=$AX$11:$AX$74)&gt;0),$B79,"")</f>
        <v/>
      </c>
      <c r="E79" s="84" t="str">
        <f t="array" aca="1" ref="E79" ca="1">IF(OR((E$67&gt;=$AW$11:$AW$74)*(E$48&lt;=$AX$11:$AX$74)&gt;0),$B79,"")</f>
        <v/>
      </c>
      <c r="F79" s="84" t="str">
        <f t="array" aca="1" ref="F79" ca="1">IF(OR((F$67&gt;=$AW$11:$AW$74)*(F$48&lt;=$AX$11:$AX$74)&gt;0),$B79,"")</f>
        <v/>
      </c>
      <c r="G79" s="84" t="str">
        <f t="array" aca="1" ref="G79" ca="1">IF(OR((G$67&gt;=$AW$11:$AW$74)*(G$48&lt;=$AX$11:$AX$74)&gt;0),$B79,"")</f>
        <v/>
      </c>
      <c r="H79" s="84" t="str">
        <f t="array" aca="1" ref="H79" ca="1">IF(OR((H$67&gt;=$AW$11:$AW$74)*(H$48&lt;=$AX$11:$AX$74)&gt;0),$B79,"")</f>
        <v/>
      </c>
      <c r="I79" s="84" t="str">
        <f t="array" aca="1" ref="I79" ca="1">IF(OR((I$67&gt;=$AW$11:$AW$74)*(I$48&lt;=$AX$11:$AX$74)&gt;0),$B79,"")</f>
        <v/>
      </c>
      <c r="J79" s="84" t="str">
        <f t="array" aca="1" ref="J79" ca="1">IF(OR((J$67&gt;=$AW$11:$AW$74)*(J$48&lt;=$AX$11:$AX$74)&gt;0),$B79,"")</f>
        <v/>
      </c>
      <c r="K79" s="84" t="str">
        <f t="array" aca="1" ref="K79" ca="1">IF(OR((K$67&gt;=$AW$11:$AW$74)*(K$48&lt;=$AX$11:$AX$74)&gt;0),$B79,"")</f>
        <v/>
      </c>
      <c r="L79" s="84" t="str">
        <f t="array" aca="1" ref="L79" ca="1">IF(OR((L$67&gt;=$AW$11:$AW$74)*(L$48&lt;=$AX$11:$AX$74)&gt;0),$B79,"")</f>
        <v/>
      </c>
      <c r="M79" s="84" t="str">
        <f t="array" aca="1" ref="M79" ca="1">IF(OR((M$67&gt;=$AW$11:$AW$74)*(M$48&lt;=$AX$11:$AX$74)&gt;0),$B79,"")</f>
        <v/>
      </c>
      <c r="N79" s="84" t="str">
        <f t="array" aca="1" ref="N79" ca="1">IF(OR((N$67&gt;=$AW$11:$AW$74)*(N$48&lt;=$AX$11:$AX$74)&gt;0),$B79,"")</f>
        <v/>
      </c>
      <c r="O79" s="84" t="str">
        <f t="array" aca="1" ref="O79" ca="1">IF(OR((O$67&gt;=$AW$11:$AW$74)*(O$48&lt;=$AX$11:$AX$74)&gt;0),$B79,"")</f>
        <v/>
      </c>
      <c r="P79" s="84" t="str">
        <f t="array" aca="1" ref="P79" ca="1">IF(OR((P$67&gt;=$AW$11:$AW$74)*(P$48&lt;=$AX$11:$AX$74)&gt;0),$B79,"")</f>
        <v/>
      </c>
      <c r="Q79" s="84" t="str">
        <f t="array" aca="1" ref="Q79" ca="1">IF(OR((Q$67&gt;=$AW$11:$AW$74)*(Q$48&lt;=$AX$11:$AX$74)&gt;0),$B79,"")</f>
        <v/>
      </c>
      <c r="R79" s="84" t="str">
        <f t="array" aca="1" ref="R79" ca="1">IF(OR((R$67&gt;=$AW$11:$AW$74)*(R$48&lt;=$AX$11:$AX$74)&gt;0),$B79,"")</f>
        <v/>
      </c>
      <c r="S79" s="84" t="str">
        <f t="array" aca="1" ref="S79" ca="1">IF(OR((S$67&gt;=$AW$11:$AW$74)*(S$48&lt;=$AX$11:$AX$74)&gt;0),$B79,"")</f>
        <v/>
      </c>
      <c r="T79" s="84" t="str">
        <f t="array" aca="1" ref="T79" ca="1">IF(OR((T$67&gt;=$AW$11:$AW$74)*(T$48&lt;=$AX$11:$AX$74)&gt;0),$B79,"")</f>
        <v/>
      </c>
      <c r="U79" s="84" t="str">
        <f t="array" aca="1" ref="U79" ca="1">IF(OR((U$67&gt;=$AW$11:$AW$74)*(U$48&lt;=$AX$11:$AX$74)&gt;0),$B79,"")</f>
        <v/>
      </c>
      <c r="V79" s="84" t="str">
        <f t="array" aca="1" ref="V79" ca="1">IF(OR((V$67&gt;=$AW$11:$AW$74)*(V$48&lt;=$AX$11:$AX$74)&gt;0),$B79,"")</f>
        <v/>
      </c>
      <c r="W79" s="84" t="str">
        <f t="array" aca="1" ref="W79" ca="1">IF(OR((W$67&gt;=$AW$11:$AW$74)*(W$48&lt;=$AX$11:$AX$74)&gt;0),$B79,"")</f>
        <v/>
      </c>
      <c r="X79" s="84" t="str">
        <f t="array" aca="1" ref="X79" ca="1">IF(OR((X$67&gt;=$AW$11:$AW$74)*(X$48&lt;=$AX$11:$AX$74)&gt;0),$B79,"")</f>
        <v/>
      </c>
      <c r="Y79" s="84" t="str">
        <f t="array" aca="1" ref="Y79" ca="1">IF(OR((Y$67&gt;=$AW$11:$AW$74)*(Y$48&lt;=$AX$11:$AX$74)&gt;0),$B79,"")</f>
        <v/>
      </c>
      <c r="Z79" s="84" t="str">
        <f t="array" aca="1" ref="Z79" ca="1">IF(OR((Z$67&gt;=$AW$11:$AW$74)*(Z$48&lt;=$AX$11:$AX$74)&gt;0),$B79,"")</f>
        <v/>
      </c>
      <c r="AA79" s="84" t="str">
        <f t="array" aca="1" ref="AA79" ca="1">IF(OR((AA$67&gt;=$AW$11:$AW$74)*(AA$48&lt;=$AX$11:$AX$74)&gt;0),$B79,"")</f>
        <v/>
      </c>
      <c r="AB79" s="84" t="str">
        <f t="array" aca="1" ref="AB79" ca="1">IF(OR((AB$67&gt;=$AW$11:$AW$74)*(AB$48&lt;=$AX$11:$AX$74)&gt;0),$B79,"")</f>
        <v/>
      </c>
      <c r="AC79" s="84" t="str">
        <f t="array" aca="1" ref="AC79" ca="1">IF(OR((AC$67&gt;=$AW$11:$AW$74)*(AC$48&lt;=$AX$11:$AX$74)&gt;0),$B79,"")</f>
        <v/>
      </c>
      <c r="AD79" s="84" t="str">
        <f t="array" aca="1" ref="AD79" ca="1">IF(OR((AD$67&gt;=$AW$11:$AW$74)*(AD$48&lt;=$AX$11:$AX$74)&gt;0),$B79,"")</f>
        <v/>
      </c>
      <c r="AE79" s="84" t="str">
        <f t="array" aca="1" ref="AE79" ca="1">IF(OR((AE$67&gt;=$AW$11:$AW$74)*(AE$48&lt;=$AX$11:$AX$74)&gt;0),$B79,"")</f>
        <v/>
      </c>
      <c r="AF79" s="84" t="str">
        <f t="array" aca="1" ref="AF79" ca="1">IF(OR((AF$67&gt;=$AW$11:$AW$74)*(AF$48&lt;=$AX$11:$AX$74)&gt;0),$B79,"")</f>
        <v/>
      </c>
      <c r="AG79" s="84" t="str">
        <f t="array" aca="1" ref="AG79" ca="1">IF(OR((AG$67&gt;=$AW$11:$AW$74)*(AG$48&lt;=$AX$11:$AX$74)&gt;0),$B79,"")</f>
        <v/>
      </c>
      <c r="AH79" s="84" t="str">
        <f t="array" aca="1" ref="AH79" ca="1">IF(OR((AH$67&gt;=$AW$11:$AW$74)*(AH$48&lt;=$AX$11:$AX$74)&gt;0),$B79,"")</f>
        <v/>
      </c>
      <c r="AI79" s="84" t="str">
        <f t="array" aca="1" ref="AI79" ca="1">IF(OR((AI$67&gt;=$AW$11:$AW$74)*(AI$48&lt;=$AX$11:$AX$74)&gt;0),$B79,"")</f>
        <v/>
      </c>
      <c r="AK79" s="80" t="s">
        <v>183</v>
      </c>
      <c r="AL79" s="134">
        <v>5</v>
      </c>
      <c r="AM79" s="84" t="str">
        <f t="array" aca="1" ref="AM79" ca="1">IF(OR((AM$67&gt;=$AW$11:$AW$74)*(AM$48&lt;=$AX$11:$AX$74)&gt;0),$B79,"")</f>
        <v/>
      </c>
      <c r="AN79" s="84" t="str">
        <f t="array" aca="1" ref="AN79" ca="1">IF(OR((AN$67&gt;=$AW$11:$AW$74)*(AN$48&lt;=$AX$11:$AX$74)&gt;0),$B79,"")</f>
        <v/>
      </c>
      <c r="AO79" s="84" t="str">
        <f t="array" aca="1" ref="AO79" ca="1">IF(OR((AO$67&gt;=$AW$11:$AW$74)*(AO$48&lt;=$AX$11:$AX$74)&gt;0),$B79,"")</f>
        <v/>
      </c>
      <c r="AP79" s="84" t="str">
        <f t="array" aca="1" ref="AP79" ca="1">IF(OR((AP$67&gt;=$AW$11:$AW$74)*(AP$48&lt;=$AX$11:$AX$74)&gt;0),$B79,"")</f>
        <v/>
      </c>
      <c r="AQ79" s="84" t="str">
        <f t="array" aca="1" ref="AQ79" ca="1">IF(OR((AQ$67&gt;=$AW$11:$AW$74)*(AQ$48&lt;=$AX$11:$AX$74)&gt;0),$B79,"")</f>
        <v/>
      </c>
      <c r="AR79" s="84" t="str">
        <f t="array" aca="1" ref="AR79" ca="1">IF(OR((AR$67&gt;=$AW$11:$AW$74)*(AR$48&lt;=$AX$11:$AX$74)&gt;0),$B79,"")</f>
        <v/>
      </c>
      <c r="AS79" s="84" t="str">
        <f t="array" aca="1" ref="AS79" ca="1">IF(OR((AS$67&gt;=$AW$11:$AW$74)*(AS$48&lt;=$AX$11:$AX$74)&gt;0),$B79,"")</f>
        <v/>
      </c>
      <c r="AT79" s="84" t="str">
        <f t="array" aca="1" ref="AT79" ca="1">IF(OR((AT$67&gt;=$AW$11:$AW$74)*(AT$48&lt;=$AX$11:$AX$74)&gt;0),$B79,"")</f>
        <v/>
      </c>
      <c r="AU79" s="84" t="str">
        <f t="array" aca="1" ref="AU79" ca="1">IF(OR((AU$67&gt;=$AW$11:$AW$74)*(AU$48&lt;=$AX$11:$AX$74)&gt;0),$B79,"")</f>
        <v/>
      </c>
      <c r="AV79" s="84" t="str">
        <f t="array" aca="1" ref="AV79" ca="1">IF(OR((AV$67&gt;=$AW$11:$AW$74)*(AV$48&lt;=$AX$11:$AX$74)&gt;0),$B79,"")</f>
        <v/>
      </c>
      <c r="AW79" s="84" t="str">
        <f t="array" aca="1" ref="AW79" ca="1">IF(OR((AW$67&gt;=$AW$11:$AW$74)*(AW$48&lt;=$AX$11:$AX$74)&gt;0),$B79,"")</f>
        <v/>
      </c>
      <c r="AX79" s="84" t="str">
        <f t="array" aca="1" ref="AX79" ca="1">IF(OR((AX$67&gt;=$AW$11:$AW$74)*(AX$48&lt;=$AX$11:$AX$74)&gt;0),$B79,"")</f>
        <v/>
      </c>
      <c r="AY79" s="84" t="str">
        <f t="array" aca="1" ref="AY79" ca="1">IF(OR((AY$67&gt;=$AW$11:$AW$74)*(AY$48&lt;=$AX$11:$AX$74)&gt;0),$B79,"")</f>
        <v/>
      </c>
      <c r="AZ79" s="84" t="str">
        <f t="array" aca="1" ref="AZ79" ca="1">IF(OR((AZ$67&gt;=$AW$11:$AW$74)*(AZ$48&lt;=$AX$11:$AX$74)&gt;0),$B79,"")</f>
        <v/>
      </c>
      <c r="BA79" s="84" t="str">
        <f t="array" aca="1" ref="BA79" ca="1">IF(OR((BA$67&gt;=$AW$11:$AW$74)*(BA$48&lt;=$AX$11:$AX$74)&gt;0),$B79,"")</f>
        <v/>
      </c>
      <c r="BB79" s="84" t="str">
        <f t="array" aca="1" ref="BB79" ca="1">IF(OR((BB$67&gt;=$AW$11:$AW$74)*(BB$48&lt;=$AX$11:$AX$74)&gt;0),$B79,"")</f>
        <v/>
      </c>
      <c r="BC79" s="84" t="str">
        <f t="array" aca="1" ref="BC79" ca="1">IF(OR((BC$67&gt;=$AW$11:$AW$74)*(BC$48&lt;=$AX$11:$AX$74)&gt;0),$B79,"")</f>
        <v/>
      </c>
      <c r="BD79" s="84" t="str">
        <f t="array" aca="1" ref="BD79" ca="1">IF(OR((BD$67&gt;=$AW$11:$AW$74)*(BD$48&lt;=$AX$11:$AX$74)&gt;0),$B79,"")</f>
        <v/>
      </c>
      <c r="BE79" s="84" t="str">
        <f t="array" aca="1" ref="BE79" ca="1">IF(OR((BE$67&gt;=$AW$11:$AW$74)*(BE$48&lt;=$AX$11:$AX$74)&gt;0),$B79,"")</f>
        <v/>
      </c>
      <c r="BF79" s="84" t="str">
        <f t="array" aca="1" ref="BF79" ca="1">IF(OR((BF$67&gt;=$AW$11:$AW$74)*(BF$48&lt;=$AX$11:$AX$74)&gt;0),$B79,"")</f>
        <v/>
      </c>
      <c r="BG79" s="84" t="str">
        <f t="array" aca="1" ref="BG79" ca="1">IF(OR((BG$67&gt;=$AW$11:$AW$74)*(BG$48&lt;=$AX$11:$AX$74)&gt;0),$B79,"")</f>
        <v/>
      </c>
      <c r="BH79" s="84" t="str">
        <f t="array" aca="1" ref="BH79" ca="1">IF(OR((BH$67&gt;=$AW$11:$AW$74)*(BH$48&lt;=$AX$11:$AX$74)&gt;0),$B79,"")</f>
        <v/>
      </c>
      <c r="BI79" s="84" t="str">
        <f t="array" aca="1" ref="BI79" ca="1">IF(OR((BI$67&gt;=$AW$11:$AW$74)*(BI$48&lt;=$AX$11:$AX$74)&gt;0),$B79,"")</f>
        <v/>
      </c>
      <c r="BJ79" s="84" t="str">
        <f t="array" aca="1" ref="BJ79" ca="1">IF(OR((BJ$67&gt;=$AW$11:$AW$74)*(BJ$48&lt;=$AX$11:$AX$74)&gt;0),$B79,"")</f>
        <v/>
      </c>
      <c r="BK79" s="84" t="str">
        <f t="array" aca="1" ref="BK79" ca="1">IF(OR((BK$67&gt;=$AW$11:$AW$74)*(BK$48&lt;=$AX$11:$AX$74)&gt;0),$B79,"")</f>
        <v/>
      </c>
      <c r="BL79" s="84" t="str">
        <f t="array" aca="1" ref="BL79" ca="1">IF(OR((BL$67&gt;=$AW$11:$AW$74)*(BL$48&lt;=$AX$11:$AX$74)&gt;0),$B79,"")</f>
        <v/>
      </c>
      <c r="BM79" s="84" t="str">
        <f t="array" aca="1" ref="BM79" ca="1">IF(OR((BM$67&gt;=$AW$11:$AW$74)*(BM$48&lt;=$AX$11:$AX$74)&gt;0),$B79,"")</f>
        <v/>
      </c>
      <c r="BN79" s="84" t="str">
        <f t="array" aca="1" ref="BN79" ca="1">IF(OR((BN$67&gt;=$AW$11:$AW$74)*(BN$48&lt;=$AX$11:$AX$74)&gt;0),$B79,"")</f>
        <v/>
      </c>
      <c r="BO79" s="84" t="str">
        <f t="array" aca="1" ref="BO79" ca="1">IF(OR((BO$67&gt;=$AW$11:$AW$74)*(BO$48&lt;=$AX$11:$AX$74)&gt;0),$B79,"")</f>
        <v/>
      </c>
      <c r="BP79" s="84" t="str">
        <f t="array" aca="1" ref="BP79" ca="1">IF(OR((BP$67&gt;=$AW$11:$AW$74)*(BP$48&lt;=$AX$11:$AX$74)&gt;0),$B79,"")</f>
        <v/>
      </c>
      <c r="BQ79" s="84" t="str">
        <f t="array" aca="1" ref="BQ79" ca="1">IF(OR((BQ$67&gt;=$AW$11:$AW$74)*(BQ$48&lt;=$AX$11:$AX$74)&gt;0),$B79,"")</f>
        <v/>
      </c>
      <c r="BR79" s="84" t="str">
        <f t="array" aca="1" ref="BR79" ca="1">IF(OR((BR$67&gt;=$AW$11:$AW$74)*(BR$48&lt;=$AX$11:$AX$74)&gt;0),$B79,"")</f>
        <v/>
      </c>
      <c r="BS79" s="84" t="str">
        <f t="array" aca="1" ref="BS79" ca="1">IF(OR((BS$67&gt;=$AW$11:$AW$74)*(BS$48&lt;=$AX$11:$AX$74)&gt;0),$B79,"")</f>
        <v/>
      </c>
      <c r="BU79" s="80" t="s">
        <v>183</v>
      </c>
      <c r="BV79" s="134">
        <v>5</v>
      </c>
      <c r="BW79" s="84" t="str">
        <f t="array" aca="1" ref="BW79" ca="1">IF(OR((BW$67&gt;=$AW$11:$AW$74)*(BW$48&lt;=$AX$11:$AX$74)&gt;0),$B79,"")</f>
        <v/>
      </c>
      <c r="BX79" s="84" t="str">
        <f t="array" aca="1" ref="BX79" ca="1">IF(OR((BX$67&gt;=$AW$11:$AW$74)*(BX$48&lt;=$AX$11:$AX$74)&gt;0),$B79,"")</f>
        <v/>
      </c>
      <c r="BY79" s="84" t="str">
        <f t="array" aca="1" ref="BY79" ca="1">IF(OR((BY$67&gt;=$AW$11:$AW$74)*(BY$48&lt;=$AX$11:$AX$74)&gt;0),$B79,"")</f>
        <v/>
      </c>
      <c r="BZ79" s="84" t="str">
        <f t="array" aca="1" ref="BZ79" ca="1">IF(OR((BZ$67&gt;=$AW$11:$AW$74)*(BZ$48&lt;=$AX$11:$AX$74)&gt;0),$B79,"")</f>
        <v/>
      </c>
      <c r="CA79" s="84" t="str">
        <f t="array" aca="1" ref="CA79" ca="1">IF(OR((CA$67&gt;=$AW$11:$AW$74)*(CA$48&lt;=$AX$11:$AX$74)&gt;0),$B79,"")</f>
        <v/>
      </c>
      <c r="CB79" s="84" t="str">
        <f t="array" aca="1" ref="CB79" ca="1">IF(OR((CB$67&gt;=$AW$11:$AW$74)*(CB$48&lt;=$AX$11:$AX$74)&gt;0),$B79,"")</f>
        <v/>
      </c>
      <c r="CC79" s="84" t="str">
        <f t="array" aca="1" ref="CC79" ca="1">IF(OR((CC$67&gt;=$AW$11:$AW$74)*(CC$48&lt;=$AX$11:$AX$74)&gt;0),$B79,"")</f>
        <v/>
      </c>
      <c r="CD79" s="84" t="str">
        <f t="array" aca="1" ref="CD79" ca="1">IF(OR((CD$67&gt;=$AW$11:$AW$74)*(CD$48&lt;=$AX$11:$AX$74)&gt;0),$B79,"")</f>
        <v/>
      </c>
      <c r="CE79" s="84" t="str">
        <f t="array" aca="1" ref="CE79" ca="1">IF(OR((CE$67&gt;=$AW$11:$AW$74)*(CE$48&lt;=$AX$11:$AX$74)&gt;0),$B79,"")</f>
        <v/>
      </c>
      <c r="CF79" s="84" t="str">
        <f t="array" aca="1" ref="CF79" ca="1">IF(OR((CF$67&gt;=$AW$11:$AW$74)*(CF$48&lt;=$AX$11:$AX$74)&gt;0),$B79,"")</f>
        <v/>
      </c>
      <c r="CG79" s="84" t="str">
        <f t="array" aca="1" ref="CG79" ca="1">IF(OR((CG$67&gt;=$AW$11:$AW$74)*(CG$48&lt;=$AX$11:$AX$74)&gt;0),$B79,"")</f>
        <v/>
      </c>
      <c r="CH79" s="84" t="str">
        <f t="array" aca="1" ref="CH79" ca="1">IF(OR((CH$67&gt;=$AW$11:$AW$74)*(CH$48&lt;=$AX$11:$AX$74)&gt;0),$B79,"")</f>
        <v/>
      </c>
      <c r="CI79" s="84" t="str">
        <f t="array" aca="1" ref="CI79" ca="1">IF(OR((CI$67&gt;=$AW$11:$AW$74)*(CI$48&lt;=$AX$11:$AX$74)&gt;0),$B79,"")</f>
        <v/>
      </c>
      <c r="CJ79" s="84" t="str">
        <f t="array" aca="1" ref="CJ79" ca="1">IF(OR((CJ$67&gt;=$AW$11:$AW$74)*(CJ$48&lt;=$AX$11:$AX$74)&gt;0),$B79,"")</f>
        <v/>
      </c>
      <c r="CK79" s="84" t="str">
        <f t="array" aca="1" ref="CK79" ca="1">IF(OR((CK$67&gt;=$AW$11:$AW$74)*(CK$48&lt;=$AX$11:$AX$74)&gt;0),$B79,"")</f>
        <v/>
      </c>
      <c r="CL79" s="84" t="str">
        <f t="array" aca="1" ref="CL79" ca="1">IF(OR((CL$67&gt;=$AW$11:$AW$74)*(CL$48&lt;=$AX$11:$AX$74)&gt;0),$B79,"")</f>
        <v/>
      </c>
      <c r="CM79" s="84" t="str">
        <f t="array" aca="1" ref="CM79" ca="1">IF(OR((CM$67&gt;=$AW$11:$AW$74)*(CM$48&lt;=$AX$11:$AX$74)&gt;0),$B79,"")</f>
        <v/>
      </c>
      <c r="CN79" s="84" t="str">
        <f t="array" aca="1" ref="CN79" ca="1">IF(OR((CN$67&gt;=$AW$11:$AW$74)*(CN$48&lt;=$AX$11:$AX$74)&gt;0),$B79,"")</f>
        <v/>
      </c>
      <c r="CO79" s="84" t="str">
        <f t="array" aca="1" ref="CO79" ca="1">IF(OR((CO$67&gt;=$AW$11:$AW$74)*(CO$48&lt;=$AX$11:$AX$74)&gt;0),$B79,"")</f>
        <v/>
      </c>
      <c r="CP79" s="84" t="str">
        <f t="array" aca="1" ref="CP79" ca="1">IF(OR((CP$67&gt;=$AW$11:$AW$74)*(CP$48&lt;=$AX$11:$AX$74)&gt;0),$B79,"")</f>
        <v/>
      </c>
      <c r="CQ79" s="84" t="str">
        <f t="array" aca="1" ref="CQ79" ca="1">IF(OR((CQ$67&gt;=$AW$11:$AW$74)*(CQ$48&lt;=$AX$11:$AX$74)&gt;0),$B79,"")</f>
        <v/>
      </c>
      <c r="CR79" s="84" t="str">
        <f t="array" aca="1" ref="CR79" ca="1">IF(OR((CR$67&gt;=$AW$11:$AW$74)*(CR$48&lt;=$AX$11:$AX$74)&gt;0),$B79,"")</f>
        <v/>
      </c>
      <c r="CS79" s="84" t="str">
        <f t="array" aca="1" ref="CS79" ca="1">IF(OR((CS$67&gt;=$AW$11:$AW$74)*(CS$48&lt;=$AX$11:$AX$74)&gt;0),$B79,"")</f>
        <v/>
      </c>
      <c r="CT79" s="84" t="str">
        <f t="array" aca="1" ref="CT79" ca="1">IF(OR((CT$67&gt;=$AW$11:$AW$74)*(CT$48&lt;=$AX$11:$AX$74)&gt;0),$B79,"")</f>
        <v/>
      </c>
      <c r="CU79" s="84" t="str">
        <f t="array" aca="1" ref="CU79" ca="1">IF(OR((CU$67&gt;=$AW$11:$AW$74)*(CU$48&lt;=$AX$11:$AX$74)&gt;0),$B79,"")</f>
        <v/>
      </c>
      <c r="CV79" s="84" t="str">
        <f t="array" aca="1" ref="CV79" ca="1">IF(OR((CV$67&gt;=$AW$11:$AW$74)*(CV$48&lt;=$AX$11:$AX$74)&gt;0),$B79,"")</f>
        <v/>
      </c>
      <c r="CW79" s="84" t="str">
        <f t="array" aca="1" ref="CW79" ca="1">IF(OR((CW$67&gt;=$AW$11:$AW$74)*(CW$48&lt;=$AX$11:$AX$74)&gt;0),$B79,"")</f>
        <v/>
      </c>
      <c r="CX79" s="84" t="str">
        <f t="array" aca="1" ref="CX79" ca="1">IF(OR((CX$67&gt;=$AW$11:$AW$74)*(CX$48&lt;=$AX$11:$AX$74)&gt;0),$B79,"")</f>
        <v/>
      </c>
      <c r="CY79" s="84" t="str">
        <f t="array" aca="1" ref="CY79" ca="1">IF(OR((CY$67&gt;=$AW$11:$AW$74)*(CY$48&lt;=$AX$11:$AX$74)&gt;0),$B79,"")</f>
        <v/>
      </c>
      <c r="CZ79" s="84" t="str">
        <f t="array" aca="1" ref="CZ79" ca="1">IF(OR((CZ$67&gt;=$AW$11:$AW$74)*(CZ$48&lt;=$AX$11:$AX$74)&gt;0),$B79,"")</f>
        <v/>
      </c>
      <c r="DA79" s="84" t="str">
        <f t="array" aca="1" ref="DA79" ca="1">IF(OR((DA$67&gt;=$AW$11:$AW$74)*(DA$48&lt;=$AX$11:$AX$74)&gt;0),$B79,"")</f>
        <v/>
      </c>
      <c r="DB79" s="84" t="str">
        <f t="array" aca="1" ref="DB79" ca="1">IF(OR((DB$67&gt;=$AW$11:$AW$74)*(DB$48&lt;=$AX$11:$AX$74)&gt;0),$B79,"")</f>
        <v/>
      </c>
      <c r="DC79" s="84" t="str">
        <f t="array" aca="1" ref="DC79" ca="1">IF(OR((DC$67&gt;=$AW$11:$AW$74)*(DC$48&lt;=$AX$11:$AX$74)&gt;0),$B79,"")</f>
        <v/>
      </c>
    </row>
    <row r="80" spans="1:107" ht="16.5" customHeight="1">
      <c r="A80" s="80" t="s">
        <v>184</v>
      </c>
      <c r="B80" s="128">
        <v>1</v>
      </c>
      <c r="C80" s="84" t="str">
        <f t="array" aca="1" ref="C80" ca="1">IF(OR((C$67&gt;=$AW$11:$AW$74)*(C$48&lt;=$AX$11:$AX$74)&gt;0),$B80,"")</f>
        <v/>
      </c>
      <c r="D80" s="84" t="str">
        <f t="array" aca="1" ref="D80" ca="1">IF(OR((D$67&gt;=$AW$11:$AW$74)*(D$48&lt;=$AX$11:$AX$74)&gt;0),$B80,"")</f>
        <v/>
      </c>
      <c r="E80" s="84" t="str">
        <f t="array" aca="1" ref="E80" ca="1">IF(OR((E$67&gt;=$AW$11:$AW$74)*(E$48&lt;=$AX$11:$AX$74)&gt;0),$B80,"")</f>
        <v/>
      </c>
      <c r="F80" s="84" t="str">
        <f t="array" aca="1" ref="F80" ca="1">IF(OR((F$67&gt;=$AW$11:$AW$74)*(F$48&lt;=$AX$11:$AX$74)&gt;0),$B80,"")</f>
        <v/>
      </c>
      <c r="G80" s="84" t="str">
        <f t="array" aca="1" ref="G80" ca="1">IF(OR((G$67&gt;=$AW$11:$AW$74)*(G$48&lt;=$AX$11:$AX$74)&gt;0),$B80,"")</f>
        <v/>
      </c>
      <c r="H80" s="84" t="str">
        <f t="array" aca="1" ref="H80" ca="1">IF(OR((H$67&gt;=$AW$11:$AW$74)*(H$48&lt;=$AX$11:$AX$74)&gt;0),$B80,"")</f>
        <v/>
      </c>
      <c r="I80" s="84" t="str">
        <f t="array" aca="1" ref="I80" ca="1">IF(OR((I$67&gt;=$AW$11:$AW$74)*(I$48&lt;=$AX$11:$AX$74)&gt;0),$B80,"")</f>
        <v/>
      </c>
      <c r="J80" s="84" t="str">
        <f t="array" aca="1" ref="J80" ca="1">IF(OR((J$67&gt;=$AW$11:$AW$74)*(J$48&lt;=$AX$11:$AX$74)&gt;0),$B80,"")</f>
        <v/>
      </c>
      <c r="K80" s="84" t="str">
        <f t="array" aca="1" ref="K80" ca="1">IF(OR((K$67&gt;=$AW$11:$AW$74)*(K$48&lt;=$AX$11:$AX$74)&gt;0),$B80,"")</f>
        <v/>
      </c>
      <c r="L80" s="84" t="str">
        <f t="array" aca="1" ref="L80" ca="1">IF(OR((L$67&gt;=$AW$11:$AW$74)*(L$48&lt;=$AX$11:$AX$74)&gt;0),$B80,"")</f>
        <v/>
      </c>
      <c r="M80" s="84" t="str">
        <f t="array" aca="1" ref="M80" ca="1">IF(OR((M$67&gt;=$AW$11:$AW$74)*(M$48&lt;=$AX$11:$AX$74)&gt;0),$B80,"")</f>
        <v/>
      </c>
      <c r="N80" s="84" t="str">
        <f t="array" aca="1" ref="N80" ca="1">IF(OR((N$67&gt;=$AW$11:$AW$74)*(N$48&lt;=$AX$11:$AX$74)&gt;0),$B80,"")</f>
        <v/>
      </c>
      <c r="O80" s="84" t="str">
        <f t="array" aca="1" ref="O80" ca="1">IF(OR((O$67&gt;=$AW$11:$AW$74)*(O$48&lt;=$AX$11:$AX$74)&gt;0),$B80,"")</f>
        <v/>
      </c>
      <c r="P80" s="84" t="str">
        <f t="array" aca="1" ref="P80" ca="1">IF(OR((P$67&gt;=$AW$11:$AW$74)*(P$48&lt;=$AX$11:$AX$74)&gt;0),$B80,"")</f>
        <v/>
      </c>
      <c r="Q80" s="84" t="str">
        <f t="array" aca="1" ref="Q80" ca="1">IF(OR((Q$67&gt;=$AW$11:$AW$74)*(Q$48&lt;=$AX$11:$AX$74)&gt;0),$B80,"")</f>
        <v/>
      </c>
      <c r="R80" s="84" t="str">
        <f t="array" aca="1" ref="R80" ca="1">IF(OR((R$67&gt;=$AW$11:$AW$74)*(R$48&lt;=$AX$11:$AX$74)&gt;0),$B80,"")</f>
        <v/>
      </c>
      <c r="S80" s="84" t="str">
        <f t="array" aca="1" ref="S80" ca="1">IF(OR((S$67&gt;=$AW$11:$AW$74)*(S$48&lt;=$AX$11:$AX$74)&gt;0),$B80,"")</f>
        <v/>
      </c>
      <c r="T80" s="84" t="str">
        <f t="array" aca="1" ref="T80" ca="1">IF(OR((T$67&gt;=$AW$11:$AW$74)*(T$48&lt;=$AX$11:$AX$74)&gt;0),$B80,"")</f>
        <v/>
      </c>
      <c r="U80" s="84" t="str">
        <f t="array" aca="1" ref="U80" ca="1">IF(OR((U$67&gt;=$AW$11:$AW$74)*(U$48&lt;=$AX$11:$AX$74)&gt;0),$B80,"")</f>
        <v/>
      </c>
      <c r="V80" s="84" t="str">
        <f t="array" aca="1" ref="V80" ca="1">IF(OR((V$67&gt;=$AW$11:$AW$74)*(V$48&lt;=$AX$11:$AX$74)&gt;0),$B80,"")</f>
        <v/>
      </c>
      <c r="W80" s="84" t="str">
        <f t="array" aca="1" ref="W80" ca="1">IF(OR((W$67&gt;=$AW$11:$AW$74)*(W$48&lt;=$AX$11:$AX$74)&gt;0),$B80,"")</f>
        <v/>
      </c>
      <c r="X80" s="84" t="str">
        <f t="array" aca="1" ref="X80" ca="1">IF(OR((X$67&gt;=$AW$11:$AW$74)*(X$48&lt;=$AX$11:$AX$74)&gt;0),$B80,"")</f>
        <v/>
      </c>
      <c r="Y80" s="84" t="str">
        <f t="array" aca="1" ref="Y80" ca="1">IF(OR((Y$67&gt;=$AW$11:$AW$74)*(Y$48&lt;=$AX$11:$AX$74)&gt;0),$B80,"")</f>
        <v/>
      </c>
      <c r="Z80" s="84" t="str">
        <f t="array" aca="1" ref="Z80" ca="1">IF(OR((Z$67&gt;=$AW$11:$AW$74)*(Z$48&lt;=$AX$11:$AX$74)&gt;0),$B80,"")</f>
        <v/>
      </c>
      <c r="AA80" s="84" t="str">
        <f t="array" aca="1" ref="AA80" ca="1">IF(OR((AA$67&gt;=$AW$11:$AW$74)*(AA$48&lt;=$AX$11:$AX$74)&gt;0),$B80,"")</f>
        <v/>
      </c>
      <c r="AB80" s="84" t="str">
        <f t="array" aca="1" ref="AB80" ca="1">IF(OR((AB$67&gt;=$AW$11:$AW$74)*(AB$48&lt;=$AX$11:$AX$74)&gt;0),$B80,"")</f>
        <v/>
      </c>
      <c r="AC80" s="84" t="str">
        <f t="array" aca="1" ref="AC80" ca="1">IF(OR((AC$67&gt;=$AW$11:$AW$74)*(AC$48&lt;=$AX$11:$AX$74)&gt;0),$B80,"")</f>
        <v/>
      </c>
      <c r="AD80" s="84" t="str">
        <f t="array" aca="1" ref="AD80" ca="1">IF(OR((AD$67&gt;=$AW$11:$AW$74)*(AD$48&lt;=$AX$11:$AX$74)&gt;0),$B80,"")</f>
        <v/>
      </c>
      <c r="AE80" s="84" t="str">
        <f t="array" aca="1" ref="AE80" ca="1">IF(OR((AE$67&gt;=$AW$11:$AW$74)*(AE$48&lt;=$AX$11:$AX$74)&gt;0),$B80,"")</f>
        <v/>
      </c>
      <c r="AF80" s="84" t="str">
        <f t="array" aca="1" ref="AF80" ca="1">IF(OR((AF$67&gt;=$AW$11:$AW$74)*(AF$48&lt;=$AX$11:$AX$74)&gt;0),$B80,"")</f>
        <v/>
      </c>
      <c r="AG80" s="84" t="str">
        <f t="array" aca="1" ref="AG80" ca="1">IF(OR((AG$67&gt;=$AW$11:$AW$74)*(AG$48&lt;=$AX$11:$AX$74)&gt;0),$B80,"")</f>
        <v/>
      </c>
      <c r="AH80" s="84" t="str">
        <f t="array" aca="1" ref="AH80" ca="1">IF(OR((AH$67&gt;=$AW$11:$AW$74)*(AH$48&lt;=$AX$11:$AX$74)&gt;0),$B80,"")</f>
        <v/>
      </c>
      <c r="AI80" s="84" t="str">
        <f t="array" aca="1" ref="AI80" ca="1">IF(OR((AI$67&gt;=$AW$11:$AW$74)*(AI$48&lt;=$AX$11:$AX$74)&gt;0),$B80,"")</f>
        <v/>
      </c>
      <c r="AK80" s="80" t="s">
        <v>184</v>
      </c>
      <c r="AL80" s="134">
        <v>1</v>
      </c>
      <c r="AM80" s="84" t="str">
        <f t="array" aca="1" ref="AM80" ca="1">IF(OR((AM$67&gt;=$AW$11:$AW$74)*(AM$48&lt;=$AX$11:$AX$74)&gt;0),$B80,"")</f>
        <v/>
      </c>
      <c r="AN80" s="84" t="str">
        <f t="array" aca="1" ref="AN80" ca="1">IF(OR((AN$67&gt;=$AW$11:$AW$74)*(AN$48&lt;=$AX$11:$AX$74)&gt;0),$B80,"")</f>
        <v/>
      </c>
      <c r="AO80" s="84" t="str">
        <f t="array" aca="1" ref="AO80" ca="1">IF(OR((AO$67&gt;=$AW$11:$AW$74)*(AO$48&lt;=$AX$11:$AX$74)&gt;0),$B80,"")</f>
        <v/>
      </c>
      <c r="AP80" s="84" t="str">
        <f t="array" aca="1" ref="AP80" ca="1">IF(OR((AP$67&gt;=$AW$11:$AW$74)*(AP$48&lt;=$AX$11:$AX$74)&gt;0),$B80,"")</f>
        <v/>
      </c>
      <c r="AQ80" s="84" t="str">
        <f t="array" aca="1" ref="AQ80" ca="1">IF(OR((AQ$67&gt;=$AW$11:$AW$74)*(AQ$48&lt;=$AX$11:$AX$74)&gt;0),$B80,"")</f>
        <v/>
      </c>
      <c r="AR80" s="84" t="str">
        <f t="array" aca="1" ref="AR80" ca="1">IF(OR((AR$67&gt;=$AW$11:$AW$74)*(AR$48&lt;=$AX$11:$AX$74)&gt;0),$B80,"")</f>
        <v/>
      </c>
      <c r="AS80" s="84" t="str">
        <f t="array" aca="1" ref="AS80" ca="1">IF(OR((AS$67&gt;=$AW$11:$AW$74)*(AS$48&lt;=$AX$11:$AX$74)&gt;0),$B80,"")</f>
        <v/>
      </c>
      <c r="AT80" s="84" t="str">
        <f t="array" aca="1" ref="AT80" ca="1">IF(OR((AT$67&gt;=$AW$11:$AW$74)*(AT$48&lt;=$AX$11:$AX$74)&gt;0),$B80,"")</f>
        <v/>
      </c>
      <c r="AU80" s="84" t="str">
        <f t="array" aca="1" ref="AU80" ca="1">IF(OR((AU$67&gt;=$AW$11:$AW$74)*(AU$48&lt;=$AX$11:$AX$74)&gt;0),$B80,"")</f>
        <v/>
      </c>
      <c r="AV80" s="84" t="str">
        <f t="array" aca="1" ref="AV80" ca="1">IF(OR((AV$67&gt;=$AW$11:$AW$74)*(AV$48&lt;=$AX$11:$AX$74)&gt;0),$B80,"")</f>
        <v/>
      </c>
      <c r="AW80" s="84" t="str">
        <f t="array" aca="1" ref="AW80" ca="1">IF(OR((AW$67&gt;=$AW$11:$AW$74)*(AW$48&lt;=$AX$11:$AX$74)&gt;0),$B80,"")</f>
        <v/>
      </c>
      <c r="AX80" s="84" t="str">
        <f t="array" aca="1" ref="AX80" ca="1">IF(OR((AX$67&gt;=$AW$11:$AW$74)*(AX$48&lt;=$AX$11:$AX$74)&gt;0),$B80,"")</f>
        <v/>
      </c>
      <c r="AY80" s="84" t="str">
        <f t="array" aca="1" ref="AY80" ca="1">IF(OR((AY$67&gt;=$AW$11:$AW$74)*(AY$48&lt;=$AX$11:$AX$74)&gt;0),$B80,"")</f>
        <v/>
      </c>
      <c r="AZ80" s="84" t="str">
        <f t="array" aca="1" ref="AZ80" ca="1">IF(OR((AZ$67&gt;=$AW$11:$AW$74)*(AZ$48&lt;=$AX$11:$AX$74)&gt;0),$B80,"")</f>
        <v/>
      </c>
      <c r="BA80" s="84" t="str">
        <f t="array" aca="1" ref="BA80" ca="1">IF(OR((BA$67&gt;=$AW$11:$AW$74)*(BA$48&lt;=$AX$11:$AX$74)&gt;0),$B80,"")</f>
        <v/>
      </c>
      <c r="BB80" s="84" t="str">
        <f t="array" aca="1" ref="BB80" ca="1">IF(OR((BB$67&gt;=$AW$11:$AW$74)*(BB$48&lt;=$AX$11:$AX$74)&gt;0),$B80,"")</f>
        <v/>
      </c>
      <c r="BC80" s="84" t="str">
        <f t="array" aca="1" ref="BC80" ca="1">IF(OR((BC$67&gt;=$AW$11:$AW$74)*(BC$48&lt;=$AX$11:$AX$74)&gt;0),$B80,"")</f>
        <v/>
      </c>
      <c r="BD80" s="84" t="str">
        <f t="array" aca="1" ref="BD80" ca="1">IF(OR((BD$67&gt;=$AW$11:$AW$74)*(BD$48&lt;=$AX$11:$AX$74)&gt;0),$B80,"")</f>
        <v/>
      </c>
      <c r="BE80" s="84" t="str">
        <f t="array" aca="1" ref="BE80" ca="1">IF(OR((BE$67&gt;=$AW$11:$AW$74)*(BE$48&lt;=$AX$11:$AX$74)&gt;0),$B80,"")</f>
        <v/>
      </c>
      <c r="BF80" s="84" t="str">
        <f t="array" aca="1" ref="BF80" ca="1">IF(OR((BF$67&gt;=$AW$11:$AW$74)*(BF$48&lt;=$AX$11:$AX$74)&gt;0),$B80,"")</f>
        <v/>
      </c>
      <c r="BG80" s="84" t="str">
        <f t="array" aca="1" ref="BG80" ca="1">IF(OR((BG$67&gt;=$AW$11:$AW$74)*(BG$48&lt;=$AX$11:$AX$74)&gt;0),$B80,"")</f>
        <v/>
      </c>
      <c r="BH80" s="84" t="str">
        <f t="array" aca="1" ref="BH80" ca="1">IF(OR((BH$67&gt;=$AW$11:$AW$74)*(BH$48&lt;=$AX$11:$AX$74)&gt;0),$B80,"")</f>
        <v/>
      </c>
      <c r="BI80" s="84" t="str">
        <f t="array" aca="1" ref="BI80" ca="1">IF(OR((BI$67&gt;=$AW$11:$AW$74)*(BI$48&lt;=$AX$11:$AX$74)&gt;0),$B80,"")</f>
        <v/>
      </c>
      <c r="BJ80" s="84" t="str">
        <f t="array" aca="1" ref="BJ80" ca="1">IF(OR((BJ$67&gt;=$AW$11:$AW$74)*(BJ$48&lt;=$AX$11:$AX$74)&gt;0),$B80,"")</f>
        <v/>
      </c>
      <c r="BK80" s="84" t="str">
        <f t="array" aca="1" ref="BK80" ca="1">IF(OR((BK$67&gt;=$AW$11:$AW$74)*(BK$48&lt;=$AX$11:$AX$74)&gt;0),$B80,"")</f>
        <v/>
      </c>
      <c r="BL80" s="84" t="str">
        <f t="array" aca="1" ref="BL80" ca="1">IF(OR((BL$67&gt;=$AW$11:$AW$74)*(BL$48&lt;=$AX$11:$AX$74)&gt;0),$B80,"")</f>
        <v/>
      </c>
      <c r="BM80" s="84" t="str">
        <f t="array" aca="1" ref="BM80" ca="1">IF(OR((BM$67&gt;=$AW$11:$AW$74)*(BM$48&lt;=$AX$11:$AX$74)&gt;0),$B80,"")</f>
        <v/>
      </c>
      <c r="BN80" s="84" t="str">
        <f t="array" aca="1" ref="BN80" ca="1">IF(OR((BN$67&gt;=$AW$11:$AW$74)*(BN$48&lt;=$AX$11:$AX$74)&gt;0),$B80,"")</f>
        <v/>
      </c>
      <c r="BO80" s="84" t="str">
        <f t="array" aca="1" ref="BO80" ca="1">IF(OR((BO$67&gt;=$AW$11:$AW$74)*(BO$48&lt;=$AX$11:$AX$74)&gt;0),$B80,"")</f>
        <v/>
      </c>
      <c r="BP80" s="84" t="str">
        <f t="array" aca="1" ref="BP80" ca="1">IF(OR((BP$67&gt;=$AW$11:$AW$74)*(BP$48&lt;=$AX$11:$AX$74)&gt;0),$B80,"")</f>
        <v/>
      </c>
      <c r="BQ80" s="84" t="str">
        <f t="array" aca="1" ref="BQ80" ca="1">IF(OR((BQ$67&gt;=$AW$11:$AW$74)*(BQ$48&lt;=$AX$11:$AX$74)&gt;0),$B80,"")</f>
        <v/>
      </c>
      <c r="BR80" s="84" t="str">
        <f t="array" aca="1" ref="BR80" ca="1">IF(OR((BR$67&gt;=$AW$11:$AW$74)*(BR$48&lt;=$AX$11:$AX$74)&gt;0),$B80,"")</f>
        <v/>
      </c>
      <c r="BS80" s="84" t="str">
        <f t="array" aca="1" ref="BS80" ca="1">IF(OR((BS$67&gt;=$AW$11:$AW$74)*(BS$48&lt;=$AX$11:$AX$74)&gt;0),$B80,"")</f>
        <v/>
      </c>
      <c r="BU80" s="80" t="s">
        <v>184</v>
      </c>
      <c r="BV80" s="134">
        <v>1</v>
      </c>
      <c r="BW80" s="84" t="str">
        <f t="array" aca="1" ref="BW80" ca="1">IF(OR((BW$67&gt;=$AW$11:$AW$74)*(BW$48&lt;=$AX$11:$AX$74)&gt;0),$B80,"")</f>
        <v/>
      </c>
      <c r="BX80" s="84" t="str">
        <f t="array" aca="1" ref="BX80" ca="1">IF(OR((BX$67&gt;=$AW$11:$AW$74)*(BX$48&lt;=$AX$11:$AX$74)&gt;0),$B80,"")</f>
        <v/>
      </c>
      <c r="BY80" s="84" t="str">
        <f t="array" aca="1" ref="BY80" ca="1">IF(OR((BY$67&gt;=$AW$11:$AW$74)*(BY$48&lt;=$AX$11:$AX$74)&gt;0),$B80,"")</f>
        <v/>
      </c>
      <c r="BZ80" s="84" t="str">
        <f t="array" aca="1" ref="BZ80" ca="1">IF(OR((BZ$67&gt;=$AW$11:$AW$74)*(BZ$48&lt;=$AX$11:$AX$74)&gt;0),$B80,"")</f>
        <v/>
      </c>
      <c r="CA80" s="84" t="str">
        <f t="array" aca="1" ref="CA80" ca="1">IF(OR((CA$67&gt;=$AW$11:$AW$74)*(CA$48&lt;=$AX$11:$AX$74)&gt;0),$B80,"")</f>
        <v/>
      </c>
      <c r="CB80" s="84" t="str">
        <f t="array" aca="1" ref="CB80" ca="1">IF(OR((CB$67&gt;=$AW$11:$AW$74)*(CB$48&lt;=$AX$11:$AX$74)&gt;0),$B80,"")</f>
        <v/>
      </c>
      <c r="CC80" s="84" t="str">
        <f t="array" aca="1" ref="CC80" ca="1">IF(OR((CC$67&gt;=$AW$11:$AW$74)*(CC$48&lt;=$AX$11:$AX$74)&gt;0),$B80,"")</f>
        <v/>
      </c>
      <c r="CD80" s="84" t="str">
        <f t="array" aca="1" ref="CD80" ca="1">IF(OR((CD$67&gt;=$AW$11:$AW$74)*(CD$48&lt;=$AX$11:$AX$74)&gt;0),$B80,"")</f>
        <v/>
      </c>
      <c r="CE80" s="84" t="str">
        <f t="array" aca="1" ref="CE80" ca="1">IF(OR((CE$67&gt;=$AW$11:$AW$74)*(CE$48&lt;=$AX$11:$AX$74)&gt;0),$B80,"")</f>
        <v/>
      </c>
      <c r="CF80" s="84" t="str">
        <f t="array" aca="1" ref="CF80" ca="1">IF(OR((CF$67&gt;=$AW$11:$AW$74)*(CF$48&lt;=$AX$11:$AX$74)&gt;0),$B80,"")</f>
        <v/>
      </c>
      <c r="CG80" s="84" t="str">
        <f t="array" aca="1" ref="CG80" ca="1">IF(OR((CG$67&gt;=$AW$11:$AW$74)*(CG$48&lt;=$AX$11:$AX$74)&gt;0),$B80,"")</f>
        <v/>
      </c>
      <c r="CH80" s="84" t="str">
        <f t="array" aca="1" ref="CH80" ca="1">IF(OR((CH$67&gt;=$AW$11:$AW$74)*(CH$48&lt;=$AX$11:$AX$74)&gt;0),$B80,"")</f>
        <v/>
      </c>
      <c r="CI80" s="84" t="str">
        <f t="array" aca="1" ref="CI80" ca="1">IF(OR((CI$67&gt;=$AW$11:$AW$74)*(CI$48&lt;=$AX$11:$AX$74)&gt;0),$B80,"")</f>
        <v/>
      </c>
      <c r="CJ80" s="84" t="str">
        <f t="array" aca="1" ref="CJ80" ca="1">IF(OR((CJ$67&gt;=$AW$11:$AW$74)*(CJ$48&lt;=$AX$11:$AX$74)&gt;0),$B80,"")</f>
        <v/>
      </c>
      <c r="CK80" s="84" t="str">
        <f t="array" aca="1" ref="CK80" ca="1">IF(OR((CK$67&gt;=$AW$11:$AW$74)*(CK$48&lt;=$AX$11:$AX$74)&gt;0),$B80,"")</f>
        <v/>
      </c>
      <c r="CL80" s="84" t="str">
        <f t="array" aca="1" ref="CL80" ca="1">IF(OR((CL$67&gt;=$AW$11:$AW$74)*(CL$48&lt;=$AX$11:$AX$74)&gt;0),$B80,"")</f>
        <v/>
      </c>
      <c r="CM80" s="84" t="str">
        <f t="array" aca="1" ref="CM80" ca="1">IF(OR((CM$67&gt;=$AW$11:$AW$74)*(CM$48&lt;=$AX$11:$AX$74)&gt;0),$B80,"")</f>
        <v/>
      </c>
      <c r="CN80" s="84" t="str">
        <f t="array" aca="1" ref="CN80" ca="1">IF(OR((CN$67&gt;=$AW$11:$AW$74)*(CN$48&lt;=$AX$11:$AX$74)&gt;0),$B80,"")</f>
        <v/>
      </c>
      <c r="CO80" s="84" t="str">
        <f t="array" aca="1" ref="CO80" ca="1">IF(OR((CO$67&gt;=$AW$11:$AW$74)*(CO$48&lt;=$AX$11:$AX$74)&gt;0),$B80,"")</f>
        <v/>
      </c>
      <c r="CP80" s="84" t="str">
        <f t="array" aca="1" ref="CP80" ca="1">IF(OR((CP$67&gt;=$AW$11:$AW$74)*(CP$48&lt;=$AX$11:$AX$74)&gt;0),$B80,"")</f>
        <v/>
      </c>
      <c r="CQ80" s="84" t="str">
        <f t="array" aca="1" ref="CQ80" ca="1">IF(OR((CQ$67&gt;=$AW$11:$AW$74)*(CQ$48&lt;=$AX$11:$AX$74)&gt;0),$B80,"")</f>
        <v/>
      </c>
      <c r="CR80" s="84" t="str">
        <f t="array" aca="1" ref="CR80" ca="1">IF(OR((CR$67&gt;=$AW$11:$AW$74)*(CR$48&lt;=$AX$11:$AX$74)&gt;0),$B80,"")</f>
        <v/>
      </c>
      <c r="CS80" s="84" t="str">
        <f t="array" aca="1" ref="CS80" ca="1">IF(OR((CS$67&gt;=$AW$11:$AW$74)*(CS$48&lt;=$AX$11:$AX$74)&gt;0),$B80,"")</f>
        <v/>
      </c>
      <c r="CT80" s="84" t="str">
        <f t="array" aca="1" ref="CT80" ca="1">IF(OR((CT$67&gt;=$AW$11:$AW$74)*(CT$48&lt;=$AX$11:$AX$74)&gt;0),$B80,"")</f>
        <v/>
      </c>
      <c r="CU80" s="84" t="str">
        <f t="array" aca="1" ref="CU80" ca="1">IF(OR((CU$67&gt;=$AW$11:$AW$74)*(CU$48&lt;=$AX$11:$AX$74)&gt;0),$B80,"")</f>
        <v/>
      </c>
      <c r="CV80" s="84" t="str">
        <f t="array" aca="1" ref="CV80" ca="1">IF(OR((CV$67&gt;=$AW$11:$AW$74)*(CV$48&lt;=$AX$11:$AX$74)&gt;0),$B80,"")</f>
        <v/>
      </c>
      <c r="CW80" s="84" t="str">
        <f t="array" aca="1" ref="CW80" ca="1">IF(OR((CW$67&gt;=$AW$11:$AW$74)*(CW$48&lt;=$AX$11:$AX$74)&gt;0),$B80,"")</f>
        <v/>
      </c>
      <c r="CX80" s="84" t="str">
        <f t="array" aca="1" ref="CX80" ca="1">IF(OR((CX$67&gt;=$AW$11:$AW$74)*(CX$48&lt;=$AX$11:$AX$74)&gt;0),$B80,"")</f>
        <v/>
      </c>
      <c r="CY80" s="84" t="str">
        <f t="array" aca="1" ref="CY80" ca="1">IF(OR((CY$67&gt;=$AW$11:$AW$74)*(CY$48&lt;=$AX$11:$AX$74)&gt;0),$B80,"")</f>
        <v/>
      </c>
      <c r="CZ80" s="84" t="str">
        <f t="array" aca="1" ref="CZ80" ca="1">IF(OR((CZ$67&gt;=$AW$11:$AW$74)*(CZ$48&lt;=$AX$11:$AX$74)&gt;0),$B80,"")</f>
        <v/>
      </c>
      <c r="DA80" s="84" t="str">
        <f t="array" aca="1" ref="DA80" ca="1">IF(OR((DA$67&gt;=$AW$11:$AW$74)*(DA$48&lt;=$AX$11:$AX$74)&gt;0),$B80,"")</f>
        <v/>
      </c>
      <c r="DB80" s="84" t="str">
        <f t="array" aca="1" ref="DB80" ca="1">IF(OR((DB$67&gt;=$AW$11:$AW$74)*(DB$48&lt;=$AX$11:$AX$74)&gt;0),$B80,"")</f>
        <v/>
      </c>
      <c r="DC80" s="84" t="str">
        <f t="array" aca="1" ref="DC80" ca="1">IF(OR((DC$67&gt;=$AW$11:$AW$74)*(DC$48&lt;=$AX$11:$AX$74)&gt;0),$B80,"")</f>
        <v/>
      </c>
    </row>
    <row r="81" spans="1:107">
      <c r="A81" s="80" t="s">
        <v>185</v>
      </c>
      <c r="B81" s="128">
        <v>2</v>
      </c>
      <c r="C81" s="84" t="str">
        <f t="array" aca="1" ref="C81" ca="1">IF(OR((C$67&gt;=$AW$11:$AW$74)*(C$48&lt;=$AX$11:$AX$74)&gt;0),$B81,"")</f>
        <v/>
      </c>
      <c r="D81" s="84" t="str">
        <f t="array" aca="1" ref="D81" ca="1">IF(OR((D$67&gt;=$AW$11:$AW$74)*(D$48&lt;=$AX$11:$AX$74)&gt;0),$B81,"")</f>
        <v/>
      </c>
      <c r="E81" s="84" t="str">
        <f t="array" aca="1" ref="E81" ca="1">IF(OR((E$67&gt;=$AW$11:$AW$74)*(E$48&lt;=$AX$11:$AX$74)&gt;0),$B81,"")</f>
        <v/>
      </c>
      <c r="F81" s="84" t="str">
        <f t="array" aca="1" ref="F81" ca="1">IF(OR((F$67&gt;=$AW$11:$AW$74)*(F$48&lt;=$AX$11:$AX$74)&gt;0),$B81,"")</f>
        <v/>
      </c>
      <c r="G81" s="84" t="str">
        <f t="array" aca="1" ref="G81" ca="1">IF(OR((G$67&gt;=$AW$11:$AW$74)*(G$48&lt;=$AX$11:$AX$74)&gt;0),$B81,"")</f>
        <v/>
      </c>
      <c r="H81" s="84" t="str">
        <f t="array" aca="1" ref="H81" ca="1">IF(OR((H$67&gt;=$AW$11:$AW$74)*(H$48&lt;=$AX$11:$AX$74)&gt;0),$B81,"")</f>
        <v/>
      </c>
      <c r="I81" s="84" t="str">
        <f t="array" aca="1" ref="I81" ca="1">IF(OR((I$67&gt;=$AW$11:$AW$74)*(I$48&lt;=$AX$11:$AX$74)&gt;0),$B81,"")</f>
        <v/>
      </c>
      <c r="J81" s="84" t="str">
        <f t="array" aca="1" ref="J81" ca="1">IF(OR((J$67&gt;=$AW$11:$AW$74)*(J$48&lt;=$AX$11:$AX$74)&gt;0),$B81,"")</f>
        <v/>
      </c>
      <c r="K81" s="84" t="str">
        <f t="array" aca="1" ref="K81" ca="1">IF(OR((K$67&gt;=$AW$11:$AW$74)*(K$48&lt;=$AX$11:$AX$74)&gt;0),$B81,"")</f>
        <v/>
      </c>
      <c r="L81" s="84" t="str">
        <f t="array" aca="1" ref="L81" ca="1">IF(OR((L$67&gt;=$AW$11:$AW$74)*(L$48&lt;=$AX$11:$AX$74)&gt;0),$B81,"")</f>
        <v/>
      </c>
      <c r="M81" s="84" t="str">
        <f t="array" aca="1" ref="M81" ca="1">IF(OR((M$67&gt;=$AW$11:$AW$74)*(M$48&lt;=$AX$11:$AX$74)&gt;0),$B81,"")</f>
        <v/>
      </c>
      <c r="N81" s="84" t="str">
        <f t="array" aca="1" ref="N81" ca="1">IF(OR((N$67&gt;=$AW$11:$AW$74)*(N$48&lt;=$AX$11:$AX$74)&gt;0),$B81,"")</f>
        <v/>
      </c>
      <c r="O81" s="84" t="str">
        <f t="array" aca="1" ref="O81" ca="1">IF(OR((O$67&gt;=$AW$11:$AW$74)*(O$48&lt;=$AX$11:$AX$74)&gt;0),$B81,"")</f>
        <v/>
      </c>
      <c r="P81" s="84" t="str">
        <f t="array" aca="1" ref="P81" ca="1">IF(OR((P$67&gt;=$AW$11:$AW$74)*(P$48&lt;=$AX$11:$AX$74)&gt;0),$B81,"")</f>
        <v/>
      </c>
      <c r="Q81" s="84" t="str">
        <f t="array" aca="1" ref="Q81" ca="1">IF(OR((Q$67&gt;=$AW$11:$AW$74)*(Q$48&lt;=$AX$11:$AX$74)&gt;0),$B81,"")</f>
        <v/>
      </c>
      <c r="R81" s="84" t="str">
        <f t="array" aca="1" ref="R81" ca="1">IF(OR((R$67&gt;=$AW$11:$AW$74)*(R$48&lt;=$AX$11:$AX$74)&gt;0),$B81,"")</f>
        <v/>
      </c>
      <c r="S81" s="84" t="str">
        <f t="array" aca="1" ref="S81" ca="1">IF(OR((S$67&gt;=$AW$11:$AW$74)*(S$48&lt;=$AX$11:$AX$74)&gt;0),$B81,"")</f>
        <v/>
      </c>
      <c r="T81" s="84" t="str">
        <f t="array" aca="1" ref="T81" ca="1">IF(OR((T$67&gt;=$AW$11:$AW$74)*(T$48&lt;=$AX$11:$AX$74)&gt;0),$B81,"")</f>
        <v/>
      </c>
      <c r="U81" s="84" t="str">
        <f t="array" aca="1" ref="U81" ca="1">IF(OR((U$67&gt;=$AW$11:$AW$74)*(U$48&lt;=$AX$11:$AX$74)&gt;0),$B81,"")</f>
        <v/>
      </c>
      <c r="V81" s="84" t="str">
        <f t="array" aca="1" ref="V81" ca="1">IF(OR((V$67&gt;=$AW$11:$AW$74)*(V$48&lt;=$AX$11:$AX$74)&gt;0),$B81,"")</f>
        <v/>
      </c>
      <c r="W81" s="84" t="str">
        <f t="array" aca="1" ref="W81" ca="1">IF(OR((W$67&gt;=$AW$11:$AW$74)*(W$48&lt;=$AX$11:$AX$74)&gt;0),$B81,"")</f>
        <v/>
      </c>
      <c r="X81" s="84" t="str">
        <f t="array" aca="1" ref="X81" ca="1">IF(OR((X$67&gt;=$AW$11:$AW$74)*(X$48&lt;=$AX$11:$AX$74)&gt;0),$B81,"")</f>
        <v/>
      </c>
      <c r="Y81" s="84" t="str">
        <f t="array" aca="1" ref="Y81" ca="1">IF(OR((Y$67&gt;=$AW$11:$AW$74)*(Y$48&lt;=$AX$11:$AX$74)&gt;0),$B81,"")</f>
        <v/>
      </c>
      <c r="Z81" s="84" t="str">
        <f t="array" aca="1" ref="Z81" ca="1">IF(OR((Z$67&gt;=$AW$11:$AW$74)*(Z$48&lt;=$AX$11:$AX$74)&gt;0),$B81,"")</f>
        <v/>
      </c>
      <c r="AA81" s="84" t="str">
        <f t="array" aca="1" ref="AA81" ca="1">IF(OR((AA$67&gt;=$AW$11:$AW$74)*(AA$48&lt;=$AX$11:$AX$74)&gt;0),$B81,"")</f>
        <v/>
      </c>
      <c r="AB81" s="84" t="str">
        <f t="array" aca="1" ref="AB81" ca="1">IF(OR((AB$67&gt;=$AW$11:$AW$74)*(AB$48&lt;=$AX$11:$AX$74)&gt;0),$B81,"")</f>
        <v/>
      </c>
      <c r="AC81" s="84" t="str">
        <f t="array" aca="1" ref="AC81" ca="1">IF(OR((AC$67&gt;=$AW$11:$AW$74)*(AC$48&lt;=$AX$11:$AX$74)&gt;0),$B81,"")</f>
        <v/>
      </c>
      <c r="AD81" s="84" t="str">
        <f t="array" aca="1" ref="AD81" ca="1">IF(OR((AD$67&gt;=$AW$11:$AW$74)*(AD$48&lt;=$AX$11:$AX$74)&gt;0),$B81,"")</f>
        <v/>
      </c>
      <c r="AE81" s="84" t="str">
        <f t="array" aca="1" ref="AE81" ca="1">IF(OR((AE$67&gt;=$AW$11:$AW$74)*(AE$48&lt;=$AX$11:$AX$74)&gt;0),$B81,"")</f>
        <v/>
      </c>
      <c r="AF81" s="84" t="str">
        <f t="array" aca="1" ref="AF81" ca="1">IF(OR((AF$67&gt;=$AW$11:$AW$74)*(AF$48&lt;=$AX$11:$AX$74)&gt;0),$B81,"")</f>
        <v/>
      </c>
      <c r="AG81" s="84" t="str">
        <f t="array" aca="1" ref="AG81" ca="1">IF(OR((AG$67&gt;=$AW$11:$AW$74)*(AG$48&lt;=$AX$11:$AX$74)&gt;0),$B81,"")</f>
        <v/>
      </c>
      <c r="AH81" s="84" t="str">
        <f t="array" aca="1" ref="AH81" ca="1">IF(OR((AH$67&gt;=$AW$11:$AW$74)*(AH$48&lt;=$AX$11:$AX$74)&gt;0),$B81,"")</f>
        <v/>
      </c>
      <c r="AI81" s="84" t="str">
        <f t="array" aca="1" ref="AI81" ca="1">IF(OR((AI$67&gt;=$AW$11:$AW$74)*(AI$48&lt;=$AX$11:$AX$74)&gt;0),$B81,"")</f>
        <v/>
      </c>
      <c r="AK81" s="80" t="s">
        <v>185</v>
      </c>
      <c r="AL81" s="134">
        <v>2</v>
      </c>
      <c r="AM81" s="84" t="str">
        <f t="array" aca="1" ref="AM81" ca="1">IF(OR((AM$67&gt;=$AW$11:$AW$74)*(AM$48&lt;=$AX$11:$AX$74)&gt;0),$B81,"")</f>
        <v/>
      </c>
      <c r="AN81" s="84" t="str">
        <f t="array" aca="1" ref="AN81" ca="1">IF(OR((AN$67&gt;=$AW$11:$AW$74)*(AN$48&lt;=$AX$11:$AX$74)&gt;0),$B81,"")</f>
        <v/>
      </c>
      <c r="AO81" s="84" t="str">
        <f t="array" aca="1" ref="AO81" ca="1">IF(OR((AO$67&gt;=$AW$11:$AW$74)*(AO$48&lt;=$AX$11:$AX$74)&gt;0),$B81,"")</f>
        <v/>
      </c>
      <c r="AP81" s="84" t="str">
        <f t="array" aca="1" ref="AP81" ca="1">IF(OR((AP$67&gt;=$AW$11:$AW$74)*(AP$48&lt;=$AX$11:$AX$74)&gt;0),$B81,"")</f>
        <v/>
      </c>
      <c r="AQ81" s="84" t="str">
        <f t="array" aca="1" ref="AQ81" ca="1">IF(OR((AQ$67&gt;=$AW$11:$AW$74)*(AQ$48&lt;=$AX$11:$AX$74)&gt;0),$B81,"")</f>
        <v/>
      </c>
      <c r="AR81" s="84" t="str">
        <f t="array" aca="1" ref="AR81" ca="1">IF(OR((AR$67&gt;=$AW$11:$AW$74)*(AR$48&lt;=$AX$11:$AX$74)&gt;0),$B81,"")</f>
        <v/>
      </c>
      <c r="AS81" s="84" t="str">
        <f t="array" aca="1" ref="AS81" ca="1">IF(OR((AS$67&gt;=$AW$11:$AW$74)*(AS$48&lt;=$AX$11:$AX$74)&gt;0),$B81,"")</f>
        <v/>
      </c>
      <c r="AT81" s="84" t="str">
        <f t="array" aca="1" ref="AT81" ca="1">IF(OR((AT$67&gt;=$AW$11:$AW$74)*(AT$48&lt;=$AX$11:$AX$74)&gt;0),$B81,"")</f>
        <v/>
      </c>
      <c r="AU81" s="84" t="str">
        <f t="array" aca="1" ref="AU81" ca="1">IF(OR((AU$67&gt;=$AW$11:$AW$74)*(AU$48&lt;=$AX$11:$AX$74)&gt;0),$B81,"")</f>
        <v/>
      </c>
      <c r="AV81" s="84" t="str">
        <f t="array" aca="1" ref="AV81" ca="1">IF(OR((AV$67&gt;=$AW$11:$AW$74)*(AV$48&lt;=$AX$11:$AX$74)&gt;0),$B81,"")</f>
        <v/>
      </c>
      <c r="AW81" s="84" t="str">
        <f t="array" aca="1" ref="AW81" ca="1">IF(OR((AW$67&gt;=$AW$11:$AW$74)*(AW$48&lt;=$AX$11:$AX$74)&gt;0),$B81,"")</f>
        <v/>
      </c>
      <c r="AX81" s="84" t="str">
        <f t="array" aca="1" ref="AX81" ca="1">IF(OR((AX$67&gt;=$AW$11:$AW$74)*(AX$48&lt;=$AX$11:$AX$74)&gt;0),$B81,"")</f>
        <v/>
      </c>
      <c r="AY81" s="84" t="str">
        <f t="array" aca="1" ref="AY81" ca="1">IF(OR((AY$67&gt;=$AW$11:$AW$74)*(AY$48&lt;=$AX$11:$AX$74)&gt;0),$B81,"")</f>
        <v/>
      </c>
      <c r="AZ81" s="84" t="str">
        <f t="array" aca="1" ref="AZ81" ca="1">IF(OR((AZ$67&gt;=$AW$11:$AW$74)*(AZ$48&lt;=$AX$11:$AX$74)&gt;0),$B81,"")</f>
        <v/>
      </c>
      <c r="BA81" s="84" t="str">
        <f t="array" aca="1" ref="BA81" ca="1">IF(OR((BA$67&gt;=$AW$11:$AW$74)*(BA$48&lt;=$AX$11:$AX$74)&gt;0),$B81,"")</f>
        <v/>
      </c>
      <c r="BB81" s="84" t="str">
        <f t="array" aca="1" ref="BB81" ca="1">IF(OR((BB$67&gt;=$AW$11:$AW$74)*(BB$48&lt;=$AX$11:$AX$74)&gt;0),$B81,"")</f>
        <v/>
      </c>
      <c r="BC81" s="84" t="str">
        <f t="array" aca="1" ref="BC81" ca="1">IF(OR((BC$67&gt;=$AW$11:$AW$74)*(BC$48&lt;=$AX$11:$AX$74)&gt;0),$B81,"")</f>
        <v/>
      </c>
      <c r="BD81" s="84" t="str">
        <f t="array" aca="1" ref="BD81" ca="1">IF(OR((BD$67&gt;=$AW$11:$AW$74)*(BD$48&lt;=$AX$11:$AX$74)&gt;0),$B81,"")</f>
        <v/>
      </c>
      <c r="BE81" s="84" t="str">
        <f t="array" aca="1" ref="BE81" ca="1">IF(OR((BE$67&gt;=$AW$11:$AW$74)*(BE$48&lt;=$AX$11:$AX$74)&gt;0),$B81,"")</f>
        <v/>
      </c>
      <c r="BF81" s="84" t="str">
        <f t="array" aca="1" ref="BF81" ca="1">IF(OR((BF$67&gt;=$AW$11:$AW$74)*(BF$48&lt;=$AX$11:$AX$74)&gt;0),$B81,"")</f>
        <v/>
      </c>
      <c r="BG81" s="84" t="str">
        <f t="array" aca="1" ref="BG81" ca="1">IF(OR((BG$67&gt;=$AW$11:$AW$74)*(BG$48&lt;=$AX$11:$AX$74)&gt;0),$B81,"")</f>
        <v/>
      </c>
      <c r="BH81" s="84" t="str">
        <f t="array" aca="1" ref="BH81" ca="1">IF(OR((BH$67&gt;=$AW$11:$AW$74)*(BH$48&lt;=$AX$11:$AX$74)&gt;0),$B81,"")</f>
        <v/>
      </c>
      <c r="BI81" s="84" t="str">
        <f t="array" aca="1" ref="BI81" ca="1">IF(OR((BI$67&gt;=$AW$11:$AW$74)*(BI$48&lt;=$AX$11:$AX$74)&gt;0),$B81,"")</f>
        <v/>
      </c>
      <c r="BJ81" s="84" t="str">
        <f t="array" aca="1" ref="BJ81" ca="1">IF(OR((BJ$67&gt;=$AW$11:$AW$74)*(BJ$48&lt;=$AX$11:$AX$74)&gt;0),$B81,"")</f>
        <v/>
      </c>
      <c r="BK81" s="84" t="str">
        <f t="array" aca="1" ref="BK81" ca="1">IF(OR((BK$67&gt;=$AW$11:$AW$74)*(BK$48&lt;=$AX$11:$AX$74)&gt;0),$B81,"")</f>
        <v/>
      </c>
      <c r="BL81" s="84" t="str">
        <f t="array" aca="1" ref="BL81" ca="1">IF(OR((BL$67&gt;=$AW$11:$AW$74)*(BL$48&lt;=$AX$11:$AX$74)&gt;0),$B81,"")</f>
        <v/>
      </c>
      <c r="BM81" s="84" t="str">
        <f t="array" aca="1" ref="BM81" ca="1">IF(OR((BM$67&gt;=$AW$11:$AW$74)*(BM$48&lt;=$AX$11:$AX$74)&gt;0),$B81,"")</f>
        <v/>
      </c>
      <c r="BN81" s="84" t="str">
        <f t="array" aca="1" ref="BN81" ca="1">IF(OR((BN$67&gt;=$AW$11:$AW$74)*(BN$48&lt;=$AX$11:$AX$74)&gt;0),$B81,"")</f>
        <v/>
      </c>
      <c r="BO81" s="84" t="str">
        <f t="array" aca="1" ref="BO81" ca="1">IF(OR((BO$67&gt;=$AW$11:$AW$74)*(BO$48&lt;=$AX$11:$AX$74)&gt;0),$B81,"")</f>
        <v/>
      </c>
      <c r="BP81" s="84" t="str">
        <f t="array" aca="1" ref="BP81" ca="1">IF(OR((BP$67&gt;=$AW$11:$AW$74)*(BP$48&lt;=$AX$11:$AX$74)&gt;0),$B81,"")</f>
        <v/>
      </c>
      <c r="BQ81" s="84" t="str">
        <f t="array" aca="1" ref="BQ81" ca="1">IF(OR((BQ$67&gt;=$AW$11:$AW$74)*(BQ$48&lt;=$AX$11:$AX$74)&gt;0),$B81,"")</f>
        <v/>
      </c>
      <c r="BR81" s="84" t="str">
        <f t="array" aca="1" ref="BR81" ca="1">IF(OR((BR$67&gt;=$AW$11:$AW$74)*(BR$48&lt;=$AX$11:$AX$74)&gt;0),$B81,"")</f>
        <v/>
      </c>
      <c r="BS81" s="84" t="str">
        <f t="array" aca="1" ref="BS81" ca="1">IF(OR((BS$67&gt;=$AW$11:$AW$74)*(BS$48&lt;=$AX$11:$AX$74)&gt;0),$B81,"")</f>
        <v/>
      </c>
      <c r="BU81" s="80" t="s">
        <v>185</v>
      </c>
      <c r="BV81" s="134">
        <v>2</v>
      </c>
      <c r="BW81" s="84" t="str">
        <f t="array" aca="1" ref="BW81" ca="1">IF(OR((BW$67&gt;=$AW$11:$AW$74)*(BW$48&lt;=$AX$11:$AX$74)&gt;0),$B81,"")</f>
        <v/>
      </c>
      <c r="BX81" s="84" t="str">
        <f t="array" aca="1" ref="BX81" ca="1">IF(OR((BX$67&gt;=$AW$11:$AW$74)*(BX$48&lt;=$AX$11:$AX$74)&gt;0),$B81,"")</f>
        <v/>
      </c>
      <c r="BY81" s="84" t="str">
        <f t="array" aca="1" ref="BY81" ca="1">IF(OR((BY$67&gt;=$AW$11:$AW$74)*(BY$48&lt;=$AX$11:$AX$74)&gt;0),$B81,"")</f>
        <v/>
      </c>
      <c r="BZ81" s="84" t="str">
        <f t="array" aca="1" ref="BZ81" ca="1">IF(OR((BZ$67&gt;=$AW$11:$AW$74)*(BZ$48&lt;=$AX$11:$AX$74)&gt;0),$B81,"")</f>
        <v/>
      </c>
      <c r="CA81" s="84" t="str">
        <f t="array" aca="1" ref="CA81" ca="1">IF(OR((CA$67&gt;=$AW$11:$AW$74)*(CA$48&lt;=$AX$11:$AX$74)&gt;0),$B81,"")</f>
        <v/>
      </c>
      <c r="CB81" s="84" t="str">
        <f t="array" aca="1" ref="CB81" ca="1">IF(OR((CB$67&gt;=$AW$11:$AW$74)*(CB$48&lt;=$AX$11:$AX$74)&gt;0),$B81,"")</f>
        <v/>
      </c>
      <c r="CC81" s="84" t="str">
        <f t="array" aca="1" ref="CC81" ca="1">IF(OR((CC$67&gt;=$AW$11:$AW$74)*(CC$48&lt;=$AX$11:$AX$74)&gt;0),$B81,"")</f>
        <v/>
      </c>
      <c r="CD81" s="84" t="str">
        <f t="array" aca="1" ref="CD81" ca="1">IF(OR((CD$67&gt;=$AW$11:$AW$74)*(CD$48&lt;=$AX$11:$AX$74)&gt;0),$B81,"")</f>
        <v/>
      </c>
      <c r="CE81" s="84" t="str">
        <f t="array" aca="1" ref="CE81" ca="1">IF(OR((CE$67&gt;=$AW$11:$AW$74)*(CE$48&lt;=$AX$11:$AX$74)&gt;0),$B81,"")</f>
        <v/>
      </c>
      <c r="CF81" s="84" t="str">
        <f t="array" aca="1" ref="CF81" ca="1">IF(OR((CF$67&gt;=$AW$11:$AW$74)*(CF$48&lt;=$AX$11:$AX$74)&gt;0),$B81,"")</f>
        <v/>
      </c>
      <c r="CG81" s="84" t="str">
        <f t="array" aca="1" ref="CG81" ca="1">IF(OR((CG$67&gt;=$AW$11:$AW$74)*(CG$48&lt;=$AX$11:$AX$74)&gt;0),$B81,"")</f>
        <v/>
      </c>
      <c r="CH81" s="84" t="str">
        <f t="array" aca="1" ref="CH81" ca="1">IF(OR((CH$67&gt;=$AW$11:$AW$74)*(CH$48&lt;=$AX$11:$AX$74)&gt;0),$B81,"")</f>
        <v/>
      </c>
      <c r="CI81" s="84" t="str">
        <f t="array" aca="1" ref="CI81" ca="1">IF(OR((CI$67&gt;=$AW$11:$AW$74)*(CI$48&lt;=$AX$11:$AX$74)&gt;0),$B81,"")</f>
        <v/>
      </c>
      <c r="CJ81" s="84" t="str">
        <f t="array" aca="1" ref="CJ81" ca="1">IF(OR((CJ$67&gt;=$AW$11:$AW$74)*(CJ$48&lt;=$AX$11:$AX$74)&gt;0),$B81,"")</f>
        <v/>
      </c>
      <c r="CK81" s="84" t="str">
        <f t="array" aca="1" ref="CK81" ca="1">IF(OR((CK$67&gt;=$AW$11:$AW$74)*(CK$48&lt;=$AX$11:$AX$74)&gt;0),$B81,"")</f>
        <v/>
      </c>
      <c r="CL81" s="84" t="str">
        <f t="array" aca="1" ref="CL81" ca="1">IF(OR((CL$67&gt;=$AW$11:$AW$74)*(CL$48&lt;=$AX$11:$AX$74)&gt;0),$B81,"")</f>
        <v/>
      </c>
      <c r="CM81" s="84" t="str">
        <f t="array" aca="1" ref="CM81" ca="1">IF(OR((CM$67&gt;=$AW$11:$AW$74)*(CM$48&lt;=$AX$11:$AX$74)&gt;0),$B81,"")</f>
        <v/>
      </c>
      <c r="CN81" s="84" t="str">
        <f t="array" aca="1" ref="CN81" ca="1">IF(OR((CN$67&gt;=$AW$11:$AW$74)*(CN$48&lt;=$AX$11:$AX$74)&gt;0),$B81,"")</f>
        <v/>
      </c>
      <c r="CO81" s="84" t="str">
        <f t="array" aca="1" ref="CO81" ca="1">IF(OR((CO$67&gt;=$AW$11:$AW$74)*(CO$48&lt;=$AX$11:$AX$74)&gt;0),$B81,"")</f>
        <v/>
      </c>
      <c r="CP81" s="84" t="str">
        <f t="array" aca="1" ref="CP81" ca="1">IF(OR((CP$67&gt;=$AW$11:$AW$74)*(CP$48&lt;=$AX$11:$AX$74)&gt;0),$B81,"")</f>
        <v/>
      </c>
      <c r="CQ81" s="84" t="str">
        <f t="array" aca="1" ref="CQ81" ca="1">IF(OR((CQ$67&gt;=$AW$11:$AW$74)*(CQ$48&lt;=$AX$11:$AX$74)&gt;0),$B81,"")</f>
        <v/>
      </c>
      <c r="CR81" s="84" t="str">
        <f t="array" aca="1" ref="CR81" ca="1">IF(OR((CR$67&gt;=$AW$11:$AW$74)*(CR$48&lt;=$AX$11:$AX$74)&gt;0),$B81,"")</f>
        <v/>
      </c>
      <c r="CS81" s="84" t="str">
        <f t="array" aca="1" ref="CS81" ca="1">IF(OR((CS$67&gt;=$AW$11:$AW$74)*(CS$48&lt;=$AX$11:$AX$74)&gt;0),$B81,"")</f>
        <v/>
      </c>
      <c r="CT81" s="84" t="str">
        <f t="array" aca="1" ref="CT81" ca="1">IF(OR((CT$67&gt;=$AW$11:$AW$74)*(CT$48&lt;=$AX$11:$AX$74)&gt;0),$B81,"")</f>
        <v/>
      </c>
      <c r="CU81" s="84" t="str">
        <f t="array" aca="1" ref="CU81" ca="1">IF(OR((CU$67&gt;=$AW$11:$AW$74)*(CU$48&lt;=$AX$11:$AX$74)&gt;0),$B81,"")</f>
        <v/>
      </c>
      <c r="CV81" s="84" t="str">
        <f t="array" aca="1" ref="CV81" ca="1">IF(OR((CV$67&gt;=$AW$11:$AW$74)*(CV$48&lt;=$AX$11:$AX$74)&gt;0),$B81,"")</f>
        <v/>
      </c>
      <c r="CW81" s="84" t="str">
        <f t="array" aca="1" ref="CW81" ca="1">IF(OR((CW$67&gt;=$AW$11:$AW$74)*(CW$48&lt;=$AX$11:$AX$74)&gt;0),$B81,"")</f>
        <v/>
      </c>
      <c r="CX81" s="84" t="str">
        <f t="array" aca="1" ref="CX81" ca="1">IF(OR((CX$67&gt;=$AW$11:$AW$74)*(CX$48&lt;=$AX$11:$AX$74)&gt;0),$B81,"")</f>
        <v/>
      </c>
      <c r="CY81" s="84" t="str">
        <f t="array" aca="1" ref="CY81" ca="1">IF(OR((CY$67&gt;=$AW$11:$AW$74)*(CY$48&lt;=$AX$11:$AX$74)&gt;0),$B81,"")</f>
        <v/>
      </c>
      <c r="CZ81" s="84" t="str">
        <f t="array" aca="1" ref="CZ81" ca="1">IF(OR((CZ$67&gt;=$AW$11:$AW$74)*(CZ$48&lt;=$AX$11:$AX$74)&gt;0),$B81,"")</f>
        <v/>
      </c>
      <c r="DA81" s="84" t="str">
        <f t="array" aca="1" ref="DA81" ca="1">IF(OR((DA$67&gt;=$AW$11:$AW$74)*(DA$48&lt;=$AX$11:$AX$74)&gt;0),$B81,"")</f>
        <v/>
      </c>
      <c r="DB81" s="84" t="str">
        <f t="array" aca="1" ref="DB81" ca="1">IF(OR((DB$67&gt;=$AW$11:$AW$74)*(DB$48&lt;=$AX$11:$AX$74)&gt;0),$B81,"")</f>
        <v/>
      </c>
      <c r="DC81" s="84" t="str">
        <f t="array" aca="1" ref="DC81" ca="1">IF(OR((DC$67&gt;=$AW$11:$AW$74)*(DC$48&lt;=$AX$11:$AX$74)&gt;0),$B81,"")</f>
        <v/>
      </c>
    </row>
    <row r="82" spans="1:107">
      <c r="A82" s="80" t="s">
        <v>186</v>
      </c>
      <c r="B82" s="128">
        <v>5</v>
      </c>
      <c r="C82" s="84" t="str">
        <f t="array" aca="1" ref="C82" ca="1">IF(OR((C$67&gt;=$AW$11:$AW$74)*(C$48&lt;=$AX$11:$AX$74)&gt;0),$B82,"")</f>
        <v/>
      </c>
      <c r="D82" s="84" t="str">
        <f t="array" aca="1" ref="D82" ca="1">IF(OR((D$67&gt;=$AW$11:$AW$74)*(D$48&lt;=$AX$11:$AX$74)&gt;0),$B82,"")</f>
        <v/>
      </c>
      <c r="E82" s="84" t="str">
        <f t="array" aca="1" ref="E82" ca="1">IF(OR((E$67&gt;=$AW$11:$AW$74)*(E$48&lt;=$AX$11:$AX$74)&gt;0),$B82,"")</f>
        <v/>
      </c>
      <c r="F82" s="84" t="str">
        <f t="array" aca="1" ref="F82" ca="1">IF(OR((F$67&gt;=$AW$11:$AW$74)*(F$48&lt;=$AX$11:$AX$74)&gt;0),$B82,"")</f>
        <v/>
      </c>
      <c r="G82" s="84" t="str">
        <f t="array" aca="1" ref="G82" ca="1">IF(OR((G$67&gt;=$AW$11:$AW$74)*(G$48&lt;=$AX$11:$AX$74)&gt;0),$B82,"")</f>
        <v/>
      </c>
      <c r="H82" s="84" t="str">
        <f t="array" aca="1" ref="H82" ca="1">IF(OR((H$67&gt;=$AW$11:$AW$74)*(H$48&lt;=$AX$11:$AX$74)&gt;0),$B82,"")</f>
        <v/>
      </c>
      <c r="I82" s="84" t="str">
        <f t="array" aca="1" ref="I82" ca="1">IF(OR((I$67&gt;=$AW$11:$AW$74)*(I$48&lt;=$AX$11:$AX$74)&gt;0),$B82,"")</f>
        <v/>
      </c>
      <c r="J82" s="84" t="str">
        <f t="array" aca="1" ref="J82" ca="1">IF(OR((J$67&gt;=$AW$11:$AW$74)*(J$48&lt;=$AX$11:$AX$74)&gt;0),$B82,"")</f>
        <v/>
      </c>
      <c r="K82" s="84" t="str">
        <f t="array" aca="1" ref="K82" ca="1">IF(OR((K$67&gt;=$AW$11:$AW$74)*(K$48&lt;=$AX$11:$AX$74)&gt;0),$B82,"")</f>
        <v/>
      </c>
      <c r="L82" s="84" t="str">
        <f t="array" aca="1" ref="L82" ca="1">IF(OR((L$67&gt;=$AW$11:$AW$74)*(L$48&lt;=$AX$11:$AX$74)&gt;0),$B82,"")</f>
        <v/>
      </c>
      <c r="M82" s="84" t="str">
        <f t="array" aca="1" ref="M82" ca="1">IF(OR((M$67&gt;=$AW$11:$AW$74)*(M$48&lt;=$AX$11:$AX$74)&gt;0),$B82,"")</f>
        <v/>
      </c>
      <c r="N82" s="84" t="str">
        <f t="array" aca="1" ref="N82" ca="1">IF(OR((N$67&gt;=$AW$11:$AW$74)*(N$48&lt;=$AX$11:$AX$74)&gt;0),$B82,"")</f>
        <v/>
      </c>
      <c r="O82" s="84" t="str">
        <f t="array" aca="1" ref="O82" ca="1">IF(OR((O$67&gt;=$AW$11:$AW$74)*(O$48&lt;=$AX$11:$AX$74)&gt;0),$B82,"")</f>
        <v/>
      </c>
      <c r="P82" s="84" t="str">
        <f t="array" aca="1" ref="P82" ca="1">IF(OR((P$67&gt;=$AW$11:$AW$74)*(P$48&lt;=$AX$11:$AX$74)&gt;0),$B82,"")</f>
        <v/>
      </c>
      <c r="Q82" s="84" t="str">
        <f t="array" aca="1" ref="Q82" ca="1">IF(OR((Q$67&gt;=$AW$11:$AW$74)*(Q$48&lt;=$AX$11:$AX$74)&gt;0),$B82,"")</f>
        <v/>
      </c>
      <c r="R82" s="84" t="str">
        <f t="array" aca="1" ref="R82" ca="1">IF(OR((R$67&gt;=$AW$11:$AW$74)*(R$48&lt;=$AX$11:$AX$74)&gt;0),$B82,"")</f>
        <v/>
      </c>
      <c r="S82" s="84" t="str">
        <f t="array" aca="1" ref="S82" ca="1">IF(OR((S$67&gt;=$AW$11:$AW$74)*(S$48&lt;=$AX$11:$AX$74)&gt;0),$B82,"")</f>
        <v/>
      </c>
      <c r="T82" s="84" t="str">
        <f t="array" aca="1" ref="T82" ca="1">IF(OR((T$67&gt;=$AW$11:$AW$74)*(T$48&lt;=$AX$11:$AX$74)&gt;0),$B82,"")</f>
        <v/>
      </c>
      <c r="U82" s="84" t="str">
        <f t="array" aca="1" ref="U82" ca="1">IF(OR((U$67&gt;=$AW$11:$AW$74)*(U$48&lt;=$AX$11:$AX$74)&gt;0),$B82,"")</f>
        <v/>
      </c>
      <c r="V82" s="84" t="str">
        <f t="array" aca="1" ref="V82" ca="1">IF(OR((V$67&gt;=$AW$11:$AW$74)*(V$48&lt;=$AX$11:$AX$74)&gt;0),$B82,"")</f>
        <v/>
      </c>
      <c r="W82" s="84" t="str">
        <f t="array" aca="1" ref="W82" ca="1">IF(OR((W$67&gt;=$AW$11:$AW$74)*(W$48&lt;=$AX$11:$AX$74)&gt;0),$B82,"")</f>
        <v/>
      </c>
      <c r="X82" s="84" t="str">
        <f t="array" aca="1" ref="X82" ca="1">IF(OR((X$67&gt;=$AW$11:$AW$74)*(X$48&lt;=$AX$11:$AX$74)&gt;0),$B82,"")</f>
        <v/>
      </c>
      <c r="Y82" s="84" t="str">
        <f t="array" aca="1" ref="Y82" ca="1">IF(OR((Y$67&gt;=$AW$11:$AW$74)*(Y$48&lt;=$AX$11:$AX$74)&gt;0),$B82,"")</f>
        <v/>
      </c>
      <c r="Z82" s="84" t="str">
        <f t="array" aca="1" ref="Z82" ca="1">IF(OR((Z$67&gt;=$AW$11:$AW$74)*(Z$48&lt;=$AX$11:$AX$74)&gt;0),$B82,"")</f>
        <v/>
      </c>
      <c r="AA82" s="84" t="str">
        <f t="array" aca="1" ref="AA82" ca="1">IF(OR((AA$67&gt;=$AW$11:$AW$74)*(AA$48&lt;=$AX$11:$AX$74)&gt;0),$B82,"")</f>
        <v/>
      </c>
      <c r="AB82" s="84" t="str">
        <f t="array" aca="1" ref="AB82" ca="1">IF(OR((AB$67&gt;=$AW$11:$AW$74)*(AB$48&lt;=$AX$11:$AX$74)&gt;0),$B82,"")</f>
        <v/>
      </c>
      <c r="AC82" s="84" t="str">
        <f t="array" aca="1" ref="AC82" ca="1">IF(OR((AC$67&gt;=$AW$11:$AW$74)*(AC$48&lt;=$AX$11:$AX$74)&gt;0),$B82,"")</f>
        <v/>
      </c>
      <c r="AD82" s="84" t="str">
        <f t="array" aca="1" ref="AD82" ca="1">IF(OR((AD$67&gt;=$AW$11:$AW$74)*(AD$48&lt;=$AX$11:$AX$74)&gt;0),$B82,"")</f>
        <v/>
      </c>
      <c r="AE82" s="84" t="str">
        <f t="array" aca="1" ref="AE82" ca="1">IF(OR((AE$67&gt;=$AW$11:$AW$74)*(AE$48&lt;=$AX$11:$AX$74)&gt;0),$B82,"")</f>
        <v/>
      </c>
      <c r="AF82" s="84" t="str">
        <f t="array" aca="1" ref="AF82" ca="1">IF(OR((AF$67&gt;=$AW$11:$AW$74)*(AF$48&lt;=$AX$11:$AX$74)&gt;0),$B82,"")</f>
        <v/>
      </c>
      <c r="AG82" s="84" t="str">
        <f t="array" aca="1" ref="AG82" ca="1">IF(OR((AG$67&gt;=$AW$11:$AW$74)*(AG$48&lt;=$AX$11:$AX$74)&gt;0),$B82,"")</f>
        <v/>
      </c>
      <c r="AH82" s="84" t="str">
        <f t="array" aca="1" ref="AH82" ca="1">IF(OR((AH$67&gt;=$AW$11:$AW$74)*(AH$48&lt;=$AX$11:$AX$74)&gt;0),$B82,"")</f>
        <v/>
      </c>
      <c r="AI82" s="84" t="str">
        <f t="array" aca="1" ref="AI82" ca="1">IF(OR((AI$67&gt;=$AW$11:$AW$74)*(AI$48&lt;=$AX$11:$AX$74)&gt;0),$B82,"")</f>
        <v/>
      </c>
      <c r="AK82" s="80" t="s">
        <v>186</v>
      </c>
      <c r="AL82" s="134">
        <v>5</v>
      </c>
      <c r="AM82" s="84" t="str">
        <f t="array" aca="1" ref="AM82" ca="1">IF(OR((AM$67&gt;=$AW$11:$AW$74)*(AM$48&lt;=$AX$11:$AX$74)&gt;0),$B82,"")</f>
        <v/>
      </c>
      <c r="AN82" s="84" t="str">
        <f t="array" aca="1" ref="AN82" ca="1">IF(OR((AN$67&gt;=$AW$11:$AW$74)*(AN$48&lt;=$AX$11:$AX$74)&gt;0),$B82,"")</f>
        <v/>
      </c>
      <c r="AO82" s="84" t="str">
        <f t="array" aca="1" ref="AO82" ca="1">IF(OR((AO$67&gt;=$AW$11:$AW$74)*(AO$48&lt;=$AX$11:$AX$74)&gt;0),$B82,"")</f>
        <v/>
      </c>
      <c r="AP82" s="84" t="str">
        <f t="array" aca="1" ref="AP82" ca="1">IF(OR((AP$67&gt;=$AW$11:$AW$74)*(AP$48&lt;=$AX$11:$AX$74)&gt;0),$B82,"")</f>
        <v/>
      </c>
      <c r="AQ82" s="84" t="str">
        <f t="array" aca="1" ref="AQ82" ca="1">IF(OR((AQ$67&gt;=$AW$11:$AW$74)*(AQ$48&lt;=$AX$11:$AX$74)&gt;0),$B82,"")</f>
        <v/>
      </c>
      <c r="AR82" s="84" t="str">
        <f t="array" aca="1" ref="AR82" ca="1">IF(OR((AR$67&gt;=$AW$11:$AW$74)*(AR$48&lt;=$AX$11:$AX$74)&gt;0),$B82,"")</f>
        <v/>
      </c>
      <c r="AS82" s="84" t="str">
        <f t="array" aca="1" ref="AS82" ca="1">IF(OR((AS$67&gt;=$AW$11:$AW$74)*(AS$48&lt;=$AX$11:$AX$74)&gt;0),$B82,"")</f>
        <v/>
      </c>
      <c r="AT82" s="84" t="str">
        <f t="array" aca="1" ref="AT82" ca="1">IF(OR((AT$67&gt;=$AW$11:$AW$74)*(AT$48&lt;=$AX$11:$AX$74)&gt;0),$B82,"")</f>
        <v/>
      </c>
      <c r="AU82" s="84" t="str">
        <f t="array" aca="1" ref="AU82" ca="1">IF(OR((AU$67&gt;=$AW$11:$AW$74)*(AU$48&lt;=$AX$11:$AX$74)&gt;0),$B82,"")</f>
        <v/>
      </c>
      <c r="AV82" s="84" t="str">
        <f t="array" aca="1" ref="AV82" ca="1">IF(OR((AV$67&gt;=$AW$11:$AW$74)*(AV$48&lt;=$AX$11:$AX$74)&gt;0),$B82,"")</f>
        <v/>
      </c>
      <c r="AW82" s="84" t="str">
        <f t="array" aca="1" ref="AW82" ca="1">IF(OR((AW$67&gt;=$AW$11:$AW$74)*(AW$48&lt;=$AX$11:$AX$74)&gt;0),$B82,"")</f>
        <v/>
      </c>
      <c r="AX82" s="84" t="str">
        <f t="array" aca="1" ref="AX82" ca="1">IF(OR((AX$67&gt;=$AW$11:$AW$74)*(AX$48&lt;=$AX$11:$AX$74)&gt;0),$B82,"")</f>
        <v/>
      </c>
      <c r="AY82" s="84" t="str">
        <f t="array" aca="1" ref="AY82" ca="1">IF(OR((AY$67&gt;=$AW$11:$AW$74)*(AY$48&lt;=$AX$11:$AX$74)&gt;0),$B82,"")</f>
        <v/>
      </c>
      <c r="AZ82" s="84" t="str">
        <f t="array" aca="1" ref="AZ82" ca="1">IF(OR((AZ$67&gt;=$AW$11:$AW$74)*(AZ$48&lt;=$AX$11:$AX$74)&gt;0),$B82,"")</f>
        <v/>
      </c>
      <c r="BA82" s="84" t="str">
        <f t="array" aca="1" ref="BA82" ca="1">IF(OR((BA$67&gt;=$AW$11:$AW$74)*(BA$48&lt;=$AX$11:$AX$74)&gt;0),$B82,"")</f>
        <v/>
      </c>
      <c r="BB82" s="84" t="str">
        <f t="array" aca="1" ref="BB82" ca="1">IF(OR((BB$67&gt;=$AW$11:$AW$74)*(BB$48&lt;=$AX$11:$AX$74)&gt;0),$B82,"")</f>
        <v/>
      </c>
      <c r="BC82" s="84" t="str">
        <f t="array" aca="1" ref="BC82" ca="1">IF(OR((BC$67&gt;=$AW$11:$AW$74)*(BC$48&lt;=$AX$11:$AX$74)&gt;0),$B82,"")</f>
        <v/>
      </c>
      <c r="BD82" s="84" t="str">
        <f t="array" aca="1" ref="BD82" ca="1">IF(OR((BD$67&gt;=$AW$11:$AW$74)*(BD$48&lt;=$AX$11:$AX$74)&gt;0),$B82,"")</f>
        <v/>
      </c>
      <c r="BE82" s="84" t="str">
        <f t="array" aca="1" ref="BE82" ca="1">IF(OR((BE$67&gt;=$AW$11:$AW$74)*(BE$48&lt;=$AX$11:$AX$74)&gt;0),$B82,"")</f>
        <v/>
      </c>
      <c r="BF82" s="84" t="str">
        <f t="array" aca="1" ref="BF82" ca="1">IF(OR((BF$67&gt;=$AW$11:$AW$74)*(BF$48&lt;=$AX$11:$AX$74)&gt;0),$B82,"")</f>
        <v/>
      </c>
      <c r="BG82" s="84" t="str">
        <f t="array" aca="1" ref="BG82" ca="1">IF(OR((BG$67&gt;=$AW$11:$AW$74)*(BG$48&lt;=$AX$11:$AX$74)&gt;0),$B82,"")</f>
        <v/>
      </c>
      <c r="BH82" s="84" t="str">
        <f t="array" aca="1" ref="BH82" ca="1">IF(OR((BH$67&gt;=$AW$11:$AW$74)*(BH$48&lt;=$AX$11:$AX$74)&gt;0),$B82,"")</f>
        <v/>
      </c>
      <c r="BI82" s="84" t="str">
        <f t="array" aca="1" ref="BI82" ca="1">IF(OR((BI$67&gt;=$AW$11:$AW$74)*(BI$48&lt;=$AX$11:$AX$74)&gt;0),$B82,"")</f>
        <v/>
      </c>
      <c r="BJ82" s="84" t="str">
        <f t="array" aca="1" ref="BJ82" ca="1">IF(OR((BJ$67&gt;=$AW$11:$AW$74)*(BJ$48&lt;=$AX$11:$AX$74)&gt;0),$B82,"")</f>
        <v/>
      </c>
      <c r="BK82" s="84" t="str">
        <f t="array" aca="1" ref="BK82" ca="1">IF(OR((BK$67&gt;=$AW$11:$AW$74)*(BK$48&lt;=$AX$11:$AX$74)&gt;0),$B82,"")</f>
        <v/>
      </c>
      <c r="BL82" s="84" t="str">
        <f t="array" aca="1" ref="BL82" ca="1">IF(OR((BL$67&gt;=$AW$11:$AW$74)*(BL$48&lt;=$AX$11:$AX$74)&gt;0),$B82,"")</f>
        <v/>
      </c>
      <c r="BM82" s="84" t="str">
        <f t="array" aca="1" ref="BM82" ca="1">IF(OR((BM$67&gt;=$AW$11:$AW$74)*(BM$48&lt;=$AX$11:$AX$74)&gt;0),$B82,"")</f>
        <v/>
      </c>
      <c r="BN82" s="84" t="str">
        <f t="array" aca="1" ref="BN82" ca="1">IF(OR((BN$67&gt;=$AW$11:$AW$74)*(BN$48&lt;=$AX$11:$AX$74)&gt;0),$B82,"")</f>
        <v/>
      </c>
      <c r="BO82" s="84" t="str">
        <f t="array" aca="1" ref="BO82" ca="1">IF(OR((BO$67&gt;=$AW$11:$AW$74)*(BO$48&lt;=$AX$11:$AX$74)&gt;0),$B82,"")</f>
        <v/>
      </c>
      <c r="BP82" s="84" t="str">
        <f t="array" aca="1" ref="BP82" ca="1">IF(OR((BP$67&gt;=$AW$11:$AW$74)*(BP$48&lt;=$AX$11:$AX$74)&gt;0),$B82,"")</f>
        <v/>
      </c>
      <c r="BQ82" s="84" t="str">
        <f t="array" aca="1" ref="BQ82" ca="1">IF(OR((BQ$67&gt;=$AW$11:$AW$74)*(BQ$48&lt;=$AX$11:$AX$74)&gt;0),$B82,"")</f>
        <v/>
      </c>
      <c r="BR82" s="84" t="str">
        <f t="array" aca="1" ref="BR82" ca="1">IF(OR((BR$67&gt;=$AW$11:$AW$74)*(BR$48&lt;=$AX$11:$AX$74)&gt;0),$B82,"")</f>
        <v/>
      </c>
      <c r="BS82" s="84" t="str">
        <f t="array" aca="1" ref="BS82" ca="1">IF(OR((BS$67&gt;=$AW$11:$AW$74)*(BS$48&lt;=$AX$11:$AX$74)&gt;0),$B82,"")</f>
        <v/>
      </c>
      <c r="BU82" s="80" t="s">
        <v>186</v>
      </c>
      <c r="BV82" s="134">
        <v>5</v>
      </c>
      <c r="BW82" s="84" t="str">
        <f t="array" aca="1" ref="BW82" ca="1">IF(OR((BW$67&gt;=$AW$11:$AW$74)*(BW$48&lt;=$AX$11:$AX$74)&gt;0),$B82,"")</f>
        <v/>
      </c>
      <c r="BX82" s="84" t="str">
        <f t="array" aca="1" ref="BX82" ca="1">IF(OR((BX$67&gt;=$AW$11:$AW$74)*(BX$48&lt;=$AX$11:$AX$74)&gt;0),$B82,"")</f>
        <v/>
      </c>
      <c r="BY82" s="84" t="str">
        <f t="array" aca="1" ref="BY82" ca="1">IF(OR((BY$67&gt;=$AW$11:$AW$74)*(BY$48&lt;=$AX$11:$AX$74)&gt;0),$B82,"")</f>
        <v/>
      </c>
      <c r="BZ82" s="84" t="str">
        <f t="array" aca="1" ref="BZ82" ca="1">IF(OR((BZ$67&gt;=$AW$11:$AW$74)*(BZ$48&lt;=$AX$11:$AX$74)&gt;0),$B82,"")</f>
        <v/>
      </c>
      <c r="CA82" s="84" t="str">
        <f t="array" aca="1" ref="CA82" ca="1">IF(OR((CA$67&gt;=$AW$11:$AW$74)*(CA$48&lt;=$AX$11:$AX$74)&gt;0),$B82,"")</f>
        <v/>
      </c>
      <c r="CB82" s="84" t="str">
        <f t="array" aca="1" ref="CB82" ca="1">IF(OR((CB$67&gt;=$AW$11:$AW$74)*(CB$48&lt;=$AX$11:$AX$74)&gt;0),$B82,"")</f>
        <v/>
      </c>
      <c r="CC82" s="84" t="str">
        <f t="array" aca="1" ref="CC82" ca="1">IF(OR((CC$67&gt;=$AW$11:$AW$74)*(CC$48&lt;=$AX$11:$AX$74)&gt;0),$B82,"")</f>
        <v/>
      </c>
      <c r="CD82" s="84" t="str">
        <f t="array" aca="1" ref="CD82" ca="1">IF(OR((CD$67&gt;=$AW$11:$AW$74)*(CD$48&lt;=$AX$11:$AX$74)&gt;0),$B82,"")</f>
        <v/>
      </c>
      <c r="CE82" s="84" t="str">
        <f t="array" aca="1" ref="CE82" ca="1">IF(OR((CE$67&gt;=$AW$11:$AW$74)*(CE$48&lt;=$AX$11:$AX$74)&gt;0),$B82,"")</f>
        <v/>
      </c>
      <c r="CF82" s="84" t="str">
        <f t="array" aca="1" ref="CF82" ca="1">IF(OR((CF$67&gt;=$AW$11:$AW$74)*(CF$48&lt;=$AX$11:$AX$74)&gt;0),$B82,"")</f>
        <v/>
      </c>
      <c r="CG82" s="84" t="str">
        <f t="array" aca="1" ref="CG82" ca="1">IF(OR((CG$67&gt;=$AW$11:$AW$74)*(CG$48&lt;=$AX$11:$AX$74)&gt;0),$B82,"")</f>
        <v/>
      </c>
      <c r="CH82" s="84" t="str">
        <f t="array" aca="1" ref="CH82" ca="1">IF(OR((CH$67&gt;=$AW$11:$AW$74)*(CH$48&lt;=$AX$11:$AX$74)&gt;0),$B82,"")</f>
        <v/>
      </c>
      <c r="CI82" s="84" t="str">
        <f t="array" aca="1" ref="CI82" ca="1">IF(OR((CI$67&gt;=$AW$11:$AW$74)*(CI$48&lt;=$AX$11:$AX$74)&gt;0),$B82,"")</f>
        <v/>
      </c>
      <c r="CJ82" s="84" t="str">
        <f t="array" aca="1" ref="CJ82" ca="1">IF(OR((CJ$67&gt;=$AW$11:$AW$74)*(CJ$48&lt;=$AX$11:$AX$74)&gt;0),$B82,"")</f>
        <v/>
      </c>
      <c r="CK82" s="84" t="str">
        <f t="array" aca="1" ref="CK82" ca="1">IF(OR((CK$67&gt;=$AW$11:$AW$74)*(CK$48&lt;=$AX$11:$AX$74)&gt;0),$B82,"")</f>
        <v/>
      </c>
      <c r="CL82" s="84" t="str">
        <f t="array" aca="1" ref="CL82" ca="1">IF(OR((CL$67&gt;=$AW$11:$AW$74)*(CL$48&lt;=$AX$11:$AX$74)&gt;0),$B82,"")</f>
        <v/>
      </c>
      <c r="CM82" s="84" t="str">
        <f t="array" aca="1" ref="CM82" ca="1">IF(OR((CM$67&gt;=$AW$11:$AW$74)*(CM$48&lt;=$AX$11:$AX$74)&gt;0),$B82,"")</f>
        <v/>
      </c>
      <c r="CN82" s="84" t="str">
        <f t="array" aca="1" ref="CN82" ca="1">IF(OR((CN$67&gt;=$AW$11:$AW$74)*(CN$48&lt;=$AX$11:$AX$74)&gt;0),$B82,"")</f>
        <v/>
      </c>
      <c r="CO82" s="84" t="str">
        <f t="array" aca="1" ref="CO82" ca="1">IF(OR((CO$67&gt;=$AW$11:$AW$74)*(CO$48&lt;=$AX$11:$AX$74)&gt;0),$B82,"")</f>
        <v/>
      </c>
      <c r="CP82" s="84" t="str">
        <f t="array" aca="1" ref="CP82" ca="1">IF(OR((CP$67&gt;=$AW$11:$AW$74)*(CP$48&lt;=$AX$11:$AX$74)&gt;0),$B82,"")</f>
        <v/>
      </c>
      <c r="CQ82" s="84" t="str">
        <f t="array" aca="1" ref="CQ82" ca="1">IF(OR((CQ$67&gt;=$AW$11:$AW$74)*(CQ$48&lt;=$AX$11:$AX$74)&gt;0),$B82,"")</f>
        <v/>
      </c>
      <c r="CR82" s="84" t="str">
        <f t="array" aca="1" ref="CR82" ca="1">IF(OR((CR$67&gt;=$AW$11:$AW$74)*(CR$48&lt;=$AX$11:$AX$74)&gt;0),$B82,"")</f>
        <v/>
      </c>
      <c r="CS82" s="84" t="str">
        <f t="array" aca="1" ref="CS82" ca="1">IF(OR((CS$67&gt;=$AW$11:$AW$74)*(CS$48&lt;=$AX$11:$AX$74)&gt;0),$B82,"")</f>
        <v/>
      </c>
      <c r="CT82" s="84" t="str">
        <f t="array" aca="1" ref="CT82" ca="1">IF(OR((CT$67&gt;=$AW$11:$AW$74)*(CT$48&lt;=$AX$11:$AX$74)&gt;0),$B82,"")</f>
        <v/>
      </c>
      <c r="CU82" s="84" t="str">
        <f t="array" aca="1" ref="CU82" ca="1">IF(OR((CU$67&gt;=$AW$11:$AW$74)*(CU$48&lt;=$AX$11:$AX$74)&gt;0),$B82,"")</f>
        <v/>
      </c>
      <c r="CV82" s="84" t="str">
        <f t="array" aca="1" ref="CV82" ca="1">IF(OR((CV$67&gt;=$AW$11:$AW$74)*(CV$48&lt;=$AX$11:$AX$74)&gt;0),$B82,"")</f>
        <v/>
      </c>
      <c r="CW82" s="84" t="str">
        <f t="array" aca="1" ref="CW82" ca="1">IF(OR((CW$67&gt;=$AW$11:$AW$74)*(CW$48&lt;=$AX$11:$AX$74)&gt;0),$B82,"")</f>
        <v/>
      </c>
      <c r="CX82" s="84" t="str">
        <f t="array" aca="1" ref="CX82" ca="1">IF(OR((CX$67&gt;=$AW$11:$AW$74)*(CX$48&lt;=$AX$11:$AX$74)&gt;0),$B82,"")</f>
        <v/>
      </c>
      <c r="CY82" s="84" t="str">
        <f t="array" aca="1" ref="CY82" ca="1">IF(OR((CY$67&gt;=$AW$11:$AW$74)*(CY$48&lt;=$AX$11:$AX$74)&gt;0),$B82,"")</f>
        <v/>
      </c>
      <c r="CZ82" s="84" t="str">
        <f t="array" aca="1" ref="CZ82" ca="1">IF(OR((CZ$67&gt;=$AW$11:$AW$74)*(CZ$48&lt;=$AX$11:$AX$74)&gt;0),$B82,"")</f>
        <v/>
      </c>
      <c r="DA82" s="84" t="str">
        <f t="array" aca="1" ref="DA82" ca="1">IF(OR((DA$67&gt;=$AW$11:$AW$74)*(DA$48&lt;=$AX$11:$AX$74)&gt;0),$B82,"")</f>
        <v/>
      </c>
      <c r="DB82" s="84" t="str">
        <f t="array" aca="1" ref="DB82" ca="1">IF(OR((DB$67&gt;=$AW$11:$AW$74)*(DB$48&lt;=$AX$11:$AX$74)&gt;0),$B82,"")</f>
        <v/>
      </c>
      <c r="DC82" s="84" t="str">
        <f t="array" aca="1" ref="DC82" ca="1">IF(OR((DC$67&gt;=$AW$11:$AW$74)*(DC$48&lt;=$AX$11:$AX$74)&gt;0),$B82,"")</f>
        <v/>
      </c>
    </row>
    <row r="83" spans="1:107">
      <c r="A83" s="8"/>
      <c r="B83" s="12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K83" s="8"/>
      <c r="AL83" s="12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U83" s="8"/>
      <c r="BV83" s="12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</row>
    <row r="84" spans="1:107">
      <c r="A84" s="7" t="s">
        <v>92</v>
      </c>
      <c r="B84" s="10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K84" s="7" t="s">
        <v>92</v>
      </c>
      <c r="AL84" s="10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U84" s="7" t="s">
        <v>92</v>
      </c>
      <c r="BV84" s="10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</row>
    <row r="85" spans="1:107">
      <c r="A85" s="75"/>
      <c r="B85" s="11" t="s">
        <v>154</v>
      </c>
      <c r="C85" s="112">
        <f>EOMONTH($A$1,-1)</f>
        <v>46265</v>
      </c>
      <c r="D85" s="112">
        <f t="shared" ref="D85:AI85" si="325">C85+1</f>
        <v>46266</v>
      </c>
      <c r="E85" s="112">
        <f t="shared" si="325"/>
        <v>46267</v>
      </c>
      <c r="F85" s="112">
        <f t="shared" si="325"/>
        <v>46268</v>
      </c>
      <c r="G85" s="112">
        <f t="shared" si="325"/>
        <v>46269</v>
      </c>
      <c r="H85" s="112">
        <f t="shared" si="325"/>
        <v>46270</v>
      </c>
      <c r="I85" s="112">
        <f t="shared" si="325"/>
        <v>46271</v>
      </c>
      <c r="J85" s="112">
        <f t="shared" si="325"/>
        <v>46272</v>
      </c>
      <c r="K85" s="112">
        <f t="shared" si="325"/>
        <v>46273</v>
      </c>
      <c r="L85" s="112">
        <f t="shared" si="325"/>
        <v>46274</v>
      </c>
      <c r="M85" s="112">
        <f t="shared" si="325"/>
        <v>46275</v>
      </c>
      <c r="N85" s="112">
        <f t="shared" si="325"/>
        <v>46276</v>
      </c>
      <c r="O85" s="112">
        <f t="shared" si="325"/>
        <v>46277</v>
      </c>
      <c r="P85" s="112">
        <f t="shared" si="325"/>
        <v>46278</v>
      </c>
      <c r="Q85" s="112">
        <f t="shared" si="325"/>
        <v>46279</v>
      </c>
      <c r="R85" s="112">
        <f t="shared" si="325"/>
        <v>46280</v>
      </c>
      <c r="S85" s="112">
        <f t="shared" si="325"/>
        <v>46281</v>
      </c>
      <c r="T85" s="112">
        <f t="shared" si="325"/>
        <v>46282</v>
      </c>
      <c r="U85" s="112">
        <f t="shared" si="325"/>
        <v>46283</v>
      </c>
      <c r="V85" s="112">
        <f t="shared" si="325"/>
        <v>46284</v>
      </c>
      <c r="W85" s="112">
        <f t="shared" si="325"/>
        <v>46285</v>
      </c>
      <c r="X85" s="112">
        <f t="shared" si="325"/>
        <v>46286</v>
      </c>
      <c r="Y85" s="112">
        <f t="shared" si="325"/>
        <v>46287</v>
      </c>
      <c r="Z85" s="112">
        <f t="shared" si="325"/>
        <v>46288</v>
      </c>
      <c r="AA85" s="112">
        <f t="shared" si="325"/>
        <v>46289</v>
      </c>
      <c r="AB85" s="112">
        <f t="shared" si="325"/>
        <v>46290</v>
      </c>
      <c r="AC85" s="112">
        <f t="shared" si="325"/>
        <v>46291</v>
      </c>
      <c r="AD85" s="112">
        <f t="shared" si="325"/>
        <v>46292</v>
      </c>
      <c r="AE85" s="112">
        <f t="shared" si="325"/>
        <v>46293</v>
      </c>
      <c r="AF85" s="112">
        <f t="shared" si="325"/>
        <v>46294</v>
      </c>
      <c r="AG85" s="112">
        <f t="shared" si="325"/>
        <v>46295</v>
      </c>
      <c r="AH85" s="112">
        <f t="shared" si="325"/>
        <v>46296</v>
      </c>
      <c r="AI85" s="112">
        <f t="shared" si="325"/>
        <v>46297</v>
      </c>
      <c r="AK85" s="75"/>
      <c r="AL85" s="11" t="s">
        <v>154</v>
      </c>
      <c r="AM85" s="112">
        <f>EOMONTH($A$1,-1)</f>
        <v>46265</v>
      </c>
      <c r="AN85" s="112">
        <f t="shared" ref="AN85" si="326">AM85+1</f>
        <v>46266</v>
      </c>
      <c r="AO85" s="112">
        <f t="shared" ref="AO85" si="327">AN85+1</f>
        <v>46267</v>
      </c>
      <c r="AP85" s="112">
        <f t="shared" ref="AP85" si="328">AO85+1</f>
        <v>46268</v>
      </c>
      <c r="AQ85" s="112">
        <f t="shared" ref="AQ85" si="329">AP85+1</f>
        <v>46269</v>
      </c>
      <c r="AR85" s="112">
        <f t="shared" ref="AR85" si="330">AQ85+1</f>
        <v>46270</v>
      </c>
      <c r="AS85" s="112">
        <f t="shared" ref="AS85" si="331">AR85+1</f>
        <v>46271</v>
      </c>
      <c r="AT85" s="112">
        <f t="shared" ref="AT85" si="332">AS85+1</f>
        <v>46272</v>
      </c>
      <c r="AU85" s="112">
        <f t="shared" ref="AU85" si="333">AT85+1</f>
        <v>46273</v>
      </c>
      <c r="AV85" s="112">
        <f t="shared" ref="AV85" si="334">AU85+1</f>
        <v>46274</v>
      </c>
      <c r="AW85" s="112">
        <f t="shared" ref="AW85" si="335">AV85+1</f>
        <v>46275</v>
      </c>
      <c r="AX85" s="112">
        <f t="shared" ref="AX85" si="336">AW85+1</f>
        <v>46276</v>
      </c>
      <c r="AY85" s="112">
        <f t="shared" ref="AY85" si="337">AX85+1</f>
        <v>46277</v>
      </c>
      <c r="AZ85" s="112">
        <f t="shared" ref="AZ85" si="338">AY85+1</f>
        <v>46278</v>
      </c>
      <c r="BA85" s="112">
        <f t="shared" ref="BA85" si="339">AZ85+1</f>
        <v>46279</v>
      </c>
      <c r="BB85" s="112">
        <f t="shared" ref="BB85" si="340">BA85+1</f>
        <v>46280</v>
      </c>
      <c r="BC85" s="112">
        <f t="shared" ref="BC85" si="341">BB85+1</f>
        <v>46281</v>
      </c>
      <c r="BD85" s="112">
        <f t="shared" ref="BD85" si="342">BC85+1</f>
        <v>46282</v>
      </c>
      <c r="BE85" s="112">
        <f t="shared" ref="BE85" si="343">BD85+1</f>
        <v>46283</v>
      </c>
      <c r="BF85" s="112">
        <f t="shared" ref="BF85" si="344">BE85+1</f>
        <v>46284</v>
      </c>
      <c r="BG85" s="112">
        <f t="shared" ref="BG85" si="345">BF85+1</f>
        <v>46285</v>
      </c>
      <c r="BH85" s="112">
        <f t="shared" ref="BH85" si="346">BG85+1</f>
        <v>46286</v>
      </c>
      <c r="BI85" s="112">
        <f t="shared" ref="BI85" si="347">BH85+1</f>
        <v>46287</v>
      </c>
      <c r="BJ85" s="112">
        <f t="shared" ref="BJ85" si="348">BI85+1</f>
        <v>46288</v>
      </c>
      <c r="BK85" s="112">
        <f t="shared" ref="BK85" si="349">BJ85+1</f>
        <v>46289</v>
      </c>
      <c r="BL85" s="112">
        <f t="shared" ref="BL85" si="350">BK85+1</f>
        <v>46290</v>
      </c>
      <c r="BM85" s="112">
        <f t="shared" ref="BM85" si="351">BL85+1</f>
        <v>46291</v>
      </c>
      <c r="BN85" s="112">
        <f t="shared" ref="BN85" si="352">BM85+1</f>
        <v>46292</v>
      </c>
      <c r="BO85" s="112">
        <f t="shared" ref="BO85" si="353">BN85+1</f>
        <v>46293</v>
      </c>
      <c r="BP85" s="112">
        <f t="shared" ref="BP85" si="354">BO85+1</f>
        <v>46294</v>
      </c>
      <c r="BQ85" s="112">
        <f t="shared" ref="BQ85" si="355">BP85+1</f>
        <v>46295</v>
      </c>
      <c r="BR85" s="112">
        <f t="shared" ref="BR85" si="356">BQ85+1</f>
        <v>46296</v>
      </c>
      <c r="BS85" s="112">
        <f t="shared" ref="BS85" si="357">BR85+1</f>
        <v>46297</v>
      </c>
      <c r="BU85" s="75"/>
      <c r="BV85" s="11" t="s">
        <v>154</v>
      </c>
      <c r="BW85" s="112">
        <f>EOMONTH($A$1,-1)</f>
        <v>46265</v>
      </c>
      <c r="BX85" s="112">
        <f t="shared" ref="BX85" si="358">BW85+1</f>
        <v>46266</v>
      </c>
      <c r="BY85" s="112">
        <f t="shared" ref="BY85" si="359">BX85+1</f>
        <v>46267</v>
      </c>
      <c r="BZ85" s="112">
        <f t="shared" ref="BZ85" si="360">BY85+1</f>
        <v>46268</v>
      </c>
      <c r="CA85" s="112">
        <f t="shared" ref="CA85" si="361">BZ85+1</f>
        <v>46269</v>
      </c>
      <c r="CB85" s="112">
        <f t="shared" ref="CB85" si="362">CA85+1</f>
        <v>46270</v>
      </c>
      <c r="CC85" s="112">
        <f t="shared" ref="CC85" si="363">CB85+1</f>
        <v>46271</v>
      </c>
      <c r="CD85" s="112">
        <f t="shared" ref="CD85" si="364">CC85+1</f>
        <v>46272</v>
      </c>
      <c r="CE85" s="112">
        <f t="shared" ref="CE85" si="365">CD85+1</f>
        <v>46273</v>
      </c>
      <c r="CF85" s="112">
        <f t="shared" ref="CF85" si="366">CE85+1</f>
        <v>46274</v>
      </c>
      <c r="CG85" s="112">
        <f t="shared" ref="CG85" si="367">CF85+1</f>
        <v>46275</v>
      </c>
      <c r="CH85" s="112">
        <f t="shared" ref="CH85" si="368">CG85+1</f>
        <v>46276</v>
      </c>
      <c r="CI85" s="112">
        <f t="shared" ref="CI85" si="369">CH85+1</f>
        <v>46277</v>
      </c>
      <c r="CJ85" s="112">
        <f t="shared" ref="CJ85" si="370">CI85+1</f>
        <v>46278</v>
      </c>
      <c r="CK85" s="112">
        <f t="shared" ref="CK85" si="371">CJ85+1</f>
        <v>46279</v>
      </c>
      <c r="CL85" s="112">
        <f t="shared" ref="CL85" si="372">CK85+1</f>
        <v>46280</v>
      </c>
      <c r="CM85" s="112">
        <f t="shared" ref="CM85" si="373">CL85+1</f>
        <v>46281</v>
      </c>
      <c r="CN85" s="112">
        <f t="shared" ref="CN85" si="374">CM85+1</f>
        <v>46282</v>
      </c>
      <c r="CO85" s="112">
        <f t="shared" ref="CO85" si="375">CN85+1</f>
        <v>46283</v>
      </c>
      <c r="CP85" s="112">
        <f t="shared" ref="CP85" si="376">CO85+1</f>
        <v>46284</v>
      </c>
      <c r="CQ85" s="112">
        <f t="shared" ref="CQ85" si="377">CP85+1</f>
        <v>46285</v>
      </c>
      <c r="CR85" s="112">
        <f t="shared" ref="CR85" si="378">CQ85+1</f>
        <v>46286</v>
      </c>
      <c r="CS85" s="112">
        <f t="shared" ref="CS85" si="379">CR85+1</f>
        <v>46287</v>
      </c>
      <c r="CT85" s="112">
        <f t="shared" ref="CT85" si="380">CS85+1</f>
        <v>46288</v>
      </c>
      <c r="CU85" s="112">
        <f t="shared" ref="CU85" si="381">CT85+1</f>
        <v>46289</v>
      </c>
      <c r="CV85" s="112">
        <f t="shared" ref="CV85" si="382">CU85+1</f>
        <v>46290</v>
      </c>
      <c r="CW85" s="112">
        <f t="shared" ref="CW85" si="383">CV85+1</f>
        <v>46291</v>
      </c>
      <c r="CX85" s="112">
        <f t="shared" ref="CX85" si="384">CW85+1</f>
        <v>46292</v>
      </c>
      <c r="CY85" s="112">
        <f t="shared" ref="CY85" si="385">CX85+1</f>
        <v>46293</v>
      </c>
      <c r="CZ85" s="112">
        <f t="shared" ref="CZ85" si="386">CY85+1</f>
        <v>46294</v>
      </c>
      <c r="DA85" s="112">
        <f t="shared" ref="DA85" si="387">CZ85+1</f>
        <v>46295</v>
      </c>
      <c r="DB85" s="112">
        <f t="shared" ref="DB85" si="388">DA85+1</f>
        <v>46296</v>
      </c>
      <c r="DC85" s="112">
        <f t="shared" ref="DC85" si="389">DB85+1</f>
        <v>46297</v>
      </c>
    </row>
    <row r="86" spans="1:107">
      <c r="A86" s="183" t="s">
        <v>187</v>
      </c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  <c r="AA86" s="184"/>
      <c r="AB86" s="184"/>
      <c r="AC86" s="184"/>
      <c r="AD86" s="184"/>
      <c r="AE86" s="184"/>
      <c r="AF86" s="184"/>
      <c r="AG86" s="184"/>
      <c r="AH86" s="184"/>
      <c r="AI86" s="185"/>
      <c r="AK86" s="183" t="s">
        <v>187</v>
      </c>
      <c r="AL86" s="184"/>
      <c r="AM86" s="184"/>
      <c r="AN86" s="184"/>
      <c r="AO86" s="184"/>
      <c r="AP86" s="184"/>
      <c r="AQ86" s="184"/>
      <c r="AR86" s="184"/>
      <c r="AS86" s="184"/>
      <c r="AT86" s="184"/>
      <c r="AU86" s="184"/>
      <c r="AV86" s="184"/>
      <c r="AW86" s="184"/>
      <c r="AX86" s="184"/>
      <c r="AY86" s="184"/>
      <c r="AZ86" s="184"/>
      <c r="BA86" s="184"/>
      <c r="BB86" s="184"/>
      <c r="BC86" s="184"/>
      <c r="BD86" s="184"/>
      <c r="BE86" s="184"/>
      <c r="BF86" s="184"/>
      <c r="BG86" s="184"/>
      <c r="BH86" s="184"/>
      <c r="BI86" s="184"/>
      <c r="BJ86" s="184"/>
      <c r="BK86" s="184"/>
      <c r="BL86" s="184"/>
      <c r="BM86" s="184"/>
      <c r="BN86" s="184"/>
      <c r="BO86" s="184"/>
      <c r="BP86" s="184"/>
      <c r="BQ86" s="184"/>
      <c r="BR86" s="184"/>
      <c r="BS86" s="185"/>
      <c r="BU86" s="183" t="s">
        <v>187</v>
      </c>
      <c r="BV86" s="184"/>
      <c r="BW86" s="184"/>
      <c r="BX86" s="184"/>
      <c r="BY86" s="184"/>
      <c r="BZ86" s="184"/>
      <c r="CA86" s="184"/>
      <c r="CB86" s="184"/>
      <c r="CC86" s="184"/>
      <c r="CD86" s="184"/>
      <c r="CE86" s="184"/>
      <c r="CF86" s="184"/>
      <c r="CG86" s="184"/>
      <c r="CH86" s="184"/>
      <c r="CI86" s="184"/>
      <c r="CJ86" s="184"/>
      <c r="CK86" s="184"/>
      <c r="CL86" s="184"/>
      <c r="CM86" s="184"/>
      <c r="CN86" s="184"/>
      <c r="CO86" s="184"/>
      <c r="CP86" s="184"/>
      <c r="CQ86" s="184"/>
      <c r="CR86" s="184"/>
      <c r="CS86" s="184"/>
      <c r="CT86" s="184"/>
      <c r="CU86" s="184"/>
      <c r="CV86" s="184"/>
      <c r="CW86" s="184"/>
      <c r="CX86" s="184"/>
      <c r="CY86" s="184"/>
      <c r="CZ86" s="184"/>
      <c r="DA86" s="184"/>
      <c r="DB86" s="184"/>
      <c r="DC86" s="185"/>
    </row>
    <row r="87" spans="1:107">
      <c r="A87" s="75" t="s">
        <v>188</v>
      </c>
      <c r="B87" s="16">
        <v>288</v>
      </c>
      <c r="C87" s="84" t="str">
        <f t="array" ref="C87">IF(OR((C$85&gt;=$AY$11:$AY$38)*(C$48&lt;=$AZ$11:$AZ$38)&gt;0),$B87,"")</f>
        <v/>
      </c>
      <c r="D87" s="84" t="str">
        <f t="array" ref="D87">IF(OR((D$85&gt;=$AY$11:$AY$38)*(D$48&lt;=$AZ$11:$AZ$38)&gt;0),$B87,"")</f>
        <v/>
      </c>
      <c r="E87" s="84" t="str">
        <f t="array" ref="E87">IF(OR((E$85&gt;=$AY$11:$AY$38)*(E$48&lt;=$AZ$11:$AZ$38)&gt;0),$B87,"")</f>
        <v/>
      </c>
      <c r="F87" s="84" t="str">
        <f t="array" ref="F87">IF(OR((F$85&gt;=$AY$11:$AY$38)*(F$48&lt;=$AZ$11:$AZ$38)&gt;0),$B87,"")</f>
        <v/>
      </c>
      <c r="G87" s="84" t="str">
        <f t="array" ref="G87">IF(OR((G$85&gt;=$AY$11:$AY$38)*(G$48&lt;=$AZ$11:$AZ$38)&gt;0),$B87,"")</f>
        <v/>
      </c>
      <c r="H87" s="84" t="str">
        <f t="array" ref="H87">IF(OR((H$85&gt;=$AY$11:$AY$38)*(H$48&lt;=$AZ$11:$AZ$38)&gt;0),$B87,"")</f>
        <v/>
      </c>
      <c r="I87" s="84" t="str">
        <f t="array" ref="I87">IF(OR((I$85&gt;=$AY$11:$AY$38)*(I$48&lt;=$AZ$11:$AZ$38)&gt;0),$B87,"")</f>
        <v/>
      </c>
      <c r="J87" s="84" t="str">
        <f t="array" ref="J87">IF(OR((J$85&gt;=$AY$11:$AY$38)*(J$48&lt;=$AZ$11:$AZ$38)&gt;0),$B87,"")</f>
        <v/>
      </c>
      <c r="K87" s="84" t="str">
        <f t="array" ref="K87">IF(OR((K$85&gt;=$AY$11:$AY$38)*(K$48&lt;=$AZ$11:$AZ$38)&gt;0),$B87,"")</f>
        <v/>
      </c>
      <c r="L87" s="84" t="str">
        <f t="array" ref="L87">IF(OR((L$85&gt;=$AY$11:$AY$38)*(L$48&lt;=$AZ$11:$AZ$38)&gt;0),$B87,"")</f>
        <v/>
      </c>
      <c r="M87" s="84" t="str">
        <f t="array" ref="M87">IF(OR((M$85&gt;=$AY$11:$AY$38)*(M$48&lt;=$AZ$11:$AZ$38)&gt;0),$B87,"")</f>
        <v/>
      </c>
      <c r="N87" s="84" t="str">
        <f t="array" ref="N87">IF(OR((N$85&gt;=$AY$11:$AY$38)*(N$48&lt;=$AZ$11:$AZ$38)&gt;0),$B87,"")</f>
        <v/>
      </c>
      <c r="O87" s="84"/>
      <c r="P87" s="84"/>
      <c r="Q87" s="84" t="str">
        <f t="array" ref="Q87">IF(OR((Q$85&gt;=$AY$11:$AY$38)*(Q$48&lt;=$AZ$11:$AZ$38)&gt;0),$B87,"")</f>
        <v/>
      </c>
      <c r="R87" s="84" t="str">
        <f t="array" ref="R87">IF(OR((R$85&gt;=$AY$11:$AY$38)*(R$48&lt;=$AZ$11:$AZ$38)&gt;0),$B87,"")</f>
        <v/>
      </c>
      <c r="S87" s="84" t="str">
        <f t="array" ref="S87">IF(OR((S$85&gt;=$AY$11:$AY$38)*(S$48&lt;=$AZ$11:$AZ$38)&gt;0),$B87,"")</f>
        <v/>
      </c>
      <c r="T87" s="84" t="str">
        <f t="array" ref="T87">IF(OR((T$85&gt;=$AY$11:$AY$38)*(T$48&lt;=$AZ$11:$AZ$38)&gt;0),$B87,"")</f>
        <v/>
      </c>
      <c r="U87" s="84" t="str">
        <f t="array" ref="U87">IF(OR((U$85&gt;=$AY$11:$AY$38)*(U$48&lt;=$AZ$11:$AZ$38)&gt;0),$B87,"")</f>
        <v/>
      </c>
      <c r="V87" s="84" t="str">
        <f t="array" ref="V87">IF(OR((V$85&gt;=$AY$11:$AY$38)*(V$48&lt;=$AZ$11:$AZ$38)&gt;0),$B87,"")</f>
        <v/>
      </c>
      <c r="W87" s="84" t="str">
        <f t="array" ref="W87">IF(OR((W$85&gt;=$AY$11:$AY$38)*(W$48&lt;=$AZ$11:$AZ$38)&gt;0),$B87,"")</f>
        <v/>
      </c>
      <c r="X87" s="84" t="str">
        <f t="array" ref="X87">IF(OR((X$85&gt;=$AY$11:$AY$38)*(X$48&lt;=$AZ$11:$AZ$38)&gt;0),$B87,"")</f>
        <v/>
      </c>
      <c r="Y87" s="84" t="str">
        <f t="array" ref="Y87">IF(OR((Y$85&gt;=$AY$11:$AY$38)*(Y$48&lt;=$AZ$11:$AZ$38)&gt;0),$B87,"")</f>
        <v/>
      </c>
      <c r="Z87" s="84" t="str">
        <f t="array" ref="Z87">IF(OR((Z$85&gt;=$AY$11:$AY$38)*(Z$48&lt;=$AZ$11:$AZ$38)&gt;0),$B87,"")</f>
        <v/>
      </c>
      <c r="AA87" s="84" t="str">
        <f t="array" ref="AA87">IF(OR((AA$85&gt;=$AY$11:$AY$38)*(AA$48&lt;=$AZ$11:$AZ$38)&gt;0),$B87,"")</f>
        <v/>
      </c>
      <c r="AB87" s="84" t="str">
        <f t="array" ref="AB87">IF(OR((AB$85&gt;=$AY$11:$AY$38)*(AB$48&lt;=$AZ$11:$AZ$38)&gt;0),$B87,"")</f>
        <v/>
      </c>
      <c r="AC87" s="84" t="str">
        <f t="array" ref="AC87">IF(OR((AC$85&gt;=$AY$11:$AY$38)*(AC$48&lt;=$AZ$11:$AZ$38)&gt;0),$B87,"")</f>
        <v/>
      </c>
      <c r="AD87" s="84" t="str">
        <f t="array" ref="AD87">IF(OR((AD$85&gt;=$AY$11:$AY$38)*(AD$48&lt;=$AZ$11:$AZ$38)&gt;0),$B87,"")</f>
        <v/>
      </c>
      <c r="AE87" s="84" t="str">
        <f t="array" ref="AE87">IF(OR((AE$85&gt;=$AY$11:$AY$38)*(AE$48&lt;=$AZ$11:$AZ$38)&gt;0),$B87,"")</f>
        <v/>
      </c>
      <c r="AF87" s="84" t="str">
        <f t="array" ref="AF87">IF(OR((AF$85&gt;=$AY$11:$AY$38)*(AF$48&lt;=$AZ$11:$AZ$38)&gt;0),$B87,"")</f>
        <v/>
      </c>
      <c r="AG87" s="84" t="str">
        <f t="array" ref="AG87">IF(OR((AG$85&gt;=$AY$11:$AY$38)*(AG$48&lt;=$AZ$11:$AZ$38)&gt;0),$B87,"")</f>
        <v/>
      </c>
      <c r="AH87" s="84" t="str">
        <f t="array" ref="AH87">IF(OR((AH$85&gt;=$AY$11:$AY$38)*(AH$48&lt;=$AZ$11:$AZ$38)&gt;0),$B87,"")</f>
        <v/>
      </c>
      <c r="AI87" s="84" t="str">
        <f t="array" ref="AI87">IF(OR((AI$85&gt;=$AY$11:$AY$38)*(AI$48&lt;=$AZ$11:$AZ$38)&gt;0),$B87,"")</f>
        <v/>
      </c>
      <c r="AK87" s="75" t="s">
        <v>188</v>
      </c>
      <c r="AL87" s="16">
        <v>288</v>
      </c>
      <c r="AM87" s="84" t="str">
        <f t="array" ref="AM87">IF(OR((AM$85&gt;=$AY$11:$AY$38)*(AM$48&lt;=$AZ$11:$AZ$38)&gt;0),$B87,"")</f>
        <v/>
      </c>
      <c r="AN87" s="84" t="str">
        <f t="array" ref="AN87">IF(OR((AN$85&gt;=$AY$11:$AY$38)*(AN$48&lt;=$AZ$11:$AZ$38)&gt;0),$B87,"")</f>
        <v/>
      </c>
      <c r="AO87" s="84" t="str">
        <f t="array" ref="AO87">IF(OR((AO$85&gt;=$AY$11:$AY$38)*(AO$48&lt;=$AZ$11:$AZ$38)&gt;0),$B87,"")</f>
        <v/>
      </c>
      <c r="AP87" s="84" t="str">
        <f t="array" ref="AP87">IF(OR((AP$85&gt;=$AY$11:$AY$38)*(AP$48&lt;=$AZ$11:$AZ$38)&gt;0),$B87,"")</f>
        <v/>
      </c>
      <c r="AQ87" s="84" t="str">
        <f t="array" ref="AQ87">IF(OR((AQ$85&gt;=$AY$11:$AY$38)*(AQ$48&lt;=$AZ$11:$AZ$38)&gt;0),$B87,"")</f>
        <v/>
      </c>
      <c r="AR87" s="84" t="str">
        <f t="array" ref="AR87">IF(OR((AR$85&gt;=$AY$11:$AY$38)*(AR$48&lt;=$AZ$11:$AZ$38)&gt;0),$B87,"")</f>
        <v/>
      </c>
      <c r="AS87" s="84" t="str">
        <f t="array" ref="AS87">IF(OR((AS$85&gt;=$AY$11:$AY$38)*(AS$48&lt;=$AZ$11:$AZ$38)&gt;0),$B87,"")</f>
        <v/>
      </c>
      <c r="AT87" s="84" t="str">
        <f t="array" ref="AT87">IF(OR((AT$85&gt;=$AY$11:$AY$38)*(AT$48&lt;=$AZ$11:$AZ$38)&gt;0),$B87,"")</f>
        <v/>
      </c>
      <c r="AU87" s="84" t="str">
        <f t="array" ref="AU87">IF(OR((AU$85&gt;=$AY$11:$AY$38)*(AU$48&lt;=$AZ$11:$AZ$38)&gt;0),$B87,"")</f>
        <v/>
      </c>
      <c r="AV87" s="84" t="str">
        <f t="array" ref="AV87">IF(OR((AV$85&gt;=$AY$11:$AY$38)*(AV$48&lt;=$AZ$11:$AZ$38)&gt;0),$B87,"")</f>
        <v/>
      </c>
      <c r="AW87" s="84" t="str">
        <f t="array" ref="AW87">IF(OR((AW$85&gt;=$AY$11:$AY$38)*(AW$48&lt;=$AZ$11:$AZ$38)&gt;0),$B87,"")</f>
        <v/>
      </c>
      <c r="AX87" s="84" t="str">
        <f t="array" ref="AX87">IF(OR((AX$85&gt;=$AY$11:$AY$38)*(AX$48&lt;=$AZ$11:$AZ$38)&gt;0),$B87,"")</f>
        <v/>
      </c>
      <c r="AY87" s="84"/>
      <c r="AZ87" s="84"/>
      <c r="BA87" s="84" t="str">
        <f t="array" ref="BA87">IF(OR((BA$85&gt;=$AY$11:$AY$38)*(BA$48&lt;=$AZ$11:$AZ$38)&gt;0),$B87,"")</f>
        <v/>
      </c>
      <c r="BB87" s="84" t="str">
        <f t="array" ref="BB87">IF(OR((BB$85&gt;=$AY$11:$AY$38)*(BB$48&lt;=$AZ$11:$AZ$38)&gt;0),$B87,"")</f>
        <v/>
      </c>
      <c r="BC87" s="84" t="str">
        <f t="array" ref="BC87">IF(OR((BC$85&gt;=$AY$11:$AY$38)*(BC$48&lt;=$AZ$11:$AZ$38)&gt;0),$B87,"")</f>
        <v/>
      </c>
      <c r="BD87" s="84" t="str">
        <f t="array" ref="BD87">IF(OR((BD$85&gt;=$AY$11:$AY$38)*(BD$48&lt;=$AZ$11:$AZ$38)&gt;0),$B87,"")</f>
        <v/>
      </c>
      <c r="BE87" s="84" t="str">
        <f t="array" ref="BE87">IF(OR((BE$85&gt;=$AY$11:$AY$38)*(BE$48&lt;=$AZ$11:$AZ$38)&gt;0),$B87,"")</f>
        <v/>
      </c>
      <c r="BF87" s="84" t="str">
        <f t="array" ref="BF87">IF(OR((BF$85&gt;=$AY$11:$AY$38)*(BF$48&lt;=$AZ$11:$AZ$38)&gt;0),$B87,"")</f>
        <v/>
      </c>
      <c r="BG87" s="84" t="str">
        <f t="array" ref="BG87">IF(OR((BG$85&gt;=$AY$11:$AY$38)*(BG$48&lt;=$AZ$11:$AZ$38)&gt;0),$B87,"")</f>
        <v/>
      </c>
      <c r="BH87" s="84" t="str">
        <f t="array" ref="BH87">IF(OR((BH$85&gt;=$AY$11:$AY$38)*(BH$48&lt;=$AZ$11:$AZ$38)&gt;0),$B87,"")</f>
        <v/>
      </c>
      <c r="BI87" s="84" t="str">
        <f t="array" ref="BI87">IF(OR((BI$85&gt;=$AY$11:$AY$38)*(BI$48&lt;=$AZ$11:$AZ$38)&gt;0),$B87,"")</f>
        <v/>
      </c>
      <c r="BJ87" s="84" t="str">
        <f t="array" ref="BJ87">IF(OR((BJ$85&gt;=$AY$11:$AY$38)*(BJ$48&lt;=$AZ$11:$AZ$38)&gt;0),$B87,"")</f>
        <v/>
      </c>
      <c r="BK87" s="84" t="str">
        <f t="array" ref="BK87">IF(OR((BK$85&gt;=$AY$11:$AY$38)*(BK$48&lt;=$AZ$11:$AZ$38)&gt;0),$B87,"")</f>
        <v/>
      </c>
      <c r="BL87" s="84" t="str">
        <f t="array" ref="BL87">IF(OR((BL$85&gt;=$AY$11:$AY$38)*(BL$48&lt;=$AZ$11:$AZ$38)&gt;0),$B87,"")</f>
        <v/>
      </c>
      <c r="BM87" s="84" t="str">
        <f t="array" ref="BM87">IF(OR((BM$85&gt;=$AY$11:$AY$38)*(BM$48&lt;=$AZ$11:$AZ$38)&gt;0),$B87,"")</f>
        <v/>
      </c>
      <c r="BN87" s="84" t="str">
        <f t="array" ref="BN87">IF(OR((BN$85&gt;=$AY$11:$AY$38)*(BN$48&lt;=$AZ$11:$AZ$38)&gt;0),$B87,"")</f>
        <v/>
      </c>
      <c r="BO87" s="84" t="str">
        <f t="array" ref="BO87">IF(OR((BO$85&gt;=$AY$11:$AY$38)*(BO$48&lt;=$AZ$11:$AZ$38)&gt;0),$B87,"")</f>
        <v/>
      </c>
      <c r="BP87" s="84" t="str">
        <f t="array" ref="BP87">IF(OR((BP$85&gt;=$AY$11:$AY$38)*(BP$48&lt;=$AZ$11:$AZ$38)&gt;0),$B87,"")</f>
        <v/>
      </c>
      <c r="BQ87" s="84" t="str">
        <f t="array" ref="BQ87">IF(OR((BQ$85&gt;=$AY$11:$AY$38)*(BQ$48&lt;=$AZ$11:$AZ$38)&gt;0),$B87,"")</f>
        <v/>
      </c>
      <c r="BR87" s="84" t="str">
        <f t="array" ref="BR87">IF(OR((BR$85&gt;=$AY$11:$AY$38)*(BR$48&lt;=$AZ$11:$AZ$38)&gt;0),$B87,"")</f>
        <v/>
      </c>
      <c r="BS87" s="84" t="str">
        <f t="array" ref="BS87">IF(OR((BS$85&gt;=$AY$11:$AY$38)*(BS$48&lt;=$AZ$11:$AZ$38)&gt;0),$B87,"")</f>
        <v/>
      </c>
      <c r="BU87" s="75" t="s">
        <v>188</v>
      </c>
      <c r="BV87" s="16">
        <v>288</v>
      </c>
      <c r="BW87" s="84" t="str">
        <f t="array" ref="BW87">IF(OR((BW$85&gt;=$AY$11:$AY$38)*(BW$48&lt;=$AZ$11:$AZ$38)&gt;0),$B87,"")</f>
        <v/>
      </c>
      <c r="BX87" s="84" t="str">
        <f t="array" ref="BX87">IF(OR((BX$85&gt;=$AY$11:$AY$38)*(BX$48&lt;=$AZ$11:$AZ$38)&gt;0),$B87,"")</f>
        <v/>
      </c>
      <c r="BY87" s="84" t="str">
        <f t="array" ref="BY87">IF(OR((BY$85&gt;=$AY$11:$AY$38)*(BY$48&lt;=$AZ$11:$AZ$38)&gt;0),$B87,"")</f>
        <v/>
      </c>
      <c r="BZ87" s="84" t="str">
        <f t="array" ref="BZ87">IF(OR((BZ$85&gt;=$AY$11:$AY$38)*(BZ$48&lt;=$AZ$11:$AZ$38)&gt;0),$B87,"")</f>
        <v/>
      </c>
      <c r="CA87" s="84" t="str">
        <f t="array" ref="CA87">IF(OR((CA$85&gt;=$AY$11:$AY$38)*(CA$48&lt;=$AZ$11:$AZ$38)&gt;0),$B87,"")</f>
        <v/>
      </c>
      <c r="CB87" s="84" t="str">
        <f t="array" ref="CB87">IF(OR((CB$85&gt;=$AY$11:$AY$38)*(CB$48&lt;=$AZ$11:$AZ$38)&gt;0),$B87,"")</f>
        <v/>
      </c>
      <c r="CC87" s="84" t="str">
        <f t="array" ref="CC87">IF(OR((CC$85&gt;=$AY$11:$AY$38)*(CC$48&lt;=$AZ$11:$AZ$38)&gt;0),$B87,"")</f>
        <v/>
      </c>
      <c r="CD87" s="84" t="str">
        <f t="array" ref="CD87">IF(OR((CD$85&gt;=$AY$11:$AY$38)*(CD$48&lt;=$AZ$11:$AZ$38)&gt;0),$B87,"")</f>
        <v/>
      </c>
      <c r="CE87" s="84" t="str">
        <f t="array" ref="CE87">IF(OR((CE$85&gt;=$AY$11:$AY$38)*(CE$48&lt;=$AZ$11:$AZ$38)&gt;0),$B87,"")</f>
        <v/>
      </c>
      <c r="CF87" s="84" t="str">
        <f t="array" ref="CF87">IF(OR((CF$85&gt;=$AY$11:$AY$38)*(CF$48&lt;=$AZ$11:$AZ$38)&gt;0),$B87,"")</f>
        <v/>
      </c>
      <c r="CG87" s="84" t="str">
        <f t="array" ref="CG87">IF(OR((CG$85&gt;=$AY$11:$AY$38)*(CG$48&lt;=$AZ$11:$AZ$38)&gt;0),$B87,"")</f>
        <v/>
      </c>
      <c r="CH87" s="84" t="str">
        <f t="array" ref="CH87">IF(OR((CH$85&gt;=$AY$11:$AY$38)*(CH$48&lt;=$AZ$11:$AZ$38)&gt;0),$B87,"")</f>
        <v/>
      </c>
      <c r="CI87" s="84"/>
      <c r="CJ87" s="84"/>
      <c r="CK87" s="84" t="str">
        <f t="array" ref="CK87">IF(OR((CK$85&gt;=$AY$11:$AY$38)*(CK$48&lt;=$AZ$11:$AZ$38)&gt;0),$B87,"")</f>
        <v/>
      </c>
      <c r="CL87" s="84" t="str">
        <f t="array" ref="CL87">IF(OR((CL$85&gt;=$AY$11:$AY$38)*(CL$48&lt;=$AZ$11:$AZ$38)&gt;0),$B87,"")</f>
        <v/>
      </c>
      <c r="CM87" s="84" t="str">
        <f t="array" ref="CM87">IF(OR((CM$85&gt;=$AY$11:$AY$38)*(CM$48&lt;=$AZ$11:$AZ$38)&gt;0),$B87,"")</f>
        <v/>
      </c>
      <c r="CN87" s="84" t="str">
        <f t="array" ref="CN87">IF(OR((CN$85&gt;=$AY$11:$AY$38)*(CN$48&lt;=$AZ$11:$AZ$38)&gt;0),$B87,"")</f>
        <v/>
      </c>
      <c r="CO87" s="84" t="str">
        <f t="array" ref="CO87">IF(OR((CO$85&gt;=$AY$11:$AY$38)*(CO$48&lt;=$AZ$11:$AZ$38)&gt;0),$B87,"")</f>
        <v/>
      </c>
      <c r="CP87" s="84" t="str">
        <f t="array" ref="CP87">IF(OR((CP$85&gt;=$AY$11:$AY$38)*(CP$48&lt;=$AZ$11:$AZ$38)&gt;0),$B87,"")</f>
        <v/>
      </c>
      <c r="CQ87" s="84" t="str">
        <f t="array" ref="CQ87">IF(OR((CQ$85&gt;=$AY$11:$AY$38)*(CQ$48&lt;=$AZ$11:$AZ$38)&gt;0),$B87,"")</f>
        <v/>
      </c>
      <c r="CR87" s="84" t="str">
        <f t="array" ref="CR87">IF(OR((CR$85&gt;=$AY$11:$AY$38)*(CR$48&lt;=$AZ$11:$AZ$38)&gt;0),$B87,"")</f>
        <v/>
      </c>
      <c r="CS87" s="84" t="str">
        <f t="array" ref="CS87">IF(OR((CS$85&gt;=$AY$11:$AY$38)*(CS$48&lt;=$AZ$11:$AZ$38)&gt;0),$B87,"")</f>
        <v/>
      </c>
      <c r="CT87" s="84" t="str">
        <f t="array" ref="CT87">IF(OR((CT$85&gt;=$AY$11:$AY$38)*(CT$48&lt;=$AZ$11:$AZ$38)&gt;0),$B87,"")</f>
        <v/>
      </c>
      <c r="CU87" s="84" t="str">
        <f t="array" ref="CU87">IF(OR((CU$85&gt;=$AY$11:$AY$38)*(CU$48&lt;=$AZ$11:$AZ$38)&gt;0),$B87,"")</f>
        <v/>
      </c>
      <c r="CV87" s="84" t="str">
        <f t="array" ref="CV87">IF(OR((CV$85&gt;=$AY$11:$AY$38)*(CV$48&lt;=$AZ$11:$AZ$38)&gt;0),$B87,"")</f>
        <v/>
      </c>
      <c r="CW87" s="84" t="str">
        <f t="array" ref="CW87">IF(OR((CW$85&gt;=$AY$11:$AY$38)*(CW$48&lt;=$AZ$11:$AZ$38)&gt;0),$B87,"")</f>
        <v/>
      </c>
      <c r="CX87" s="84" t="str">
        <f t="array" ref="CX87">IF(OR((CX$85&gt;=$AY$11:$AY$38)*(CX$48&lt;=$AZ$11:$AZ$38)&gt;0),$B87,"")</f>
        <v/>
      </c>
      <c r="CY87" s="84" t="str">
        <f t="array" ref="CY87">IF(OR((CY$85&gt;=$AY$11:$AY$38)*(CY$48&lt;=$AZ$11:$AZ$38)&gt;0),$B87,"")</f>
        <v/>
      </c>
      <c r="CZ87" s="84" t="str">
        <f t="array" ref="CZ87">IF(OR((CZ$85&gt;=$AY$11:$AY$38)*(CZ$48&lt;=$AZ$11:$AZ$38)&gt;0),$B87,"")</f>
        <v/>
      </c>
      <c r="DA87" s="84" t="str">
        <f t="array" ref="DA87">IF(OR((DA$85&gt;=$AY$11:$AY$38)*(DA$48&lt;=$AZ$11:$AZ$38)&gt;0),$B87,"")</f>
        <v/>
      </c>
      <c r="DB87" s="84" t="str">
        <f t="array" ref="DB87">IF(OR((DB$85&gt;=$AY$11:$AY$38)*(DB$48&lt;=$AZ$11:$AZ$38)&gt;0),$B87,"")</f>
        <v/>
      </c>
      <c r="DC87" s="84" t="str">
        <f t="array" ref="DC87">IF(OR((DC$85&gt;=$AY$11:$AY$38)*(DC$48&lt;=$AZ$11:$AZ$38)&gt;0),$B87,"")</f>
        <v/>
      </c>
    </row>
    <row r="88" spans="1:107">
      <c r="A88" s="75" t="s">
        <v>189</v>
      </c>
      <c r="B88" s="16">
        <v>216</v>
      </c>
      <c r="C88" s="84" t="str">
        <f t="array" ref="C88">IF(OR((C$85&gt;=$AY$11:$AY$38)*(C$48&lt;=$AZ$11:$AZ$38)&gt;0),$B88,"")</f>
        <v/>
      </c>
      <c r="D88" s="84" t="str">
        <f t="array" ref="D88">IF(OR((D$85&gt;=$AY$11:$AY$38)*(D$48&lt;=$AZ$11:$AZ$38)&gt;0),$B88,"")</f>
        <v/>
      </c>
      <c r="E88" s="84" t="str">
        <f t="array" ref="E88">IF(OR((E$85&gt;=$AY$11:$AY$38)*(E$48&lt;=$AZ$11:$AZ$38)&gt;0),$B88,"")</f>
        <v/>
      </c>
      <c r="F88" s="84" t="str">
        <f t="array" ref="F88">IF(OR((F$85&gt;=$AY$11:$AY$38)*(F$48&lt;=$AZ$11:$AZ$38)&gt;0),$B88,"")</f>
        <v/>
      </c>
      <c r="G88" s="84" t="str">
        <f t="array" ref="G88">IF(OR((G$85&gt;=$AY$11:$AY$38)*(G$48&lt;=$AZ$11:$AZ$38)&gt;0),$B88,"")</f>
        <v/>
      </c>
      <c r="H88" s="84" t="str">
        <f t="array" ref="H88">IF(OR((H$85&gt;=$AY$11:$AY$38)*(H$48&lt;=$AZ$11:$AZ$38)&gt;0),$B88,"")</f>
        <v/>
      </c>
      <c r="I88" s="84" t="str">
        <f t="array" ref="I88">IF(OR((I$85&gt;=$AY$11:$AY$38)*(I$48&lt;=$AZ$11:$AZ$38)&gt;0),$B88,"")</f>
        <v/>
      </c>
      <c r="J88" s="84" t="str">
        <f t="array" ref="J88">IF(OR((J$85&gt;=$AY$11:$AY$38)*(J$48&lt;=$AZ$11:$AZ$38)&gt;0),$B88,"")</f>
        <v/>
      </c>
      <c r="K88" s="84" t="str">
        <f t="array" ref="K88">IF(OR((K$85&gt;=$AY$11:$AY$38)*(K$48&lt;=$AZ$11:$AZ$38)&gt;0),$B88,"")</f>
        <v/>
      </c>
      <c r="L88" s="84" t="str">
        <f t="array" ref="L88">IF(OR((L$85&gt;=$AY$11:$AY$38)*(L$48&lt;=$AZ$11:$AZ$38)&gt;0),$B88,"")</f>
        <v/>
      </c>
      <c r="M88" s="84" t="str">
        <f t="array" ref="M88">IF(OR((M$85&gt;=$AY$11:$AY$38)*(M$48&lt;=$AZ$11:$AZ$38)&gt;0),$B88,"")</f>
        <v/>
      </c>
      <c r="N88" s="84" t="str">
        <f t="array" ref="N88">IF(OR((N$85&gt;=$AY$11:$AY$38)*(N$48&lt;=$AZ$11:$AZ$38)&gt;0),$B88,"")</f>
        <v/>
      </c>
      <c r="O88" s="84"/>
      <c r="P88" s="84"/>
      <c r="Q88" s="84" t="str">
        <f t="array" ref="Q88">IF(OR((Q$85&gt;=$AY$11:$AY$38)*(Q$48&lt;=$AZ$11:$AZ$38)&gt;0),$B88,"")</f>
        <v/>
      </c>
      <c r="R88" s="84" t="str">
        <f t="array" ref="R88">IF(OR((R$85&gt;=$AY$11:$AY$38)*(R$48&lt;=$AZ$11:$AZ$38)&gt;0),$B88,"")</f>
        <v/>
      </c>
      <c r="S88" s="84" t="str">
        <f t="array" ref="S88">IF(OR((S$85&gt;=$AY$11:$AY$38)*(S$48&lt;=$AZ$11:$AZ$38)&gt;0),$B88,"")</f>
        <v/>
      </c>
      <c r="T88" s="84" t="str">
        <f t="array" ref="T88">IF(OR((T$85&gt;=$AY$11:$AY$38)*(T$48&lt;=$AZ$11:$AZ$38)&gt;0),$B88,"")</f>
        <v/>
      </c>
      <c r="U88" s="84" t="str">
        <f t="array" ref="U88">IF(OR((U$85&gt;=$AY$11:$AY$38)*(U$48&lt;=$AZ$11:$AZ$38)&gt;0),$B88,"")</f>
        <v/>
      </c>
      <c r="V88" s="84" t="str">
        <f t="array" ref="V88">IF(OR((V$85&gt;=$AY$11:$AY$38)*(V$48&lt;=$AZ$11:$AZ$38)&gt;0),$B88,"")</f>
        <v/>
      </c>
      <c r="W88" s="84" t="str">
        <f t="array" ref="W88">IF(OR((W$85&gt;=$AY$11:$AY$38)*(W$48&lt;=$AZ$11:$AZ$38)&gt;0),$B88,"")</f>
        <v/>
      </c>
      <c r="X88" s="84" t="str">
        <f t="array" ref="X88">IF(OR((X$85&gt;=$AY$11:$AY$38)*(X$48&lt;=$AZ$11:$AZ$38)&gt;0),$B88,"")</f>
        <v/>
      </c>
      <c r="Y88" s="84" t="str">
        <f t="array" ref="Y88">IF(OR((Y$85&gt;=$AY$11:$AY$38)*(Y$48&lt;=$AZ$11:$AZ$38)&gt;0),$B88,"")</f>
        <v/>
      </c>
      <c r="Z88" s="84" t="str">
        <f t="array" ref="Z88">IF(OR((Z$85&gt;=$AY$11:$AY$38)*(Z$48&lt;=$AZ$11:$AZ$38)&gt;0),$B88,"")</f>
        <v/>
      </c>
      <c r="AA88" s="84" t="str">
        <f t="array" ref="AA88">IF(OR((AA$85&gt;=$AY$11:$AY$38)*(AA$48&lt;=$AZ$11:$AZ$38)&gt;0),$B88,"")</f>
        <v/>
      </c>
      <c r="AB88" s="84" t="str">
        <f t="array" ref="AB88">IF(OR((AB$85&gt;=$AY$11:$AY$38)*(AB$48&lt;=$AZ$11:$AZ$38)&gt;0),$B88,"")</f>
        <v/>
      </c>
      <c r="AC88" s="84" t="str">
        <f t="array" ref="AC88">IF(OR((AC$85&gt;=$AY$11:$AY$38)*(AC$48&lt;=$AZ$11:$AZ$38)&gt;0),$B88,"")</f>
        <v/>
      </c>
      <c r="AD88" s="84" t="str">
        <f t="array" ref="AD88">IF(OR((AD$85&gt;=$AY$11:$AY$38)*(AD$48&lt;=$AZ$11:$AZ$38)&gt;0),$B88,"")</f>
        <v/>
      </c>
      <c r="AE88" s="84" t="str">
        <f t="array" ref="AE88">IF(OR((AE$85&gt;=$AY$11:$AY$38)*(AE$48&lt;=$AZ$11:$AZ$38)&gt;0),$B88,"")</f>
        <v/>
      </c>
      <c r="AF88" s="84" t="str">
        <f t="array" ref="AF88">IF(OR((AF$85&gt;=$AY$11:$AY$38)*(AF$48&lt;=$AZ$11:$AZ$38)&gt;0),$B88,"")</f>
        <v/>
      </c>
      <c r="AG88" s="84" t="str">
        <f t="array" ref="AG88">IF(OR((AG$85&gt;=$AY$11:$AY$38)*(AG$48&lt;=$AZ$11:$AZ$38)&gt;0),$B88,"")</f>
        <v/>
      </c>
      <c r="AH88" s="84" t="str">
        <f t="array" ref="AH88">IF(OR((AH$85&gt;=$AY$11:$AY$38)*(AH$48&lt;=$AZ$11:$AZ$38)&gt;0),$B88,"")</f>
        <v/>
      </c>
      <c r="AI88" s="84" t="str">
        <f t="array" ref="AI88">IF(OR((AI$85&gt;=$AY$11:$AY$38)*(AI$48&lt;=$AZ$11:$AZ$38)&gt;0),$B88,"")</f>
        <v/>
      </c>
      <c r="AK88" s="75" t="s">
        <v>189</v>
      </c>
      <c r="AL88" s="16">
        <v>216</v>
      </c>
      <c r="AM88" s="84" t="str">
        <f t="array" ref="AM88">IF(OR((AM$85&gt;=$AY$11:$AY$38)*(AM$48&lt;=$AZ$11:$AZ$38)&gt;0),$B88,"")</f>
        <v/>
      </c>
      <c r="AN88" s="84" t="str">
        <f t="array" ref="AN88">IF(OR((AN$85&gt;=$AY$11:$AY$38)*(AN$48&lt;=$AZ$11:$AZ$38)&gt;0),$B88,"")</f>
        <v/>
      </c>
      <c r="AO88" s="84" t="str">
        <f t="array" ref="AO88">IF(OR((AO$85&gt;=$AY$11:$AY$38)*(AO$48&lt;=$AZ$11:$AZ$38)&gt;0),$B88,"")</f>
        <v/>
      </c>
      <c r="AP88" s="84" t="str">
        <f t="array" ref="AP88">IF(OR((AP$85&gt;=$AY$11:$AY$38)*(AP$48&lt;=$AZ$11:$AZ$38)&gt;0),$B88,"")</f>
        <v/>
      </c>
      <c r="AQ88" s="84" t="str">
        <f t="array" ref="AQ88">IF(OR((AQ$85&gt;=$AY$11:$AY$38)*(AQ$48&lt;=$AZ$11:$AZ$38)&gt;0),$B88,"")</f>
        <v/>
      </c>
      <c r="AR88" s="84" t="str">
        <f t="array" ref="AR88">IF(OR((AR$85&gt;=$AY$11:$AY$38)*(AR$48&lt;=$AZ$11:$AZ$38)&gt;0),$B88,"")</f>
        <v/>
      </c>
      <c r="AS88" s="84" t="str">
        <f t="array" ref="AS88">IF(OR((AS$85&gt;=$AY$11:$AY$38)*(AS$48&lt;=$AZ$11:$AZ$38)&gt;0),$B88,"")</f>
        <v/>
      </c>
      <c r="AT88" s="84" t="str">
        <f t="array" ref="AT88">IF(OR((AT$85&gt;=$AY$11:$AY$38)*(AT$48&lt;=$AZ$11:$AZ$38)&gt;0),$B88,"")</f>
        <v/>
      </c>
      <c r="AU88" s="84" t="str">
        <f t="array" ref="AU88">IF(OR((AU$85&gt;=$AY$11:$AY$38)*(AU$48&lt;=$AZ$11:$AZ$38)&gt;0),$B88,"")</f>
        <v/>
      </c>
      <c r="AV88" s="84" t="str">
        <f t="array" ref="AV88">IF(OR((AV$85&gt;=$AY$11:$AY$38)*(AV$48&lt;=$AZ$11:$AZ$38)&gt;0),$B88,"")</f>
        <v/>
      </c>
      <c r="AW88" s="84" t="str">
        <f t="array" ref="AW88">IF(OR((AW$85&gt;=$AY$11:$AY$38)*(AW$48&lt;=$AZ$11:$AZ$38)&gt;0),$B88,"")</f>
        <v/>
      </c>
      <c r="AX88" s="84" t="str">
        <f t="array" ref="AX88">IF(OR((AX$85&gt;=$AY$11:$AY$38)*(AX$48&lt;=$AZ$11:$AZ$38)&gt;0),$B88,"")</f>
        <v/>
      </c>
      <c r="AY88" s="84"/>
      <c r="AZ88" s="84"/>
      <c r="BA88" s="84" t="str">
        <f t="array" ref="BA88">IF(OR((BA$85&gt;=$AY$11:$AY$38)*(BA$48&lt;=$AZ$11:$AZ$38)&gt;0),$B88,"")</f>
        <v/>
      </c>
      <c r="BB88" s="84" t="str">
        <f t="array" ref="BB88">IF(OR((BB$85&gt;=$AY$11:$AY$38)*(BB$48&lt;=$AZ$11:$AZ$38)&gt;0),$B88,"")</f>
        <v/>
      </c>
      <c r="BC88" s="84" t="str">
        <f t="array" ref="BC88">IF(OR((BC$85&gt;=$AY$11:$AY$38)*(BC$48&lt;=$AZ$11:$AZ$38)&gt;0),$B88,"")</f>
        <v/>
      </c>
      <c r="BD88" s="84" t="str">
        <f t="array" ref="BD88">IF(OR((BD$85&gt;=$AY$11:$AY$38)*(BD$48&lt;=$AZ$11:$AZ$38)&gt;0),$B88,"")</f>
        <v/>
      </c>
      <c r="BE88" s="84" t="str">
        <f t="array" ref="BE88">IF(OR((BE$85&gt;=$AY$11:$AY$38)*(BE$48&lt;=$AZ$11:$AZ$38)&gt;0),$B88,"")</f>
        <v/>
      </c>
      <c r="BF88" s="84" t="str">
        <f t="array" ref="BF88">IF(OR((BF$85&gt;=$AY$11:$AY$38)*(BF$48&lt;=$AZ$11:$AZ$38)&gt;0),$B88,"")</f>
        <v/>
      </c>
      <c r="BG88" s="84" t="str">
        <f t="array" ref="BG88">IF(OR((BG$85&gt;=$AY$11:$AY$38)*(BG$48&lt;=$AZ$11:$AZ$38)&gt;0),$B88,"")</f>
        <v/>
      </c>
      <c r="BH88" s="84" t="str">
        <f t="array" ref="BH88">IF(OR((BH$85&gt;=$AY$11:$AY$38)*(BH$48&lt;=$AZ$11:$AZ$38)&gt;0),$B88,"")</f>
        <v/>
      </c>
      <c r="BI88" s="84" t="str">
        <f t="array" ref="BI88">IF(OR((BI$85&gt;=$AY$11:$AY$38)*(BI$48&lt;=$AZ$11:$AZ$38)&gt;0),$B88,"")</f>
        <v/>
      </c>
      <c r="BJ88" s="84" t="str">
        <f t="array" ref="BJ88">IF(OR((BJ$85&gt;=$AY$11:$AY$38)*(BJ$48&lt;=$AZ$11:$AZ$38)&gt;0),$B88,"")</f>
        <v/>
      </c>
      <c r="BK88" s="84" t="str">
        <f t="array" ref="BK88">IF(OR((BK$85&gt;=$AY$11:$AY$38)*(BK$48&lt;=$AZ$11:$AZ$38)&gt;0),$B88,"")</f>
        <v/>
      </c>
      <c r="BL88" s="84" t="str">
        <f t="array" ref="BL88">IF(OR((BL$85&gt;=$AY$11:$AY$38)*(BL$48&lt;=$AZ$11:$AZ$38)&gt;0),$B88,"")</f>
        <v/>
      </c>
      <c r="BM88" s="84" t="str">
        <f t="array" ref="BM88">IF(OR((BM$85&gt;=$AY$11:$AY$38)*(BM$48&lt;=$AZ$11:$AZ$38)&gt;0),$B88,"")</f>
        <v/>
      </c>
      <c r="BN88" s="84" t="str">
        <f t="array" ref="BN88">IF(OR((BN$85&gt;=$AY$11:$AY$38)*(BN$48&lt;=$AZ$11:$AZ$38)&gt;0),$B88,"")</f>
        <v/>
      </c>
      <c r="BO88" s="84" t="str">
        <f t="array" ref="BO88">IF(OR((BO$85&gt;=$AY$11:$AY$38)*(BO$48&lt;=$AZ$11:$AZ$38)&gt;0),$B88,"")</f>
        <v/>
      </c>
      <c r="BP88" s="84" t="str">
        <f t="array" ref="BP88">IF(OR((BP$85&gt;=$AY$11:$AY$38)*(BP$48&lt;=$AZ$11:$AZ$38)&gt;0),$B88,"")</f>
        <v/>
      </c>
      <c r="BQ88" s="84" t="str">
        <f t="array" ref="BQ88">IF(OR((BQ$85&gt;=$AY$11:$AY$38)*(BQ$48&lt;=$AZ$11:$AZ$38)&gt;0),$B88,"")</f>
        <v/>
      </c>
      <c r="BR88" s="84" t="str">
        <f t="array" ref="BR88">IF(OR((BR$85&gt;=$AY$11:$AY$38)*(BR$48&lt;=$AZ$11:$AZ$38)&gt;0),$B88,"")</f>
        <v/>
      </c>
      <c r="BS88" s="84" t="str">
        <f t="array" ref="BS88">IF(OR((BS$85&gt;=$AY$11:$AY$38)*(BS$48&lt;=$AZ$11:$AZ$38)&gt;0),$B88,"")</f>
        <v/>
      </c>
      <c r="BU88" s="75" t="s">
        <v>189</v>
      </c>
      <c r="BV88" s="16">
        <v>216</v>
      </c>
      <c r="BW88" s="84" t="str">
        <f t="array" ref="BW88">IF(OR((BW$85&gt;=$AY$11:$AY$38)*(BW$48&lt;=$AZ$11:$AZ$38)&gt;0),$B88,"")</f>
        <v/>
      </c>
      <c r="BX88" s="84" t="str">
        <f t="array" ref="BX88">IF(OR((BX$85&gt;=$AY$11:$AY$38)*(BX$48&lt;=$AZ$11:$AZ$38)&gt;0),$B88,"")</f>
        <v/>
      </c>
      <c r="BY88" s="84" t="str">
        <f t="array" ref="BY88">IF(OR((BY$85&gt;=$AY$11:$AY$38)*(BY$48&lt;=$AZ$11:$AZ$38)&gt;0),$B88,"")</f>
        <v/>
      </c>
      <c r="BZ88" s="84" t="str">
        <f t="array" ref="BZ88">IF(OR((BZ$85&gt;=$AY$11:$AY$38)*(BZ$48&lt;=$AZ$11:$AZ$38)&gt;0),$B88,"")</f>
        <v/>
      </c>
      <c r="CA88" s="84" t="str">
        <f t="array" ref="CA88">IF(OR((CA$85&gt;=$AY$11:$AY$38)*(CA$48&lt;=$AZ$11:$AZ$38)&gt;0),$B88,"")</f>
        <v/>
      </c>
      <c r="CB88" s="84" t="str">
        <f t="array" ref="CB88">IF(OR((CB$85&gt;=$AY$11:$AY$38)*(CB$48&lt;=$AZ$11:$AZ$38)&gt;0),$B88,"")</f>
        <v/>
      </c>
      <c r="CC88" s="84" t="str">
        <f t="array" ref="CC88">IF(OR((CC$85&gt;=$AY$11:$AY$38)*(CC$48&lt;=$AZ$11:$AZ$38)&gt;0),$B88,"")</f>
        <v/>
      </c>
      <c r="CD88" s="84" t="str">
        <f t="array" ref="CD88">IF(OR((CD$85&gt;=$AY$11:$AY$38)*(CD$48&lt;=$AZ$11:$AZ$38)&gt;0),$B88,"")</f>
        <v/>
      </c>
      <c r="CE88" s="84" t="str">
        <f t="array" ref="CE88">IF(OR((CE$85&gt;=$AY$11:$AY$38)*(CE$48&lt;=$AZ$11:$AZ$38)&gt;0),$B88,"")</f>
        <v/>
      </c>
      <c r="CF88" s="84" t="str">
        <f t="array" ref="CF88">IF(OR((CF$85&gt;=$AY$11:$AY$38)*(CF$48&lt;=$AZ$11:$AZ$38)&gt;0),$B88,"")</f>
        <v/>
      </c>
      <c r="CG88" s="84" t="str">
        <f t="array" ref="CG88">IF(OR((CG$85&gt;=$AY$11:$AY$38)*(CG$48&lt;=$AZ$11:$AZ$38)&gt;0),$B88,"")</f>
        <v/>
      </c>
      <c r="CH88" s="84" t="str">
        <f t="array" ref="CH88">IF(OR((CH$85&gt;=$AY$11:$AY$38)*(CH$48&lt;=$AZ$11:$AZ$38)&gt;0),$B88,"")</f>
        <v/>
      </c>
      <c r="CI88" s="84"/>
      <c r="CJ88" s="84"/>
      <c r="CK88" s="84" t="str">
        <f t="array" ref="CK88">IF(OR((CK$85&gt;=$AY$11:$AY$38)*(CK$48&lt;=$AZ$11:$AZ$38)&gt;0),$B88,"")</f>
        <v/>
      </c>
      <c r="CL88" s="84" t="str">
        <f t="array" ref="CL88">IF(OR((CL$85&gt;=$AY$11:$AY$38)*(CL$48&lt;=$AZ$11:$AZ$38)&gt;0),$B88,"")</f>
        <v/>
      </c>
      <c r="CM88" s="84" t="str">
        <f t="array" ref="CM88">IF(OR((CM$85&gt;=$AY$11:$AY$38)*(CM$48&lt;=$AZ$11:$AZ$38)&gt;0),$B88,"")</f>
        <v/>
      </c>
      <c r="CN88" s="84" t="str">
        <f t="array" ref="CN88">IF(OR((CN$85&gt;=$AY$11:$AY$38)*(CN$48&lt;=$AZ$11:$AZ$38)&gt;0),$B88,"")</f>
        <v/>
      </c>
      <c r="CO88" s="84" t="str">
        <f t="array" ref="CO88">IF(OR((CO$85&gt;=$AY$11:$AY$38)*(CO$48&lt;=$AZ$11:$AZ$38)&gt;0),$B88,"")</f>
        <v/>
      </c>
      <c r="CP88" s="84" t="str">
        <f t="array" ref="CP88">IF(OR((CP$85&gt;=$AY$11:$AY$38)*(CP$48&lt;=$AZ$11:$AZ$38)&gt;0),$B88,"")</f>
        <v/>
      </c>
      <c r="CQ88" s="84" t="str">
        <f t="array" ref="CQ88">IF(OR((CQ$85&gt;=$AY$11:$AY$38)*(CQ$48&lt;=$AZ$11:$AZ$38)&gt;0),$B88,"")</f>
        <v/>
      </c>
      <c r="CR88" s="84" t="str">
        <f t="array" ref="CR88">IF(OR((CR$85&gt;=$AY$11:$AY$38)*(CR$48&lt;=$AZ$11:$AZ$38)&gt;0),$B88,"")</f>
        <v/>
      </c>
      <c r="CS88" s="84" t="str">
        <f t="array" ref="CS88">IF(OR((CS$85&gt;=$AY$11:$AY$38)*(CS$48&lt;=$AZ$11:$AZ$38)&gt;0),$B88,"")</f>
        <v/>
      </c>
      <c r="CT88" s="84" t="str">
        <f t="array" ref="CT88">IF(OR((CT$85&gt;=$AY$11:$AY$38)*(CT$48&lt;=$AZ$11:$AZ$38)&gt;0),$B88,"")</f>
        <v/>
      </c>
      <c r="CU88" s="84" t="str">
        <f t="array" ref="CU88">IF(OR((CU$85&gt;=$AY$11:$AY$38)*(CU$48&lt;=$AZ$11:$AZ$38)&gt;0),$B88,"")</f>
        <v/>
      </c>
      <c r="CV88" s="84" t="str">
        <f t="array" ref="CV88">IF(OR((CV$85&gt;=$AY$11:$AY$38)*(CV$48&lt;=$AZ$11:$AZ$38)&gt;0),$B88,"")</f>
        <v/>
      </c>
      <c r="CW88" s="84" t="str">
        <f t="array" ref="CW88">IF(OR((CW$85&gt;=$AY$11:$AY$38)*(CW$48&lt;=$AZ$11:$AZ$38)&gt;0),$B88,"")</f>
        <v/>
      </c>
      <c r="CX88" s="84" t="str">
        <f t="array" ref="CX88">IF(OR((CX$85&gt;=$AY$11:$AY$38)*(CX$48&lt;=$AZ$11:$AZ$38)&gt;0),$B88,"")</f>
        <v/>
      </c>
      <c r="CY88" s="84" t="str">
        <f t="array" ref="CY88">IF(OR((CY$85&gt;=$AY$11:$AY$38)*(CY$48&lt;=$AZ$11:$AZ$38)&gt;0),$B88,"")</f>
        <v/>
      </c>
      <c r="CZ88" s="84" t="str">
        <f t="array" ref="CZ88">IF(OR((CZ$85&gt;=$AY$11:$AY$38)*(CZ$48&lt;=$AZ$11:$AZ$38)&gt;0),$B88,"")</f>
        <v/>
      </c>
      <c r="DA88" s="84" t="str">
        <f t="array" ref="DA88">IF(OR((DA$85&gt;=$AY$11:$AY$38)*(DA$48&lt;=$AZ$11:$AZ$38)&gt;0),$B88,"")</f>
        <v/>
      </c>
      <c r="DB88" s="84" t="str">
        <f t="array" ref="DB88">IF(OR((DB$85&gt;=$AY$11:$AY$38)*(DB$48&lt;=$AZ$11:$AZ$38)&gt;0),$B88,"")</f>
        <v/>
      </c>
      <c r="DC88" s="84" t="str">
        <f t="array" ref="DC88">IF(OR((DC$85&gt;=$AY$11:$AY$38)*(DC$48&lt;=$AZ$11:$AZ$38)&gt;0),$B88,"")</f>
        <v/>
      </c>
    </row>
    <row r="89" spans="1:107">
      <c r="A89" s="75" t="s">
        <v>190</v>
      </c>
      <c r="B89" s="16">
        <v>48</v>
      </c>
      <c r="C89" s="84" t="str">
        <f t="array" ref="C89">IF(OR((C$85&gt;=$AY$11:$AY$38)*(C$48&lt;=$AZ$11:$AZ$38)&gt;0),$B89,"")</f>
        <v/>
      </c>
      <c r="D89" s="84" t="str">
        <f t="array" ref="D89">IF(OR((D$85&gt;=$AY$11:$AY$38)*(D$48&lt;=$AZ$11:$AZ$38)&gt;0),$B89,"")</f>
        <v/>
      </c>
      <c r="E89" s="84" t="str">
        <f t="array" ref="E89">IF(OR((E$85&gt;=$AY$11:$AY$38)*(E$48&lt;=$AZ$11:$AZ$38)&gt;0),$B89,"")</f>
        <v/>
      </c>
      <c r="F89" s="84" t="str">
        <f t="array" ref="F89">IF(OR((F$85&gt;=$AY$11:$AY$38)*(F$48&lt;=$AZ$11:$AZ$38)&gt;0),$B89,"")</f>
        <v/>
      </c>
      <c r="G89" s="84" t="str">
        <f t="array" ref="G89">IF(OR((G$85&gt;=$AY$11:$AY$38)*(G$48&lt;=$AZ$11:$AZ$38)&gt;0),$B89,"")</f>
        <v/>
      </c>
      <c r="H89" s="84" t="str">
        <f t="array" ref="H89">IF(OR((H$85&gt;=$AY$11:$AY$38)*(H$48&lt;=$AZ$11:$AZ$38)&gt;0),$B89,"")</f>
        <v/>
      </c>
      <c r="I89" s="84" t="str">
        <f t="array" ref="I89">IF(OR((I$85&gt;=$AY$11:$AY$38)*(I$48&lt;=$AZ$11:$AZ$38)&gt;0),$B89,"")</f>
        <v/>
      </c>
      <c r="J89" s="84" t="str">
        <f t="array" ref="J89">IF(OR((J$85&gt;=$AY$11:$AY$38)*(J$48&lt;=$AZ$11:$AZ$38)&gt;0),$B89,"")</f>
        <v/>
      </c>
      <c r="K89" s="84" t="str">
        <f t="array" ref="K89">IF(OR((K$85&gt;=$AY$11:$AY$38)*(K$48&lt;=$AZ$11:$AZ$38)&gt;0),$B89,"")</f>
        <v/>
      </c>
      <c r="L89" s="84" t="str">
        <f t="array" ref="L89">IF(OR((L$85&gt;=$AY$11:$AY$38)*(L$48&lt;=$AZ$11:$AZ$38)&gt;0),$B89,"")</f>
        <v/>
      </c>
      <c r="M89" s="84" t="str">
        <f t="array" ref="M89">IF(OR((M$85&gt;=$AY$11:$AY$38)*(M$48&lt;=$AZ$11:$AZ$38)&gt;0),$B89,"")</f>
        <v/>
      </c>
      <c r="N89" s="84" t="str">
        <f t="array" ref="N89">IF(OR((N$85&gt;=$AY$11:$AY$38)*(N$48&lt;=$AZ$11:$AZ$38)&gt;0),$B89,"")</f>
        <v/>
      </c>
      <c r="O89" s="84"/>
      <c r="P89" s="84"/>
      <c r="Q89" s="84" t="str">
        <f t="array" ref="Q89">IF(OR((Q$85&gt;=$AY$11:$AY$38)*(Q$48&lt;=$AZ$11:$AZ$38)&gt;0),$B89,"")</f>
        <v/>
      </c>
      <c r="R89" s="84" t="str">
        <f t="array" ref="R89">IF(OR((R$85&gt;=$AY$11:$AY$38)*(R$48&lt;=$AZ$11:$AZ$38)&gt;0),$B89,"")</f>
        <v/>
      </c>
      <c r="S89" s="84" t="str">
        <f t="array" ref="S89">IF(OR((S$85&gt;=$AY$11:$AY$38)*(S$48&lt;=$AZ$11:$AZ$38)&gt;0),$B89,"")</f>
        <v/>
      </c>
      <c r="T89" s="84" t="str">
        <f t="array" ref="T89">IF(OR((T$85&gt;=$AY$11:$AY$38)*(T$48&lt;=$AZ$11:$AZ$38)&gt;0),$B89,"")</f>
        <v/>
      </c>
      <c r="U89" s="84" t="str">
        <f t="array" ref="U89">IF(OR((U$85&gt;=$AY$11:$AY$38)*(U$48&lt;=$AZ$11:$AZ$38)&gt;0),$B89,"")</f>
        <v/>
      </c>
      <c r="V89" s="84" t="str">
        <f t="array" ref="V89">IF(OR((V$85&gt;=$AY$11:$AY$38)*(V$48&lt;=$AZ$11:$AZ$38)&gt;0),$B89,"")</f>
        <v/>
      </c>
      <c r="W89" s="84" t="str">
        <f t="array" ref="W89">IF(OR((W$85&gt;=$AY$11:$AY$38)*(W$48&lt;=$AZ$11:$AZ$38)&gt;0),$B89,"")</f>
        <v/>
      </c>
      <c r="X89" s="84" t="str">
        <f t="array" ref="X89">IF(OR((X$85&gt;=$AY$11:$AY$38)*(X$48&lt;=$AZ$11:$AZ$38)&gt;0),$B89,"")</f>
        <v/>
      </c>
      <c r="Y89" s="84" t="str">
        <f t="array" ref="Y89">IF(OR((Y$85&gt;=$AY$11:$AY$38)*(Y$48&lt;=$AZ$11:$AZ$38)&gt;0),$B89,"")</f>
        <v/>
      </c>
      <c r="Z89" s="84" t="str">
        <f t="array" ref="Z89">IF(OR((Z$85&gt;=$AY$11:$AY$38)*(Z$48&lt;=$AZ$11:$AZ$38)&gt;0),$B89,"")</f>
        <v/>
      </c>
      <c r="AA89" s="84" t="str">
        <f t="array" ref="AA89">IF(OR((AA$85&gt;=$AY$11:$AY$38)*(AA$48&lt;=$AZ$11:$AZ$38)&gt;0),$B89,"")</f>
        <v/>
      </c>
      <c r="AB89" s="84" t="str">
        <f t="array" ref="AB89">IF(OR((AB$85&gt;=$AY$11:$AY$38)*(AB$48&lt;=$AZ$11:$AZ$38)&gt;0),$B89,"")</f>
        <v/>
      </c>
      <c r="AC89" s="84" t="str">
        <f t="array" ref="AC89">IF(OR((AC$85&gt;=$AY$11:$AY$38)*(AC$48&lt;=$AZ$11:$AZ$38)&gt;0),$B89,"")</f>
        <v/>
      </c>
      <c r="AD89" s="84" t="str">
        <f t="array" ref="AD89">IF(OR((AD$85&gt;=$AY$11:$AY$38)*(AD$48&lt;=$AZ$11:$AZ$38)&gt;0),$B89,"")</f>
        <v/>
      </c>
      <c r="AE89" s="84" t="str">
        <f t="array" ref="AE89">IF(OR((AE$85&gt;=$AY$11:$AY$38)*(AE$48&lt;=$AZ$11:$AZ$38)&gt;0),$B89,"")</f>
        <v/>
      </c>
      <c r="AF89" s="84" t="str">
        <f t="array" ref="AF89">IF(OR((AF$85&gt;=$AY$11:$AY$38)*(AF$48&lt;=$AZ$11:$AZ$38)&gt;0),$B89,"")</f>
        <v/>
      </c>
      <c r="AG89" s="84" t="str">
        <f t="array" ref="AG89">IF(OR((AG$85&gt;=$AY$11:$AY$38)*(AG$48&lt;=$AZ$11:$AZ$38)&gt;0),$B89,"")</f>
        <v/>
      </c>
      <c r="AH89" s="84" t="str">
        <f t="array" ref="AH89">IF(OR((AH$85&gt;=$AY$11:$AY$38)*(AH$48&lt;=$AZ$11:$AZ$38)&gt;0),$B89,"")</f>
        <v/>
      </c>
      <c r="AI89" s="84" t="str">
        <f t="array" ref="AI89">IF(OR((AI$85&gt;=$AY$11:$AY$38)*(AI$48&lt;=$AZ$11:$AZ$38)&gt;0),$B89,"")</f>
        <v/>
      </c>
      <c r="AK89" s="75" t="s">
        <v>190</v>
      </c>
      <c r="AL89" s="16">
        <v>48</v>
      </c>
      <c r="AM89" s="84" t="str">
        <f t="array" ref="AM89">IF(OR((AM$85&gt;=$AY$11:$AY$38)*(AM$48&lt;=$AZ$11:$AZ$38)&gt;0),$B89,"")</f>
        <v/>
      </c>
      <c r="AN89" s="84" t="str">
        <f t="array" ref="AN89">IF(OR((AN$85&gt;=$AY$11:$AY$38)*(AN$48&lt;=$AZ$11:$AZ$38)&gt;0),$B89,"")</f>
        <v/>
      </c>
      <c r="AO89" s="84" t="str">
        <f t="array" ref="AO89">IF(OR((AO$85&gt;=$AY$11:$AY$38)*(AO$48&lt;=$AZ$11:$AZ$38)&gt;0),$B89,"")</f>
        <v/>
      </c>
      <c r="AP89" s="84" t="str">
        <f t="array" ref="AP89">IF(OR((AP$85&gt;=$AY$11:$AY$38)*(AP$48&lt;=$AZ$11:$AZ$38)&gt;0),$B89,"")</f>
        <v/>
      </c>
      <c r="AQ89" s="84" t="str">
        <f t="array" ref="AQ89">IF(OR((AQ$85&gt;=$AY$11:$AY$38)*(AQ$48&lt;=$AZ$11:$AZ$38)&gt;0),$B89,"")</f>
        <v/>
      </c>
      <c r="AR89" s="84" t="str">
        <f t="array" ref="AR89">IF(OR((AR$85&gt;=$AY$11:$AY$38)*(AR$48&lt;=$AZ$11:$AZ$38)&gt;0),$B89,"")</f>
        <v/>
      </c>
      <c r="AS89" s="84" t="str">
        <f t="array" ref="AS89">IF(OR((AS$85&gt;=$AY$11:$AY$38)*(AS$48&lt;=$AZ$11:$AZ$38)&gt;0),$B89,"")</f>
        <v/>
      </c>
      <c r="AT89" s="84" t="str">
        <f t="array" ref="AT89">IF(OR((AT$85&gt;=$AY$11:$AY$38)*(AT$48&lt;=$AZ$11:$AZ$38)&gt;0),$B89,"")</f>
        <v/>
      </c>
      <c r="AU89" s="84" t="str">
        <f t="array" ref="AU89">IF(OR((AU$85&gt;=$AY$11:$AY$38)*(AU$48&lt;=$AZ$11:$AZ$38)&gt;0),$B89,"")</f>
        <v/>
      </c>
      <c r="AV89" s="84" t="str">
        <f t="array" ref="AV89">IF(OR((AV$85&gt;=$AY$11:$AY$38)*(AV$48&lt;=$AZ$11:$AZ$38)&gt;0),$B89,"")</f>
        <v/>
      </c>
      <c r="AW89" s="84" t="str">
        <f t="array" ref="AW89">IF(OR((AW$85&gt;=$AY$11:$AY$38)*(AW$48&lt;=$AZ$11:$AZ$38)&gt;0),$B89,"")</f>
        <v/>
      </c>
      <c r="AX89" s="84" t="str">
        <f t="array" ref="AX89">IF(OR((AX$85&gt;=$AY$11:$AY$38)*(AX$48&lt;=$AZ$11:$AZ$38)&gt;0),$B89,"")</f>
        <v/>
      </c>
      <c r="AY89" s="84"/>
      <c r="AZ89" s="84"/>
      <c r="BA89" s="84" t="str">
        <f t="array" ref="BA89">IF(OR((BA$85&gt;=$AY$11:$AY$38)*(BA$48&lt;=$AZ$11:$AZ$38)&gt;0),$B89,"")</f>
        <v/>
      </c>
      <c r="BB89" s="84" t="str">
        <f t="array" ref="BB89">IF(OR((BB$85&gt;=$AY$11:$AY$38)*(BB$48&lt;=$AZ$11:$AZ$38)&gt;0),$B89,"")</f>
        <v/>
      </c>
      <c r="BC89" s="84" t="str">
        <f t="array" ref="BC89">IF(OR((BC$85&gt;=$AY$11:$AY$38)*(BC$48&lt;=$AZ$11:$AZ$38)&gt;0),$B89,"")</f>
        <v/>
      </c>
      <c r="BD89" s="84" t="str">
        <f t="array" ref="BD89">IF(OR((BD$85&gt;=$AY$11:$AY$38)*(BD$48&lt;=$AZ$11:$AZ$38)&gt;0),$B89,"")</f>
        <v/>
      </c>
      <c r="BE89" s="84" t="str">
        <f t="array" ref="BE89">IF(OR((BE$85&gt;=$AY$11:$AY$38)*(BE$48&lt;=$AZ$11:$AZ$38)&gt;0),$B89,"")</f>
        <v/>
      </c>
      <c r="BF89" s="84" t="str">
        <f t="array" ref="BF89">IF(OR((BF$85&gt;=$AY$11:$AY$38)*(BF$48&lt;=$AZ$11:$AZ$38)&gt;0),$B89,"")</f>
        <v/>
      </c>
      <c r="BG89" s="84" t="str">
        <f t="array" ref="BG89">IF(OR((BG$85&gt;=$AY$11:$AY$38)*(BG$48&lt;=$AZ$11:$AZ$38)&gt;0),$B89,"")</f>
        <v/>
      </c>
      <c r="BH89" s="84" t="str">
        <f t="array" ref="BH89">IF(OR((BH$85&gt;=$AY$11:$AY$38)*(BH$48&lt;=$AZ$11:$AZ$38)&gt;0),$B89,"")</f>
        <v/>
      </c>
      <c r="BI89" s="84" t="str">
        <f t="array" ref="BI89">IF(OR((BI$85&gt;=$AY$11:$AY$38)*(BI$48&lt;=$AZ$11:$AZ$38)&gt;0),$B89,"")</f>
        <v/>
      </c>
      <c r="BJ89" s="84" t="str">
        <f t="array" ref="BJ89">IF(OR((BJ$85&gt;=$AY$11:$AY$38)*(BJ$48&lt;=$AZ$11:$AZ$38)&gt;0),$B89,"")</f>
        <v/>
      </c>
      <c r="BK89" s="84" t="str">
        <f t="array" ref="BK89">IF(OR((BK$85&gt;=$AY$11:$AY$38)*(BK$48&lt;=$AZ$11:$AZ$38)&gt;0),$B89,"")</f>
        <v/>
      </c>
      <c r="BL89" s="84" t="str">
        <f t="array" ref="BL89">IF(OR((BL$85&gt;=$AY$11:$AY$38)*(BL$48&lt;=$AZ$11:$AZ$38)&gt;0),$B89,"")</f>
        <v/>
      </c>
      <c r="BM89" s="84" t="str">
        <f t="array" ref="BM89">IF(OR((BM$85&gt;=$AY$11:$AY$38)*(BM$48&lt;=$AZ$11:$AZ$38)&gt;0),$B89,"")</f>
        <v/>
      </c>
      <c r="BN89" s="84" t="str">
        <f t="array" ref="BN89">IF(OR((BN$85&gt;=$AY$11:$AY$38)*(BN$48&lt;=$AZ$11:$AZ$38)&gt;0),$B89,"")</f>
        <v/>
      </c>
      <c r="BO89" s="84" t="str">
        <f t="array" ref="BO89">IF(OR((BO$85&gt;=$AY$11:$AY$38)*(BO$48&lt;=$AZ$11:$AZ$38)&gt;0),$B89,"")</f>
        <v/>
      </c>
      <c r="BP89" s="84" t="str">
        <f t="array" ref="BP89">IF(OR((BP$85&gt;=$AY$11:$AY$38)*(BP$48&lt;=$AZ$11:$AZ$38)&gt;0),$B89,"")</f>
        <v/>
      </c>
      <c r="BQ89" s="84" t="str">
        <f t="array" ref="BQ89">IF(OR((BQ$85&gt;=$AY$11:$AY$38)*(BQ$48&lt;=$AZ$11:$AZ$38)&gt;0),$B89,"")</f>
        <v/>
      </c>
      <c r="BR89" s="84" t="str">
        <f t="array" ref="BR89">IF(OR((BR$85&gt;=$AY$11:$AY$38)*(BR$48&lt;=$AZ$11:$AZ$38)&gt;0),$B89,"")</f>
        <v/>
      </c>
      <c r="BS89" s="84" t="str">
        <f t="array" ref="BS89">IF(OR((BS$85&gt;=$AY$11:$AY$38)*(BS$48&lt;=$AZ$11:$AZ$38)&gt;0),$B89,"")</f>
        <v/>
      </c>
      <c r="BU89" s="75" t="s">
        <v>190</v>
      </c>
      <c r="BV89" s="16">
        <v>48</v>
      </c>
      <c r="BW89" s="84" t="str">
        <f t="array" ref="BW89">IF(OR((BW$85&gt;=$AY$11:$AY$38)*(BW$48&lt;=$AZ$11:$AZ$38)&gt;0),$B89,"")</f>
        <v/>
      </c>
      <c r="BX89" s="84" t="str">
        <f t="array" ref="BX89">IF(OR((BX$85&gt;=$AY$11:$AY$38)*(BX$48&lt;=$AZ$11:$AZ$38)&gt;0),$B89,"")</f>
        <v/>
      </c>
      <c r="BY89" s="84" t="str">
        <f t="array" ref="BY89">IF(OR((BY$85&gt;=$AY$11:$AY$38)*(BY$48&lt;=$AZ$11:$AZ$38)&gt;0),$B89,"")</f>
        <v/>
      </c>
      <c r="BZ89" s="84" t="str">
        <f t="array" ref="BZ89">IF(OR((BZ$85&gt;=$AY$11:$AY$38)*(BZ$48&lt;=$AZ$11:$AZ$38)&gt;0),$B89,"")</f>
        <v/>
      </c>
      <c r="CA89" s="84" t="str">
        <f t="array" ref="CA89">IF(OR((CA$85&gt;=$AY$11:$AY$38)*(CA$48&lt;=$AZ$11:$AZ$38)&gt;0),$B89,"")</f>
        <v/>
      </c>
      <c r="CB89" s="84" t="str">
        <f t="array" ref="CB89">IF(OR((CB$85&gt;=$AY$11:$AY$38)*(CB$48&lt;=$AZ$11:$AZ$38)&gt;0),$B89,"")</f>
        <v/>
      </c>
      <c r="CC89" s="84" t="str">
        <f t="array" ref="CC89">IF(OR((CC$85&gt;=$AY$11:$AY$38)*(CC$48&lt;=$AZ$11:$AZ$38)&gt;0),$B89,"")</f>
        <v/>
      </c>
      <c r="CD89" s="84" t="str">
        <f t="array" ref="CD89">IF(OR((CD$85&gt;=$AY$11:$AY$38)*(CD$48&lt;=$AZ$11:$AZ$38)&gt;0),$B89,"")</f>
        <v/>
      </c>
      <c r="CE89" s="84" t="str">
        <f t="array" ref="CE89">IF(OR((CE$85&gt;=$AY$11:$AY$38)*(CE$48&lt;=$AZ$11:$AZ$38)&gt;0),$B89,"")</f>
        <v/>
      </c>
      <c r="CF89" s="84" t="str">
        <f t="array" ref="CF89">IF(OR((CF$85&gt;=$AY$11:$AY$38)*(CF$48&lt;=$AZ$11:$AZ$38)&gt;0),$B89,"")</f>
        <v/>
      </c>
      <c r="CG89" s="84" t="str">
        <f t="array" ref="CG89">IF(OR((CG$85&gt;=$AY$11:$AY$38)*(CG$48&lt;=$AZ$11:$AZ$38)&gt;0),$B89,"")</f>
        <v/>
      </c>
      <c r="CH89" s="84" t="str">
        <f t="array" ref="CH89">IF(OR((CH$85&gt;=$AY$11:$AY$38)*(CH$48&lt;=$AZ$11:$AZ$38)&gt;0),$B89,"")</f>
        <v/>
      </c>
      <c r="CI89" s="84"/>
      <c r="CJ89" s="84"/>
      <c r="CK89" s="84" t="str">
        <f t="array" ref="CK89">IF(OR((CK$85&gt;=$AY$11:$AY$38)*(CK$48&lt;=$AZ$11:$AZ$38)&gt;0),$B89,"")</f>
        <v/>
      </c>
      <c r="CL89" s="84" t="str">
        <f t="array" ref="CL89">IF(OR((CL$85&gt;=$AY$11:$AY$38)*(CL$48&lt;=$AZ$11:$AZ$38)&gt;0),$B89,"")</f>
        <v/>
      </c>
      <c r="CM89" s="84" t="str">
        <f t="array" ref="CM89">IF(OR((CM$85&gt;=$AY$11:$AY$38)*(CM$48&lt;=$AZ$11:$AZ$38)&gt;0),$B89,"")</f>
        <v/>
      </c>
      <c r="CN89" s="84" t="str">
        <f t="array" ref="CN89">IF(OR((CN$85&gt;=$AY$11:$AY$38)*(CN$48&lt;=$AZ$11:$AZ$38)&gt;0),$B89,"")</f>
        <v/>
      </c>
      <c r="CO89" s="84" t="str">
        <f t="array" ref="CO89">IF(OR((CO$85&gt;=$AY$11:$AY$38)*(CO$48&lt;=$AZ$11:$AZ$38)&gt;0),$B89,"")</f>
        <v/>
      </c>
      <c r="CP89" s="84" t="str">
        <f t="array" ref="CP89">IF(OR((CP$85&gt;=$AY$11:$AY$38)*(CP$48&lt;=$AZ$11:$AZ$38)&gt;0),$B89,"")</f>
        <v/>
      </c>
      <c r="CQ89" s="84" t="str">
        <f t="array" ref="CQ89">IF(OR((CQ$85&gt;=$AY$11:$AY$38)*(CQ$48&lt;=$AZ$11:$AZ$38)&gt;0),$B89,"")</f>
        <v/>
      </c>
      <c r="CR89" s="84" t="str">
        <f t="array" ref="CR89">IF(OR((CR$85&gt;=$AY$11:$AY$38)*(CR$48&lt;=$AZ$11:$AZ$38)&gt;0),$B89,"")</f>
        <v/>
      </c>
      <c r="CS89" s="84" t="str">
        <f t="array" ref="CS89">IF(OR((CS$85&gt;=$AY$11:$AY$38)*(CS$48&lt;=$AZ$11:$AZ$38)&gt;0),$B89,"")</f>
        <v/>
      </c>
      <c r="CT89" s="84" t="str">
        <f t="array" ref="CT89">IF(OR((CT$85&gt;=$AY$11:$AY$38)*(CT$48&lt;=$AZ$11:$AZ$38)&gt;0),$B89,"")</f>
        <v/>
      </c>
      <c r="CU89" s="84" t="str">
        <f t="array" ref="CU89">IF(OR((CU$85&gt;=$AY$11:$AY$38)*(CU$48&lt;=$AZ$11:$AZ$38)&gt;0),$B89,"")</f>
        <v/>
      </c>
      <c r="CV89" s="84" t="str">
        <f t="array" ref="CV89">IF(OR((CV$85&gt;=$AY$11:$AY$38)*(CV$48&lt;=$AZ$11:$AZ$38)&gt;0),$B89,"")</f>
        <v/>
      </c>
      <c r="CW89" s="84" t="str">
        <f t="array" ref="CW89">IF(OR((CW$85&gt;=$AY$11:$AY$38)*(CW$48&lt;=$AZ$11:$AZ$38)&gt;0),$B89,"")</f>
        <v/>
      </c>
      <c r="CX89" s="84" t="str">
        <f t="array" ref="CX89">IF(OR((CX$85&gt;=$AY$11:$AY$38)*(CX$48&lt;=$AZ$11:$AZ$38)&gt;0),$B89,"")</f>
        <v/>
      </c>
      <c r="CY89" s="84" t="str">
        <f t="array" ref="CY89">IF(OR((CY$85&gt;=$AY$11:$AY$38)*(CY$48&lt;=$AZ$11:$AZ$38)&gt;0),$B89,"")</f>
        <v/>
      </c>
      <c r="CZ89" s="84" t="str">
        <f t="array" ref="CZ89">IF(OR((CZ$85&gt;=$AY$11:$AY$38)*(CZ$48&lt;=$AZ$11:$AZ$38)&gt;0),$B89,"")</f>
        <v/>
      </c>
      <c r="DA89" s="84" t="str">
        <f t="array" ref="DA89">IF(OR((DA$85&gt;=$AY$11:$AY$38)*(DA$48&lt;=$AZ$11:$AZ$38)&gt;0),$B89,"")</f>
        <v/>
      </c>
      <c r="DB89" s="84" t="str">
        <f t="array" ref="DB89">IF(OR((DB$85&gt;=$AY$11:$AY$38)*(DB$48&lt;=$AZ$11:$AZ$38)&gt;0),$B89,"")</f>
        <v/>
      </c>
      <c r="DC89" s="84" t="str">
        <f t="array" ref="DC89">IF(OR((DC$85&gt;=$AY$11:$AY$38)*(DC$48&lt;=$AZ$11:$AZ$38)&gt;0),$B89,"")</f>
        <v/>
      </c>
    </row>
    <row r="90" spans="1:107">
      <c r="A90" s="75" t="s">
        <v>191</v>
      </c>
      <c r="B90" s="16">
        <v>48</v>
      </c>
      <c r="C90" s="84" t="str">
        <f t="array" ref="C90">IF(OR((C$85&gt;=$AY$11:$AY$38)*(C$48&lt;=$AZ$11:$AZ$38)&gt;0),$B90,"")</f>
        <v/>
      </c>
      <c r="D90" s="84" t="str">
        <f t="array" ref="D90">IF(OR((D$85&gt;=$AY$11:$AY$38)*(D$48&lt;=$AZ$11:$AZ$38)&gt;0),$B90,"")</f>
        <v/>
      </c>
      <c r="E90" s="84" t="str">
        <f t="array" ref="E90">IF(OR((E$85&gt;=$AY$11:$AY$38)*(E$48&lt;=$AZ$11:$AZ$38)&gt;0),$B90,"")</f>
        <v/>
      </c>
      <c r="F90" s="84" t="str">
        <f t="array" ref="F90">IF(OR((F$85&gt;=$AY$11:$AY$38)*(F$48&lt;=$AZ$11:$AZ$38)&gt;0),$B90,"")</f>
        <v/>
      </c>
      <c r="G90" s="84" t="str">
        <f t="array" ref="G90">IF(OR((G$85&gt;=$AY$11:$AY$38)*(G$48&lt;=$AZ$11:$AZ$38)&gt;0),$B90,"")</f>
        <v/>
      </c>
      <c r="H90" s="84" t="str">
        <f t="array" ref="H90">IF(OR((H$85&gt;=$AY$11:$AY$38)*(H$48&lt;=$AZ$11:$AZ$38)&gt;0),$B90,"")</f>
        <v/>
      </c>
      <c r="I90" s="84" t="str">
        <f t="array" ref="I90">IF(OR((I$85&gt;=$AY$11:$AY$38)*(I$48&lt;=$AZ$11:$AZ$38)&gt;0),$B90,"")</f>
        <v/>
      </c>
      <c r="J90" s="84" t="str">
        <f t="array" ref="J90">IF(OR((J$85&gt;=$AY$11:$AY$38)*(J$48&lt;=$AZ$11:$AZ$38)&gt;0),$B90,"")</f>
        <v/>
      </c>
      <c r="K90" s="84" t="str">
        <f t="array" ref="K90">IF(OR((K$85&gt;=$AY$11:$AY$38)*(K$48&lt;=$AZ$11:$AZ$38)&gt;0),$B90,"")</f>
        <v/>
      </c>
      <c r="L90" s="84" t="str">
        <f t="array" ref="L90">IF(OR((L$85&gt;=$AY$11:$AY$38)*(L$48&lt;=$AZ$11:$AZ$38)&gt;0),$B90,"")</f>
        <v/>
      </c>
      <c r="M90" s="84" t="str">
        <f t="array" ref="M90">IF(OR((M$85&gt;=$AY$11:$AY$38)*(M$48&lt;=$AZ$11:$AZ$38)&gt;0),$B90,"")</f>
        <v/>
      </c>
      <c r="N90" s="84" t="str">
        <f t="array" ref="N90">IF(OR((N$85&gt;=$AY$11:$AY$38)*(N$48&lt;=$AZ$11:$AZ$38)&gt;0),$B90,"")</f>
        <v/>
      </c>
      <c r="O90" s="84"/>
      <c r="P90" s="84"/>
      <c r="Q90" s="84" t="str">
        <f t="array" ref="Q90">IF(OR((Q$85&gt;=$AY$11:$AY$38)*(Q$48&lt;=$AZ$11:$AZ$38)&gt;0),$B90,"")</f>
        <v/>
      </c>
      <c r="R90" s="84" t="str">
        <f t="array" ref="R90">IF(OR((R$85&gt;=$AY$11:$AY$38)*(R$48&lt;=$AZ$11:$AZ$38)&gt;0),$B90,"")</f>
        <v/>
      </c>
      <c r="S90" s="84" t="str">
        <f t="array" ref="S90">IF(OR((S$85&gt;=$AY$11:$AY$38)*(S$48&lt;=$AZ$11:$AZ$38)&gt;0),$B90,"")</f>
        <v/>
      </c>
      <c r="T90" s="84" t="str">
        <f t="array" ref="T90">IF(OR((T$85&gt;=$AY$11:$AY$38)*(T$48&lt;=$AZ$11:$AZ$38)&gt;0),$B90,"")</f>
        <v/>
      </c>
      <c r="U90" s="84" t="str">
        <f t="array" ref="U90">IF(OR((U$85&gt;=$AY$11:$AY$38)*(U$48&lt;=$AZ$11:$AZ$38)&gt;0),$B90,"")</f>
        <v/>
      </c>
      <c r="V90" s="84" t="str">
        <f t="array" ref="V90">IF(OR((V$85&gt;=$AY$11:$AY$38)*(V$48&lt;=$AZ$11:$AZ$38)&gt;0),$B90,"")</f>
        <v/>
      </c>
      <c r="W90" s="84" t="str">
        <f t="array" ref="W90">IF(OR((W$85&gt;=$AY$11:$AY$38)*(W$48&lt;=$AZ$11:$AZ$38)&gt;0),$B90,"")</f>
        <v/>
      </c>
      <c r="X90" s="84" t="str">
        <f t="array" ref="X90">IF(OR((X$85&gt;=$AY$11:$AY$38)*(X$48&lt;=$AZ$11:$AZ$38)&gt;0),$B90,"")</f>
        <v/>
      </c>
      <c r="Y90" s="84" t="str">
        <f t="array" ref="Y90">IF(OR((Y$85&gt;=$AY$11:$AY$38)*(Y$48&lt;=$AZ$11:$AZ$38)&gt;0),$B90,"")</f>
        <v/>
      </c>
      <c r="Z90" s="84" t="str">
        <f t="array" ref="Z90">IF(OR((Z$85&gt;=$AY$11:$AY$38)*(Z$48&lt;=$AZ$11:$AZ$38)&gt;0),$B90,"")</f>
        <v/>
      </c>
      <c r="AA90" s="84" t="str">
        <f t="array" ref="AA90">IF(OR((AA$85&gt;=$AY$11:$AY$38)*(AA$48&lt;=$AZ$11:$AZ$38)&gt;0),$B90,"")</f>
        <v/>
      </c>
      <c r="AB90" s="84" t="str">
        <f t="array" ref="AB90">IF(OR((AB$85&gt;=$AY$11:$AY$38)*(AB$48&lt;=$AZ$11:$AZ$38)&gt;0),$B90,"")</f>
        <v/>
      </c>
      <c r="AC90" s="84" t="str">
        <f t="array" ref="AC90">IF(OR((AC$85&gt;=$AY$11:$AY$38)*(AC$48&lt;=$AZ$11:$AZ$38)&gt;0),$B90,"")</f>
        <v/>
      </c>
      <c r="AD90" s="84" t="str">
        <f t="array" ref="AD90">IF(OR((AD$85&gt;=$AY$11:$AY$38)*(AD$48&lt;=$AZ$11:$AZ$38)&gt;0),$B90,"")</f>
        <v/>
      </c>
      <c r="AE90" s="84" t="str">
        <f t="array" ref="AE90">IF(OR((AE$85&gt;=$AY$11:$AY$38)*(AE$48&lt;=$AZ$11:$AZ$38)&gt;0),$B90,"")</f>
        <v/>
      </c>
      <c r="AF90" s="84" t="str">
        <f t="array" ref="AF90">IF(OR((AF$85&gt;=$AY$11:$AY$38)*(AF$48&lt;=$AZ$11:$AZ$38)&gt;0),$B90,"")</f>
        <v/>
      </c>
      <c r="AG90" s="84" t="str">
        <f t="array" ref="AG90">IF(OR((AG$85&gt;=$AY$11:$AY$38)*(AG$48&lt;=$AZ$11:$AZ$38)&gt;0),$B90,"")</f>
        <v/>
      </c>
      <c r="AH90" s="84" t="str">
        <f t="array" ref="AH90">IF(OR((AH$85&gt;=$AY$11:$AY$38)*(AH$48&lt;=$AZ$11:$AZ$38)&gt;0),$B90,"")</f>
        <v/>
      </c>
      <c r="AI90" s="84" t="str">
        <f t="array" ref="AI90">IF(OR((AI$85&gt;=$AY$11:$AY$38)*(AI$48&lt;=$AZ$11:$AZ$38)&gt;0),$B90,"")</f>
        <v/>
      </c>
      <c r="AK90" s="75" t="s">
        <v>191</v>
      </c>
      <c r="AL90" s="16">
        <v>48</v>
      </c>
      <c r="AM90" s="84" t="str">
        <f t="array" ref="AM90">IF(OR((AM$85&gt;=$AY$11:$AY$38)*(AM$48&lt;=$AZ$11:$AZ$38)&gt;0),$B90,"")</f>
        <v/>
      </c>
      <c r="AN90" s="84" t="str">
        <f t="array" ref="AN90">IF(OR((AN$85&gt;=$AY$11:$AY$38)*(AN$48&lt;=$AZ$11:$AZ$38)&gt;0),$B90,"")</f>
        <v/>
      </c>
      <c r="AO90" s="84" t="str">
        <f t="array" ref="AO90">IF(OR((AO$85&gt;=$AY$11:$AY$38)*(AO$48&lt;=$AZ$11:$AZ$38)&gt;0),$B90,"")</f>
        <v/>
      </c>
      <c r="AP90" s="84" t="str">
        <f t="array" ref="AP90">IF(OR((AP$85&gt;=$AY$11:$AY$38)*(AP$48&lt;=$AZ$11:$AZ$38)&gt;0),$B90,"")</f>
        <v/>
      </c>
      <c r="AQ90" s="84" t="str">
        <f t="array" ref="AQ90">IF(OR((AQ$85&gt;=$AY$11:$AY$38)*(AQ$48&lt;=$AZ$11:$AZ$38)&gt;0),$B90,"")</f>
        <v/>
      </c>
      <c r="AR90" s="84" t="str">
        <f t="array" ref="AR90">IF(OR((AR$85&gt;=$AY$11:$AY$38)*(AR$48&lt;=$AZ$11:$AZ$38)&gt;0),$B90,"")</f>
        <v/>
      </c>
      <c r="AS90" s="84" t="str">
        <f t="array" ref="AS90">IF(OR((AS$85&gt;=$AY$11:$AY$38)*(AS$48&lt;=$AZ$11:$AZ$38)&gt;0),$B90,"")</f>
        <v/>
      </c>
      <c r="AT90" s="84" t="str">
        <f t="array" ref="AT90">IF(OR((AT$85&gt;=$AY$11:$AY$38)*(AT$48&lt;=$AZ$11:$AZ$38)&gt;0),$B90,"")</f>
        <v/>
      </c>
      <c r="AU90" s="84" t="str">
        <f t="array" ref="AU90">IF(OR((AU$85&gt;=$AY$11:$AY$38)*(AU$48&lt;=$AZ$11:$AZ$38)&gt;0),$B90,"")</f>
        <v/>
      </c>
      <c r="AV90" s="84" t="str">
        <f t="array" ref="AV90">IF(OR((AV$85&gt;=$AY$11:$AY$38)*(AV$48&lt;=$AZ$11:$AZ$38)&gt;0),$B90,"")</f>
        <v/>
      </c>
      <c r="AW90" s="84" t="str">
        <f t="array" ref="AW90">IF(OR((AW$85&gt;=$AY$11:$AY$38)*(AW$48&lt;=$AZ$11:$AZ$38)&gt;0),$B90,"")</f>
        <v/>
      </c>
      <c r="AX90" s="84" t="str">
        <f t="array" ref="AX90">IF(OR((AX$85&gt;=$AY$11:$AY$38)*(AX$48&lt;=$AZ$11:$AZ$38)&gt;0),$B90,"")</f>
        <v/>
      </c>
      <c r="AY90" s="84"/>
      <c r="AZ90" s="84"/>
      <c r="BA90" s="84" t="str">
        <f t="array" ref="BA90">IF(OR((BA$85&gt;=$AY$11:$AY$38)*(BA$48&lt;=$AZ$11:$AZ$38)&gt;0),$B90,"")</f>
        <v/>
      </c>
      <c r="BB90" s="84" t="str">
        <f t="array" ref="BB90">IF(OR((BB$85&gt;=$AY$11:$AY$38)*(BB$48&lt;=$AZ$11:$AZ$38)&gt;0),$B90,"")</f>
        <v/>
      </c>
      <c r="BC90" s="84" t="str">
        <f t="array" ref="BC90">IF(OR((BC$85&gt;=$AY$11:$AY$38)*(BC$48&lt;=$AZ$11:$AZ$38)&gt;0),$B90,"")</f>
        <v/>
      </c>
      <c r="BD90" s="84" t="str">
        <f t="array" ref="BD90">IF(OR((BD$85&gt;=$AY$11:$AY$38)*(BD$48&lt;=$AZ$11:$AZ$38)&gt;0),$B90,"")</f>
        <v/>
      </c>
      <c r="BE90" s="84" t="str">
        <f t="array" ref="BE90">IF(OR((BE$85&gt;=$AY$11:$AY$38)*(BE$48&lt;=$AZ$11:$AZ$38)&gt;0),$B90,"")</f>
        <v/>
      </c>
      <c r="BF90" s="84" t="str">
        <f t="array" ref="BF90">IF(OR((BF$85&gt;=$AY$11:$AY$38)*(BF$48&lt;=$AZ$11:$AZ$38)&gt;0),$B90,"")</f>
        <v/>
      </c>
      <c r="BG90" s="84" t="str">
        <f t="array" ref="BG90">IF(OR((BG$85&gt;=$AY$11:$AY$38)*(BG$48&lt;=$AZ$11:$AZ$38)&gt;0),$B90,"")</f>
        <v/>
      </c>
      <c r="BH90" s="84" t="str">
        <f t="array" ref="BH90">IF(OR((BH$85&gt;=$AY$11:$AY$38)*(BH$48&lt;=$AZ$11:$AZ$38)&gt;0),$B90,"")</f>
        <v/>
      </c>
      <c r="BI90" s="84" t="str">
        <f t="array" ref="BI90">IF(OR((BI$85&gt;=$AY$11:$AY$38)*(BI$48&lt;=$AZ$11:$AZ$38)&gt;0),$B90,"")</f>
        <v/>
      </c>
      <c r="BJ90" s="84" t="str">
        <f t="array" ref="BJ90">IF(OR((BJ$85&gt;=$AY$11:$AY$38)*(BJ$48&lt;=$AZ$11:$AZ$38)&gt;0),$B90,"")</f>
        <v/>
      </c>
      <c r="BK90" s="84" t="str">
        <f t="array" ref="BK90">IF(OR((BK$85&gt;=$AY$11:$AY$38)*(BK$48&lt;=$AZ$11:$AZ$38)&gt;0),$B90,"")</f>
        <v/>
      </c>
      <c r="BL90" s="84" t="str">
        <f t="array" ref="BL90">IF(OR((BL$85&gt;=$AY$11:$AY$38)*(BL$48&lt;=$AZ$11:$AZ$38)&gt;0),$B90,"")</f>
        <v/>
      </c>
      <c r="BM90" s="84" t="str">
        <f t="array" ref="BM90">IF(OR((BM$85&gt;=$AY$11:$AY$38)*(BM$48&lt;=$AZ$11:$AZ$38)&gt;0),$B90,"")</f>
        <v/>
      </c>
      <c r="BN90" s="84" t="str">
        <f t="array" ref="BN90">IF(OR((BN$85&gt;=$AY$11:$AY$38)*(BN$48&lt;=$AZ$11:$AZ$38)&gt;0),$B90,"")</f>
        <v/>
      </c>
      <c r="BO90" s="84" t="str">
        <f t="array" ref="BO90">IF(OR((BO$85&gt;=$AY$11:$AY$38)*(BO$48&lt;=$AZ$11:$AZ$38)&gt;0),$B90,"")</f>
        <v/>
      </c>
      <c r="BP90" s="84" t="str">
        <f t="array" ref="BP90">IF(OR((BP$85&gt;=$AY$11:$AY$38)*(BP$48&lt;=$AZ$11:$AZ$38)&gt;0),$B90,"")</f>
        <v/>
      </c>
      <c r="BQ90" s="84" t="str">
        <f t="array" ref="BQ90">IF(OR((BQ$85&gt;=$AY$11:$AY$38)*(BQ$48&lt;=$AZ$11:$AZ$38)&gt;0),$B90,"")</f>
        <v/>
      </c>
      <c r="BR90" s="84" t="str">
        <f t="array" ref="BR90">IF(OR((BR$85&gt;=$AY$11:$AY$38)*(BR$48&lt;=$AZ$11:$AZ$38)&gt;0),$B90,"")</f>
        <v/>
      </c>
      <c r="BS90" s="84" t="str">
        <f t="array" ref="BS90">IF(OR((BS$85&gt;=$AY$11:$AY$38)*(BS$48&lt;=$AZ$11:$AZ$38)&gt;0),$B90,"")</f>
        <v/>
      </c>
      <c r="BU90" s="75" t="s">
        <v>191</v>
      </c>
      <c r="BV90" s="16">
        <v>48</v>
      </c>
      <c r="BW90" s="84" t="str">
        <f t="array" ref="BW90">IF(OR((BW$85&gt;=$AY$11:$AY$38)*(BW$48&lt;=$AZ$11:$AZ$38)&gt;0),$B90,"")</f>
        <v/>
      </c>
      <c r="BX90" s="84" t="str">
        <f t="array" ref="BX90">IF(OR((BX$85&gt;=$AY$11:$AY$38)*(BX$48&lt;=$AZ$11:$AZ$38)&gt;0),$B90,"")</f>
        <v/>
      </c>
      <c r="BY90" s="84" t="str">
        <f t="array" ref="BY90">IF(OR((BY$85&gt;=$AY$11:$AY$38)*(BY$48&lt;=$AZ$11:$AZ$38)&gt;0),$B90,"")</f>
        <v/>
      </c>
      <c r="BZ90" s="84" t="str">
        <f t="array" ref="BZ90">IF(OR((BZ$85&gt;=$AY$11:$AY$38)*(BZ$48&lt;=$AZ$11:$AZ$38)&gt;0),$B90,"")</f>
        <v/>
      </c>
      <c r="CA90" s="84" t="str">
        <f t="array" ref="CA90">IF(OR((CA$85&gt;=$AY$11:$AY$38)*(CA$48&lt;=$AZ$11:$AZ$38)&gt;0),$B90,"")</f>
        <v/>
      </c>
      <c r="CB90" s="84" t="str">
        <f t="array" ref="CB90">IF(OR((CB$85&gt;=$AY$11:$AY$38)*(CB$48&lt;=$AZ$11:$AZ$38)&gt;0),$B90,"")</f>
        <v/>
      </c>
      <c r="CC90" s="84" t="str">
        <f t="array" ref="CC90">IF(OR((CC$85&gt;=$AY$11:$AY$38)*(CC$48&lt;=$AZ$11:$AZ$38)&gt;0),$B90,"")</f>
        <v/>
      </c>
      <c r="CD90" s="84" t="str">
        <f t="array" ref="CD90">IF(OR((CD$85&gt;=$AY$11:$AY$38)*(CD$48&lt;=$AZ$11:$AZ$38)&gt;0),$B90,"")</f>
        <v/>
      </c>
      <c r="CE90" s="84" t="str">
        <f t="array" ref="CE90">IF(OR((CE$85&gt;=$AY$11:$AY$38)*(CE$48&lt;=$AZ$11:$AZ$38)&gt;0),$B90,"")</f>
        <v/>
      </c>
      <c r="CF90" s="84" t="str">
        <f t="array" ref="CF90">IF(OR((CF$85&gt;=$AY$11:$AY$38)*(CF$48&lt;=$AZ$11:$AZ$38)&gt;0),$B90,"")</f>
        <v/>
      </c>
      <c r="CG90" s="84" t="str">
        <f t="array" ref="CG90">IF(OR((CG$85&gt;=$AY$11:$AY$38)*(CG$48&lt;=$AZ$11:$AZ$38)&gt;0),$B90,"")</f>
        <v/>
      </c>
      <c r="CH90" s="84" t="str">
        <f t="array" ref="CH90">IF(OR((CH$85&gt;=$AY$11:$AY$38)*(CH$48&lt;=$AZ$11:$AZ$38)&gt;0),$B90,"")</f>
        <v/>
      </c>
      <c r="CI90" s="84"/>
      <c r="CJ90" s="84"/>
      <c r="CK90" s="84" t="str">
        <f t="array" ref="CK90">IF(OR((CK$85&gt;=$AY$11:$AY$38)*(CK$48&lt;=$AZ$11:$AZ$38)&gt;0),$B90,"")</f>
        <v/>
      </c>
      <c r="CL90" s="84" t="str">
        <f t="array" ref="CL90">IF(OR((CL$85&gt;=$AY$11:$AY$38)*(CL$48&lt;=$AZ$11:$AZ$38)&gt;0),$B90,"")</f>
        <v/>
      </c>
      <c r="CM90" s="84" t="str">
        <f t="array" ref="CM90">IF(OR((CM$85&gt;=$AY$11:$AY$38)*(CM$48&lt;=$AZ$11:$AZ$38)&gt;0),$B90,"")</f>
        <v/>
      </c>
      <c r="CN90" s="84" t="str">
        <f t="array" ref="CN90">IF(OR((CN$85&gt;=$AY$11:$AY$38)*(CN$48&lt;=$AZ$11:$AZ$38)&gt;0),$B90,"")</f>
        <v/>
      </c>
      <c r="CO90" s="84" t="str">
        <f t="array" ref="CO90">IF(OR((CO$85&gt;=$AY$11:$AY$38)*(CO$48&lt;=$AZ$11:$AZ$38)&gt;0),$B90,"")</f>
        <v/>
      </c>
      <c r="CP90" s="84" t="str">
        <f t="array" ref="CP90">IF(OR((CP$85&gt;=$AY$11:$AY$38)*(CP$48&lt;=$AZ$11:$AZ$38)&gt;0),$B90,"")</f>
        <v/>
      </c>
      <c r="CQ90" s="84" t="str">
        <f t="array" ref="CQ90">IF(OR((CQ$85&gt;=$AY$11:$AY$38)*(CQ$48&lt;=$AZ$11:$AZ$38)&gt;0),$B90,"")</f>
        <v/>
      </c>
      <c r="CR90" s="84" t="str">
        <f t="array" ref="CR90">IF(OR((CR$85&gt;=$AY$11:$AY$38)*(CR$48&lt;=$AZ$11:$AZ$38)&gt;0),$B90,"")</f>
        <v/>
      </c>
      <c r="CS90" s="84" t="str">
        <f t="array" ref="CS90">IF(OR((CS$85&gt;=$AY$11:$AY$38)*(CS$48&lt;=$AZ$11:$AZ$38)&gt;0),$B90,"")</f>
        <v/>
      </c>
      <c r="CT90" s="84" t="str">
        <f t="array" ref="CT90">IF(OR((CT$85&gt;=$AY$11:$AY$38)*(CT$48&lt;=$AZ$11:$AZ$38)&gt;0),$B90,"")</f>
        <v/>
      </c>
      <c r="CU90" s="84" t="str">
        <f t="array" ref="CU90">IF(OR((CU$85&gt;=$AY$11:$AY$38)*(CU$48&lt;=$AZ$11:$AZ$38)&gt;0),$B90,"")</f>
        <v/>
      </c>
      <c r="CV90" s="84" t="str">
        <f t="array" ref="CV90">IF(OR((CV$85&gt;=$AY$11:$AY$38)*(CV$48&lt;=$AZ$11:$AZ$38)&gt;0),$B90,"")</f>
        <v/>
      </c>
      <c r="CW90" s="84" t="str">
        <f t="array" ref="CW90">IF(OR((CW$85&gt;=$AY$11:$AY$38)*(CW$48&lt;=$AZ$11:$AZ$38)&gt;0),$B90,"")</f>
        <v/>
      </c>
      <c r="CX90" s="84" t="str">
        <f t="array" ref="CX90">IF(OR((CX$85&gt;=$AY$11:$AY$38)*(CX$48&lt;=$AZ$11:$AZ$38)&gt;0),$B90,"")</f>
        <v/>
      </c>
      <c r="CY90" s="84" t="str">
        <f t="array" ref="CY90">IF(OR((CY$85&gt;=$AY$11:$AY$38)*(CY$48&lt;=$AZ$11:$AZ$38)&gt;0),$B90,"")</f>
        <v/>
      </c>
      <c r="CZ90" s="84" t="str">
        <f t="array" ref="CZ90">IF(OR((CZ$85&gt;=$AY$11:$AY$38)*(CZ$48&lt;=$AZ$11:$AZ$38)&gt;0),$B90,"")</f>
        <v/>
      </c>
      <c r="DA90" s="84" t="str">
        <f t="array" ref="DA90">IF(OR((DA$85&gt;=$AY$11:$AY$38)*(DA$48&lt;=$AZ$11:$AZ$38)&gt;0),$B90,"")</f>
        <v/>
      </c>
      <c r="DB90" s="84" t="str">
        <f t="array" ref="DB90">IF(OR((DB$85&gt;=$AY$11:$AY$38)*(DB$48&lt;=$AZ$11:$AZ$38)&gt;0),$B90,"")</f>
        <v/>
      </c>
      <c r="DC90" s="84" t="str">
        <f t="array" ref="DC90">IF(OR((DC$85&gt;=$AY$11:$AY$38)*(DC$48&lt;=$AZ$11:$AZ$38)&gt;0),$B90,"")</f>
        <v/>
      </c>
    </row>
    <row r="91" spans="1:107">
      <c r="A91" s="75" t="s">
        <v>192</v>
      </c>
      <c r="B91" s="16">
        <v>48</v>
      </c>
      <c r="C91" s="84" t="str">
        <f t="array" ref="C91">IF(OR((C$85&gt;=$AY$11:$AY$38)*(C$48&lt;=$AZ$11:$AZ$38)&gt;0),$B91,"")</f>
        <v/>
      </c>
      <c r="D91" s="84" t="str">
        <f t="array" ref="D91">IF(OR((D$85&gt;=$AY$11:$AY$38)*(D$48&lt;=$AZ$11:$AZ$38)&gt;0),$B91,"")</f>
        <v/>
      </c>
      <c r="E91" s="84" t="str">
        <f t="array" ref="E91">IF(OR((E$85&gt;=$AY$11:$AY$38)*(E$48&lt;=$AZ$11:$AZ$38)&gt;0),$B91,"")</f>
        <v/>
      </c>
      <c r="F91" s="84" t="str">
        <f t="array" ref="F91">IF(OR((F$85&gt;=$AY$11:$AY$38)*(F$48&lt;=$AZ$11:$AZ$38)&gt;0),$B91,"")</f>
        <v/>
      </c>
      <c r="G91" s="84" t="str">
        <f t="array" ref="G91">IF(OR((G$85&gt;=$AY$11:$AY$38)*(G$48&lt;=$AZ$11:$AZ$38)&gt;0),$B91,"")</f>
        <v/>
      </c>
      <c r="H91" s="84" t="str">
        <f t="array" ref="H91">IF(OR((H$85&gt;=$AY$11:$AY$38)*(H$48&lt;=$AZ$11:$AZ$38)&gt;0),$B91,"")</f>
        <v/>
      </c>
      <c r="I91" s="84" t="str">
        <f t="array" ref="I91">IF(OR((I$85&gt;=$AY$11:$AY$38)*(I$48&lt;=$AZ$11:$AZ$38)&gt;0),$B91,"")</f>
        <v/>
      </c>
      <c r="J91" s="84" t="str">
        <f t="array" ref="J91">IF(OR((J$85&gt;=$AY$11:$AY$38)*(J$48&lt;=$AZ$11:$AZ$38)&gt;0),$B91,"")</f>
        <v/>
      </c>
      <c r="K91" s="84" t="str">
        <f t="array" ref="K91">IF(OR((K$85&gt;=$AY$11:$AY$38)*(K$48&lt;=$AZ$11:$AZ$38)&gt;0),$B91,"")</f>
        <v/>
      </c>
      <c r="L91" s="84" t="str">
        <f t="array" ref="L91">IF(OR((L$85&gt;=$AY$11:$AY$38)*(L$48&lt;=$AZ$11:$AZ$38)&gt;0),$B91,"")</f>
        <v/>
      </c>
      <c r="M91" s="84" t="str">
        <f t="array" ref="M91">IF(OR((M$85&gt;=$AY$11:$AY$38)*(M$48&lt;=$AZ$11:$AZ$38)&gt;0),$B91,"")</f>
        <v/>
      </c>
      <c r="N91" s="84" t="str">
        <f t="array" ref="N91">IF(OR((N$85&gt;=$AY$11:$AY$38)*(N$48&lt;=$AZ$11:$AZ$38)&gt;0),$B91,"")</f>
        <v/>
      </c>
      <c r="O91" s="84"/>
      <c r="P91" s="84"/>
      <c r="Q91" s="84" t="str">
        <f t="array" ref="Q91">IF(OR((Q$85&gt;=$AY$11:$AY$38)*(Q$48&lt;=$AZ$11:$AZ$38)&gt;0),$B91,"")</f>
        <v/>
      </c>
      <c r="R91" s="84" t="str">
        <f t="array" ref="R91">IF(OR((R$85&gt;=$AY$11:$AY$38)*(R$48&lt;=$AZ$11:$AZ$38)&gt;0),$B91,"")</f>
        <v/>
      </c>
      <c r="S91" s="84" t="str">
        <f t="array" ref="S91">IF(OR((S$85&gt;=$AY$11:$AY$38)*(S$48&lt;=$AZ$11:$AZ$38)&gt;0),$B91,"")</f>
        <v/>
      </c>
      <c r="T91" s="84" t="str">
        <f t="array" ref="T91">IF(OR((T$85&gt;=$AY$11:$AY$38)*(T$48&lt;=$AZ$11:$AZ$38)&gt;0),$B91,"")</f>
        <v/>
      </c>
      <c r="U91" s="84" t="str">
        <f t="array" ref="U91">IF(OR((U$85&gt;=$AY$11:$AY$38)*(U$48&lt;=$AZ$11:$AZ$38)&gt;0),$B91,"")</f>
        <v/>
      </c>
      <c r="V91" s="84" t="str">
        <f t="array" ref="V91">IF(OR((V$85&gt;=$AY$11:$AY$38)*(V$48&lt;=$AZ$11:$AZ$38)&gt;0),$B91,"")</f>
        <v/>
      </c>
      <c r="W91" s="84" t="str">
        <f t="array" ref="W91">IF(OR((W$85&gt;=$AY$11:$AY$38)*(W$48&lt;=$AZ$11:$AZ$38)&gt;0),$B91,"")</f>
        <v/>
      </c>
      <c r="X91" s="84" t="str">
        <f t="array" ref="X91">IF(OR((X$85&gt;=$AY$11:$AY$38)*(X$48&lt;=$AZ$11:$AZ$38)&gt;0),$B91,"")</f>
        <v/>
      </c>
      <c r="Y91" s="84" t="str">
        <f t="array" ref="Y91">IF(OR((Y$85&gt;=$AY$11:$AY$38)*(Y$48&lt;=$AZ$11:$AZ$38)&gt;0),$B91,"")</f>
        <v/>
      </c>
      <c r="Z91" s="84" t="str">
        <f t="array" ref="Z91">IF(OR((Z$85&gt;=$AY$11:$AY$38)*(Z$48&lt;=$AZ$11:$AZ$38)&gt;0),$B91,"")</f>
        <v/>
      </c>
      <c r="AA91" s="84" t="str">
        <f t="array" ref="AA91">IF(OR((AA$85&gt;=$AY$11:$AY$38)*(AA$48&lt;=$AZ$11:$AZ$38)&gt;0),$B91,"")</f>
        <v/>
      </c>
      <c r="AB91" s="84" t="str">
        <f t="array" ref="AB91">IF(OR((AB$85&gt;=$AY$11:$AY$38)*(AB$48&lt;=$AZ$11:$AZ$38)&gt;0),$B91,"")</f>
        <v/>
      </c>
      <c r="AC91" s="84" t="str">
        <f t="array" ref="AC91">IF(OR((AC$85&gt;=$AY$11:$AY$38)*(AC$48&lt;=$AZ$11:$AZ$38)&gt;0),$B91,"")</f>
        <v/>
      </c>
      <c r="AD91" s="84" t="str">
        <f t="array" ref="AD91">IF(OR((AD$85&gt;=$AY$11:$AY$38)*(AD$48&lt;=$AZ$11:$AZ$38)&gt;0),$B91,"")</f>
        <v/>
      </c>
      <c r="AE91" s="84" t="str">
        <f t="array" ref="AE91">IF(OR((AE$85&gt;=$AY$11:$AY$38)*(AE$48&lt;=$AZ$11:$AZ$38)&gt;0),$B91,"")</f>
        <v/>
      </c>
      <c r="AF91" s="84" t="str">
        <f t="array" ref="AF91">IF(OR((AF$85&gt;=$AY$11:$AY$38)*(AF$48&lt;=$AZ$11:$AZ$38)&gt;0),$B91,"")</f>
        <v/>
      </c>
      <c r="AG91" s="84" t="str">
        <f t="array" ref="AG91">IF(OR((AG$85&gt;=$AY$11:$AY$38)*(AG$48&lt;=$AZ$11:$AZ$38)&gt;0),$B91,"")</f>
        <v/>
      </c>
      <c r="AH91" s="84" t="str">
        <f t="array" ref="AH91">IF(OR((AH$85&gt;=$AY$11:$AY$38)*(AH$48&lt;=$AZ$11:$AZ$38)&gt;0),$B91,"")</f>
        <v/>
      </c>
      <c r="AI91" s="84" t="str">
        <f t="array" ref="AI91">IF(OR((AI$85&gt;=$AY$11:$AY$38)*(AI$48&lt;=$AZ$11:$AZ$38)&gt;0),$B91,"")</f>
        <v/>
      </c>
      <c r="AK91" s="75" t="s">
        <v>192</v>
      </c>
      <c r="AL91" s="16">
        <v>48</v>
      </c>
      <c r="AM91" s="84" t="str">
        <f t="array" ref="AM91">IF(OR((AM$85&gt;=$AY$11:$AY$38)*(AM$48&lt;=$AZ$11:$AZ$38)&gt;0),$B91,"")</f>
        <v/>
      </c>
      <c r="AN91" s="84" t="str">
        <f t="array" ref="AN91">IF(OR((AN$85&gt;=$AY$11:$AY$38)*(AN$48&lt;=$AZ$11:$AZ$38)&gt;0),$B91,"")</f>
        <v/>
      </c>
      <c r="AO91" s="84" t="str">
        <f t="array" ref="AO91">IF(OR((AO$85&gt;=$AY$11:$AY$38)*(AO$48&lt;=$AZ$11:$AZ$38)&gt;0),$B91,"")</f>
        <v/>
      </c>
      <c r="AP91" s="84" t="str">
        <f t="array" ref="AP91">IF(OR((AP$85&gt;=$AY$11:$AY$38)*(AP$48&lt;=$AZ$11:$AZ$38)&gt;0),$B91,"")</f>
        <v/>
      </c>
      <c r="AQ91" s="84" t="str">
        <f t="array" ref="AQ91">IF(OR((AQ$85&gt;=$AY$11:$AY$38)*(AQ$48&lt;=$AZ$11:$AZ$38)&gt;0),$B91,"")</f>
        <v/>
      </c>
      <c r="AR91" s="84" t="str">
        <f t="array" ref="AR91">IF(OR((AR$85&gt;=$AY$11:$AY$38)*(AR$48&lt;=$AZ$11:$AZ$38)&gt;0),$B91,"")</f>
        <v/>
      </c>
      <c r="AS91" s="84" t="str">
        <f t="array" ref="AS91">IF(OR((AS$85&gt;=$AY$11:$AY$38)*(AS$48&lt;=$AZ$11:$AZ$38)&gt;0),$B91,"")</f>
        <v/>
      </c>
      <c r="AT91" s="84" t="str">
        <f t="array" ref="AT91">IF(OR((AT$85&gt;=$AY$11:$AY$38)*(AT$48&lt;=$AZ$11:$AZ$38)&gt;0),$B91,"")</f>
        <v/>
      </c>
      <c r="AU91" s="84" t="str">
        <f t="array" ref="AU91">IF(OR((AU$85&gt;=$AY$11:$AY$38)*(AU$48&lt;=$AZ$11:$AZ$38)&gt;0),$B91,"")</f>
        <v/>
      </c>
      <c r="AV91" s="84" t="str">
        <f t="array" ref="AV91">IF(OR((AV$85&gt;=$AY$11:$AY$38)*(AV$48&lt;=$AZ$11:$AZ$38)&gt;0),$B91,"")</f>
        <v/>
      </c>
      <c r="AW91" s="84" t="str">
        <f t="array" ref="AW91">IF(OR((AW$85&gt;=$AY$11:$AY$38)*(AW$48&lt;=$AZ$11:$AZ$38)&gt;0),$B91,"")</f>
        <v/>
      </c>
      <c r="AX91" s="84" t="str">
        <f t="array" ref="AX91">IF(OR((AX$85&gt;=$AY$11:$AY$38)*(AX$48&lt;=$AZ$11:$AZ$38)&gt;0),$B91,"")</f>
        <v/>
      </c>
      <c r="AY91" s="84"/>
      <c r="AZ91" s="84"/>
      <c r="BA91" s="84" t="str">
        <f t="array" ref="BA91">IF(OR((BA$85&gt;=$AY$11:$AY$38)*(BA$48&lt;=$AZ$11:$AZ$38)&gt;0),$B91,"")</f>
        <v/>
      </c>
      <c r="BB91" s="84" t="str">
        <f t="array" ref="BB91">IF(OR((BB$85&gt;=$AY$11:$AY$38)*(BB$48&lt;=$AZ$11:$AZ$38)&gt;0),$B91,"")</f>
        <v/>
      </c>
      <c r="BC91" s="84" t="str">
        <f t="array" ref="BC91">IF(OR((BC$85&gt;=$AY$11:$AY$38)*(BC$48&lt;=$AZ$11:$AZ$38)&gt;0),$B91,"")</f>
        <v/>
      </c>
      <c r="BD91" s="84" t="str">
        <f t="array" ref="BD91">IF(OR((BD$85&gt;=$AY$11:$AY$38)*(BD$48&lt;=$AZ$11:$AZ$38)&gt;0),$B91,"")</f>
        <v/>
      </c>
      <c r="BE91" s="84" t="str">
        <f t="array" ref="BE91">IF(OR((BE$85&gt;=$AY$11:$AY$38)*(BE$48&lt;=$AZ$11:$AZ$38)&gt;0),$B91,"")</f>
        <v/>
      </c>
      <c r="BF91" s="84" t="str">
        <f t="array" ref="BF91">IF(OR((BF$85&gt;=$AY$11:$AY$38)*(BF$48&lt;=$AZ$11:$AZ$38)&gt;0),$B91,"")</f>
        <v/>
      </c>
      <c r="BG91" s="84" t="str">
        <f t="array" ref="BG91">IF(OR((BG$85&gt;=$AY$11:$AY$38)*(BG$48&lt;=$AZ$11:$AZ$38)&gt;0),$B91,"")</f>
        <v/>
      </c>
      <c r="BH91" s="84" t="str">
        <f t="array" ref="BH91">IF(OR((BH$85&gt;=$AY$11:$AY$38)*(BH$48&lt;=$AZ$11:$AZ$38)&gt;0),$B91,"")</f>
        <v/>
      </c>
      <c r="BI91" s="84" t="str">
        <f t="array" ref="BI91">IF(OR((BI$85&gt;=$AY$11:$AY$38)*(BI$48&lt;=$AZ$11:$AZ$38)&gt;0),$B91,"")</f>
        <v/>
      </c>
      <c r="BJ91" s="84" t="str">
        <f t="array" ref="BJ91">IF(OR((BJ$85&gt;=$AY$11:$AY$38)*(BJ$48&lt;=$AZ$11:$AZ$38)&gt;0),$B91,"")</f>
        <v/>
      </c>
      <c r="BK91" s="84" t="str">
        <f t="array" ref="BK91">IF(OR((BK$85&gt;=$AY$11:$AY$38)*(BK$48&lt;=$AZ$11:$AZ$38)&gt;0),$B91,"")</f>
        <v/>
      </c>
      <c r="BL91" s="84" t="str">
        <f t="array" ref="BL91">IF(OR((BL$85&gt;=$AY$11:$AY$38)*(BL$48&lt;=$AZ$11:$AZ$38)&gt;0),$B91,"")</f>
        <v/>
      </c>
      <c r="BM91" s="84" t="str">
        <f t="array" ref="BM91">IF(OR((BM$85&gt;=$AY$11:$AY$38)*(BM$48&lt;=$AZ$11:$AZ$38)&gt;0),$B91,"")</f>
        <v/>
      </c>
      <c r="BN91" s="84" t="str">
        <f t="array" ref="BN91">IF(OR((BN$85&gt;=$AY$11:$AY$38)*(BN$48&lt;=$AZ$11:$AZ$38)&gt;0),$B91,"")</f>
        <v/>
      </c>
      <c r="BO91" s="84" t="str">
        <f t="array" ref="BO91">IF(OR((BO$85&gt;=$AY$11:$AY$38)*(BO$48&lt;=$AZ$11:$AZ$38)&gt;0),$B91,"")</f>
        <v/>
      </c>
      <c r="BP91" s="84" t="str">
        <f t="array" ref="BP91">IF(OR((BP$85&gt;=$AY$11:$AY$38)*(BP$48&lt;=$AZ$11:$AZ$38)&gt;0),$B91,"")</f>
        <v/>
      </c>
      <c r="BQ91" s="84" t="str">
        <f t="array" ref="BQ91">IF(OR((BQ$85&gt;=$AY$11:$AY$38)*(BQ$48&lt;=$AZ$11:$AZ$38)&gt;0),$B91,"")</f>
        <v/>
      </c>
      <c r="BR91" s="84" t="str">
        <f t="array" ref="BR91">IF(OR((BR$85&gt;=$AY$11:$AY$38)*(BR$48&lt;=$AZ$11:$AZ$38)&gt;0),$B91,"")</f>
        <v/>
      </c>
      <c r="BS91" s="84" t="str">
        <f t="array" ref="BS91">IF(OR((BS$85&gt;=$AY$11:$AY$38)*(BS$48&lt;=$AZ$11:$AZ$38)&gt;0),$B91,"")</f>
        <v/>
      </c>
      <c r="BU91" s="75" t="s">
        <v>192</v>
      </c>
      <c r="BV91" s="16">
        <v>48</v>
      </c>
      <c r="BW91" s="84" t="str">
        <f t="array" ref="BW91">IF(OR((BW$85&gt;=$AY$11:$AY$38)*(BW$48&lt;=$AZ$11:$AZ$38)&gt;0),$B91,"")</f>
        <v/>
      </c>
      <c r="BX91" s="84" t="str">
        <f t="array" ref="BX91">IF(OR((BX$85&gt;=$AY$11:$AY$38)*(BX$48&lt;=$AZ$11:$AZ$38)&gt;0),$B91,"")</f>
        <v/>
      </c>
      <c r="BY91" s="84" t="str">
        <f t="array" ref="BY91">IF(OR((BY$85&gt;=$AY$11:$AY$38)*(BY$48&lt;=$AZ$11:$AZ$38)&gt;0),$B91,"")</f>
        <v/>
      </c>
      <c r="BZ91" s="84" t="str">
        <f t="array" ref="BZ91">IF(OR((BZ$85&gt;=$AY$11:$AY$38)*(BZ$48&lt;=$AZ$11:$AZ$38)&gt;0),$B91,"")</f>
        <v/>
      </c>
      <c r="CA91" s="84" t="str">
        <f t="array" ref="CA91">IF(OR((CA$85&gt;=$AY$11:$AY$38)*(CA$48&lt;=$AZ$11:$AZ$38)&gt;0),$B91,"")</f>
        <v/>
      </c>
      <c r="CB91" s="84" t="str">
        <f t="array" ref="CB91">IF(OR((CB$85&gt;=$AY$11:$AY$38)*(CB$48&lt;=$AZ$11:$AZ$38)&gt;0),$B91,"")</f>
        <v/>
      </c>
      <c r="CC91" s="84" t="str">
        <f t="array" ref="CC91">IF(OR((CC$85&gt;=$AY$11:$AY$38)*(CC$48&lt;=$AZ$11:$AZ$38)&gt;0),$B91,"")</f>
        <v/>
      </c>
      <c r="CD91" s="84" t="str">
        <f t="array" ref="CD91">IF(OR((CD$85&gt;=$AY$11:$AY$38)*(CD$48&lt;=$AZ$11:$AZ$38)&gt;0),$B91,"")</f>
        <v/>
      </c>
      <c r="CE91" s="84" t="str">
        <f t="array" ref="CE91">IF(OR((CE$85&gt;=$AY$11:$AY$38)*(CE$48&lt;=$AZ$11:$AZ$38)&gt;0),$B91,"")</f>
        <v/>
      </c>
      <c r="CF91" s="84" t="str">
        <f t="array" ref="CF91">IF(OR((CF$85&gt;=$AY$11:$AY$38)*(CF$48&lt;=$AZ$11:$AZ$38)&gt;0),$B91,"")</f>
        <v/>
      </c>
      <c r="CG91" s="84" t="str">
        <f t="array" ref="CG91">IF(OR((CG$85&gt;=$AY$11:$AY$38)*(CG$48&lt;=$AZ$11:$AZ$38)&gt;0),$B91,"")</f>
        <v/>
      </c>
      <c r="CH91" s="84" t="str">
        <f t="array" ref="CH91">IF(OR((CH$85&gt;=$AY$11:$AY$38)*(CH$48&lt;=$AZ$11:$AZ$38)&gt;0),$B91,"")</f>
        <v/>
      </c>
      <c r="CI91" s="84"/>
      <c r="CJ91" s="84"/>
      <c r="CK91" s="84" t="str">
        <f t="array" ref="CK91">IF(OR((CK$85&gt;=$AY$11:$AY$38)*(CK$48&lt;=$AZ$11:$AZ$38)&gt;0),$B91,"")</f>
        <v/>
      </c>
      <c r="CL91" s="84" t="str">
        <f t="array" ref="CL91">IF(OR((CL$85&gt;=$AY$11:$AY$38)*(CL$48&lt;=$AZ$11:$AZ$38)&gt;0),$B91,"")</f>
        <v/>
      </c>
      <c r="CM91" s="84" t="str">
        <f t="array" ref="CM91">IF(OR((CM$85&gt;=$AY$11:$AY$38)*(CM$48&lt;=$AZ$11:$AZ$38)&gt;0),$B91,"")</f>
        <v/>
      </c>
      <c r="CN91" s="84" t="str">
        <f t="array" ref="CN91">IF(OR((CN$85&gt;=$AY$11:$AY$38)*(CN$48&lt;=$AZ$11:$AZ$38)&gt;0),$B91,"")</f>
        <v/>
      </c>
      <c r="CO91" s="84" t="str">
        <f t="array" ref="CO91">IF(OR((CO$85&gt;=$AY$11:$AY$38)*(CO$48&lt;=$AZ$11:$AZ$38)&gt;0),$B91,"")</f>
        <v/>
      </c>
      <c r="CP91" s="84" t="str">
        <f t="array" ref="CP91">IF(OR((CP$85&gt;=$AY$11:$AY$38)*(CP$48&lt;=$AZ$11:$AZ$38)&gt;0),$B91,"")</f>
        <v/>
      </c>
      <c r="CQ91" s="84" t="str">
        <f t="array" ref="CQ91">IF(OR((CQ$85&gt;=$AY$11:$AY$38)*(CQ$48&lt;=$AZ$11:$AZ$38)&gt;0),$B91,"")</f>
        <v/>
      </c>
      <c r="CR91" s="84" t="str">
        <f t="array" ref="CR91">IF(OR((CR$85&gt;=$AY$11:$AY$38)*(CR$48&lt;=$AZ$11:$AZ$38)&gt;0),$B91,"")</f>
        <v/>
      </c>
      <c r="CS91" s="84" t="str">
        <f t="array" ref="CS91">IF(OR((CS$85&gt;=$AY$11:$AY$38)*(CS$48&lt;=$AZ$11:$AZ$38)&gt;0),$B91,"")</f>
        <v/>
      </c>
      <c r="CT91" s="84" t="str">
        <f t="array" ref="CT91">IF(OR((CT$85&gt;=$AY$11:$AY$38)*(CT$48&lt;=$AZ$11:$AZ$38)&gt;0),$B91,"")</f>
        <v/>
      </c>
      <c r="CU91" s="84" t="str">
        <f t="array" ref="CU91">IF(OR((CU$85&gt;=$AY$11:$AY$38)*(CU$48&lt;=$AZ$11:$AZ$38)&gt;0),$B91,"")</f>
        <v/>
      </c>
      <c r="CV91" s="84" t="str">
        <f t="array" ref="CV91">IF(OR((CV$85&gt;=$AY$11:$AY$38)*(CV$48&lt;=$AZ$11:$AZ$38)&gt;0),$B91,"")</f>
        <v/>
      </c>
      <c r="CW91" s="84" t="str">
        <f t="array" ref="CW91">IF(OR((CW$85&gt;=$AY$11:$AY$38)*(CW$48&lt;=$AZ$11:$AZ$38)&gt;0),$B91,"")</f>
        <v/>
      </c>
      <c r="CX91" s="84" t="str">
        <f t="array" ref="CX91">IF(OR((CX$85&gt;=$AY$11:$AY$38)*(CX$48&lt;=$AZ$11:$AZ$38)&gt;0),$B91,"")</f>
        <v/>
      </c>
      <c r="CY91" s="84" t="str">
        <f t="array" ref="CY91">IF(OR((CY$85&gt;=$AY$11:$AY$38)*(CY$48&lt;=$AZ$11:$AZ$38)&gt;0),$B91,"")</f>
        <v/>
      </c>
      <c r="CZ91" s="84" t="str">
        <f t="array" ref="CZ91">IF(OR((CZ$85&gt;=$AY$11:$AY$38)*(CZ$48&lt;=$AZ$11:$AZ$38)&gt;0),$B91,"")</f>
        <v/>
      </c>
      <c r="DA91" s="84" t="str">
        <f t="array" ref="DA91">IF(OR((DA$85&gt;=$AY$11:$AY$38)*(DA$48&lt;=$AZ$11:$AZ$38)&gt;0),$B91,"")</f>
        <v/>
      </c>
      <c r="DB91" s="84" t="str">
        <f t="array" ref="DB91">IF(OR((DB$85&gt;=$AY$11:$AY$38)*(DB$48&lt;=$AZ$11:$AZ$38)&gt;0),$B91,"")</f>
        <v/>
      </c>
      <c r="DC91" s="84" t="str">
        <f t="array" ref="DC91">IF(OR((DC$85&gt;=$AY$11:$AY$38)*(DC$48&lt;=$AZ$11:$AZ$38)&gt;0),$B91,"")</f>
        <v/>
      </c>
    </row>
    <row r="92" spans="1:107">
      <c r="A92" s="75" t="s">
        <v>193</v>
      </c>
      <c r="B92" s="16">
        <v>16</v>
      </c>
      <c r="C92" s="84" t="str">
        <f t="array" ref="C92">IF(OR((C$85&gt;=$AY$11:$AY$38)*(C$48&lt;=$AZ$11:$AZ$38)&gt;0),$B92,"")</f>
        <v/>
      </c>
      <c r="D92" s="84" t="str">
        <f t="array" ref="D92">IF(OR((D$85&gt;=$AY$11:$AY$38)*(D$48&lt;=$AZ$11:$AZ$38)&gt;0),$B92,"")</f>
        <v/>
      </c>
      <c r="E92" s="84" t="str">
        <f t="array" ref="E92">IF(OR((E$85&gt;=$AY$11:$AY$38)*(E$48&lt;=$AZ$11:$AZ$38)&gt;0),$B92,"")</f>
        <v/>
      </c>
      <c r="F92" s="84" t="str">
        <f t="array" ref="F92">IF(OR((F$85&gt;=$AY$11:$AY$38)*(F$48&lt;=$AZ$11:$AZ$38)&gt;0),$B92,"")</f>
        <v/>
      </c>
      <c r="G92" s="84" t="str">
        <f t="array" ref="G92">IF(OR((G$85&gt;=$AY$11:$AY$38)*(G$48&lt;=$AZ$11:$AZ$38)&gt;0),$B92,"")</f>
        <v/>
      </c>
      <c r="H92" s="84" t="str">
        <f t="array" ref="H92">IF(OR((H$85&gt;=$AY$11:$AY$38)*(H$48&lt;=$AZ$11:$AZ$38)&gt;0),$B92,"")</f>
        <v/>
      </c>
      <c r="I92" s="84" t="str">
        <f t="array" ref="I92">IF(OR((I$85&gt;=$AY$11:$AY$38)*(I$48&lt;=$AZ$11:$AZ$38)&gt;0),$B92,"")</f>
        <v/>
      </c>
      <c r="J92" s="84" t="str">
        <f t="array" ref="J92">IF(OR((J$85&gt;=$AY$11:$AY$38)*(J$48&lt;=$AZ$11:$AZ$38)&gt;0),$B92,"")</f>
        <v/>
      </c>
      <c r="K92" s="84" t="str">
        <f t="array" ref="K92">IF(OR((K$85&gt;=$AY$11:$AY$38)*(K$48&lt;=$AZ$11:$AZ$38)&gt;0),$B92,"")</f>
        <v/>
      </c>
      <c r="L92" s="84" t="str">
        <f t="array" ref="L92">IF(OR((L$85&gt;=$AY$11:$AY$38)*(L$48&lt;=$AZ$11:$AZ$38)&gt;0),$B92,"")</f>
        <v/>
      </c>
      <c r="M92" s="84" t="str">
        <f t="array" ref="M92">IF(OR((M$85&gt;=$AY$11:$AY$38)*(M$48&lt;=$AZ$11:$AZ$38)&gt;0),$B92,"")</f>
        <v/>
      </c>
      <c r="N92" s="84" t="str">
        <f t="array" ref="N92">IF(OR((N$85&gt;=$AY$11:$AY$38)*(N$48&lt;=$AZ$11:$AZ$38)&gt;0),$B92,"")</f>
        <v/>
      </c>
      <c r="O92" s="84"/>
      <c r="P92" s="84"/>
      <c r="Q92" s="84" t="str">
        <f t="array" ref="Q92">IF(OR((Q$85&gt;=$AY$11:$AY$38)*(Q$48&lt;=$AZ$11:$AZ$38)&gt;0),$B92,"")</f>
        <v/>
      </c>
      <c r="R92" s="84" t="str">
        <f t="array" ref="R92">IF(OR((R$85&gt;=$AY$11:$AY$38)*(R$48&lt;=$AZ$11:$AZ$38)&gt;0),$B92,"")</f>
        <v/>
      </c>
      <c r="S92" s="84" t="str">
        <f t="array" ref="S92">IF(OR((S$85&gt;=$AY$11:$AY$38)*(S$48&lt;=$AZ$11:$AZ$38)&gt;0),$B92,"")</f>
        <v/>
      </c>
      <c r="T92" s="84" t="str">
        <f t="array" ref="T92">IF(OR((T$85&gt;=$AY$11:$AY$38)*(T$48&lt;=$AZ$11:$AZ$38)&gt;0),$B92,"")</f>
        <v/>
      </c>
      <c r="U92" s="84" t="str">
        <f t="array" ref="U92">IF(OR((U$85&gt;=$AY$11:$AY$38)*(U$48&lt;=$AZ$11:$AZ$38)&gt;0),$B92,"")</f>
        <v/>
      </c>
      <c r="V92" s="84" t="str">
        <f t="array" ref="V92">IF(OR((V$85&gt;=$AY$11:$AY$38)*(V$48&lt;=$AZ$11:$AZ$38)&gt;0),$B92,"")</f>
        <v/>
      </c>
      <c r="W92" s="84" t="str">
        <f t="array" ref="W92">IF(OR((W$85&gt;=$AY$11:$AY$38)*(W$48&lt;=$AZ$11:$AZ$38)&gt;0),$B92,"")</f>
        <v/>
      </c>
      <c r="X92" s="84" t="str">
        <f t="array" ref="X92">IF(OR((X$85&gt;=$AY$11:$AY$38)*(X$48&lt;=$AZ$11:$AZ$38)&gt;0),$B92,"")</f>
        <v/>
      </c>
      <c r="Y92" s="84" t="str">
        <f t="array" ref="Y92">IF(OR((Y$85&gt;=$AY$11:$AY$38)*(Y$48&lt;=$AZ$11:$AZ$38)&gt;0),$B92,"")</f>
        <v/>
      </c>
      <c r="Z92" s="84" t="str">
        <f t="array" ref="Z92">IF(OR((Z$85&gt;=$AY$11:$AY$38)*(Z$48&lt;=$AZ$11:$AZ$38)&gt;0),$B92,"")</f>
        <v/>
      </c>
      <c r="AA92" s="84" t="str">
        <f t="array" ref="AA92">IF(OR((AA$85&gt;=$AY$11:$AY$38)*(AA$48&lt;=$AZ$11:$AZ$38)&gt;0),$B92,"")</f>
        <v/>
      </c>
      <c r="AB92" s="84" t="str">
        <f t="array" ref="AB92">IF(OR((AB$85&gt;=$AY$11:$AY$38)*(AB$48&lt;=$AZ$11:$AZ$38)&gt;0),$B92,"")</f>
        <v/>
      </c>
      <c r="AC92" s="84" t="str">
        <f t="array" ref="AC92">IF(OR((AC$85&gt;=$AY$11:$AY$38)*(AC$48&lt;=$AZ$11:$AZ$38)&gt;0),$B92,"")</f>
        <v/>
      </c>
      <c r="AD92" s="84" t="str">
        <f t="array" ref="AD92">IF(OR((AD$85&gt;=$AY$11:$AY$38)*(AD$48&lt;=$AZ$11:$AZ$38)&gt;0),$B92,"")</f>
        <v/>
      </c>
      <c r="AE92" s="84" t="str">
        <f t="array" ref="AE92">IF(OR((AE$85&gt;=$AY$11:$AY$38)*(AE$48&lt;=$AZ$11:$AZ$38)&gt;0),$B92,"")</f>
        <v/>
      </c>
      <c r="AF92" s="84" t="str">
        <f t="array" ref="AF92">IF(OR((AF$85&gt;=$AY$11:$AY$38)*(AF$48&lt;=$AZ$11:$AZ$38)&gt;0),$B92,"")</f>
        <v/>
      </c>
      <c r="AG92" s="84" t="str">
        <f t="array" ref="AG92">IF(OR((AG$85&gt;=$AY$11:$AY$38)*(AG$48&lt;=$AZ$11:$AZ$38)&gt;0),$B92,"")</f>
        <v/>
      </c>
      <c r="AH92" s="84" t="str">
        <f t="array" ref="AH92">IF(OR((AH$85&gt;=$AY$11:$AY$38)*(AH$48&lt;=$AZ$11:$AZ$38)&gt;0),$B92,"")</f>
        <v/>
      </c>
      <c r="AI92" s="84" t="str">
        <f t="array" ref="AI92">IF(OR((AI$85&gt;=$AY$11:$AY$38)*(AI$48&lt;=$AZ$11:$AZ$38)&gt;0),$B92,"")</f>
        <v/>
      </c>
      <c r="AK92" s="75" t="s">
        <v>193</v>
      </c>
      <c r="AL92" s="16">
        <v>16</v>
      </c>
      <c r="AM92" s="84" t="str">
        <f t="array" ref="AM92">IF(OR((AM$85&gt;=$AY$11:$AY$38)*(AM$48&lt;=$AZ$11:$AZ$38)&gt;0),$B92,"")</f>
        <v/>
      </c>
      <c r="AN92" s="84" t="str">
        <f t="array" ref="AN92">IF(OR((AN$85&gt;=$AY$11:$AY$38)*(AN$48&lt;=$AZ$11:$AZ$38)&gt;0),$B92,"")</f>
        <v/>
      </c>
      <c r="AO92" s="84" t="str">
        <f t="array" ref="AO92">IF(OR((AO$85&gt;=$AY$11:$AY$38)*(AO$48&lt;=$AZ$11:$AZ$38)&gt;0),$B92,"")</f>
        <v/>
      </c>
      <c r="AP92" s="84" t="str">
        <f t="array" ref="AP92">IF(OR((AP$85&gt;=$AY$11:$AY$38)*(AP$48&lt;=$AZ$11:$AZ$38)&gt;0),$B92,"")</f>
        <v/>
      </c>
      <c r="AQ92" s="84" t="str">
        <f t="array" ref="AQ92">IF(OR((AQ$85&gt;=$AY$11:$AY$38)*(AQ$48&lt;=$AZ$11:$AZ$38)&gt;0),$B92,"")</f>
        <v/>
      </c>
      <c r="AR92" s="84" t="str">
        <f t="array" ref="AR92">IF(OR((AR$85&gt;=$AY$11:$AY$38)*(AR$48&lt;=$AZ$11:$AZ$38)&gt;0),$B92,"")</f>
        <v/>
      </c>
      <c r="AS92" s="84" t="str">
        <f t="array" ref="AS92">IF(OR((AS$85&gt;=$AY$11:$AY$38)*(AS$48&lt;=$AZ$11:$AZ$38)&gt;0),$B92,"")</f>
        <v/>
      </c>
      <c r="AT92" s="84" t="str">
        <f t="array" ref="AT92">IF(OR((AT$85&gt;=$AY$11:$AY$38)*(AT$48&lt;=$AZ$11:$AZ$38)&gt;0),$B92,"")</f>
        <v/>
      </c>
      <c r="AU92" s="84" t="str">
        <f t="array" ref="AU92">IF(OR((AU$85&gt;=$AY$11:$AY$38)*(AU$48&lt;=$AZ$11:$AZ$38)&gt;0),$B92,"")</f>
        <v/>
      </c>
      <c r="AV92" s="84" t="str">
        <f t="array" ref="AV92">IF(OR((AV$85&gt;=$AY$11:$AY$38)*(AV$48&lt;=$AZ$11:$AZ$38)&gt;0),$B92,"")</f>
        <v/>
      </c>
      <c r="AW92" s="84" t="str">
        <f t="array" ref="AW92">IF(OR((AW$85&gt;=$AY$11:$AY$38)*(AW$48&lt;=$AZ$11:$AZ$38)&gt;0),$B92,"")</f>
        <v/>
      </c>
      <c r="AX92" s="84" t="str">
        <f t="array" ref="AX92">IF(OR((AX$85&gt;=$AY$11:$AY$38)*(AX$48&lt;=$AZ$11:$AZ$38)&gt;0),$B92,"")</f>
        <v/>
      </c>
      <c r="AY92" s="84"/>
      <c r="AZ92" s="84"/>
      <c r="BA92" s="84" t="str">
        <f t="array" ref="BA92">IF(OR((BA$85&gt;=$AY$11:$AY$38)*(BA$48&lt;=$AZ$11:$AZ$38)&gt;0),$B92,"")</f>
        <v/>
      </c>
      <c r="BB92" s="84" t="str">
        <f t="array" ref="BB92">IF(OR((BB$85&gt;=$AY$11:$AY$38)*(BB$48&lt;=$AZ$11:$AZ$38)&gt;0),$B92,"")</f>
        <v/>
      </c>
      <c r="BC92" s="84" t="str">
        <f t="array" ref="BC92">IF(OR((BC$85&gt;=$AY$11:$AY$38)*(BC$48&lt;=$AZ$11:$AZ$38)&gt;0),$B92,"")</f>
        <v/>
      </c>
      <c r="BD92" s="84" t="str">
        <f t="array" ref="BD92">IF(OR((BD$85&gt;=$AY$11:$AY$38)*(BD$48&lt;=$AZ$11:$AZ$38)&gt;0),$B92,"")</f>
        <v/>
      </c>
      <c r="BE92" s="84" t="str">
        <f t="array" ref="BE92">IF(OR((BE$85&gt;=$AY$11:$AY$38)*(BE$48&lt;=$AZ$11:$AZ$38)&gt;0),$B92,"")</f>
        <v/>
      </c>
      <c r="BF92" s="84" t="str">
        <f t="array" ref="BF92">IF(OR((BF$85&gt;=$AY$11:$AY$38)*(BF$48&lt;=$AZ$11:$AZ$38)&gt;0),$B92,"")</f>
        <v/>
      </c>
      <c r="BG92" s="84" t="str">
        <f t="array" ref="BG92">IF(OR((BG$85&gt;=$AY$11:$AY$38)*(BG$48&lt;=$AZ$11:$AZ$38)&gt;0),$B92,"")</f>
        <v/>
      </c>
      <c r="BH92" s="84" t="str">
        <f t="array" ref="BH92">IF(OR((BH$85&gt;=$AY$11:$AY$38)*(BH$48&lt;=$AZ$11:$AZ$38)&gt;0),$B92,"")</f>
        <v/>
      </c>
      <c r="BI92" s="84" t="str">
        <f t="array" ref="BI92">IF(OR((BI$85&gt;=$AY$11:$AY$38)*(BI$48&lt;=$AZ$11:$AZ$38)&gt;0),$B92,"")</f>
        <v/>
      </c>
      <c r="BJ92" s="84" t="str">
        <f t="array" ref="BJ92">IF(OR((BJ$85&gt;=$AY$11:$AY$38)*(BJ$48&lt;=$AZ$11:$AZ$38)&gt;0),$B92,"")</f>
        <v/>
      </c>
      <c r="BK92" s="84" t="str">
        <f t="array" ref="BK92">IF(OR((BK$85&gt;=$AY$11:$AY$38)*(BK$48&lt;=$AZ$11:$AZ$38)&gt;0),$B92,"")</f>
        <v/>
      </c>
      <c r="BL92" s="84" t="str">
        <f t="array" ref="BL92">IF(OR((BL$85&gt;=$AY$11:$AY$38)*(BL$48&lt;=$AZ$11:$AZ$38)&gt;0),$B92,"")</f>
        <v/>
      </c>
      <c r="BM92" s="84" t="str">
        <f t="array" ref="BM92">IF(OR((BM$85&gt;=$AY$11:$AY$38)*(BM$48&lt;=$AZ$11:$AZ$38)&gt;0),$B92,"")</f>
        <v/>
      </c>
      <c r="BN92" s="84" t="str">
        <f t="array" ref="BN92">IF(OR((BN$85&gt;=$AY$11:$AY$38)*(BN$48&lt;=$AZ$11:$AZ$38)&gt;0),$B92,"")</f>
        <v/>
      </c>
      <c r="BO92" s="84" t="str">
        <f t="array" ref="BO92">IF(OR((BO$85&gt;=$AY$11:$AY$38)*(BO$48&lt;=$AZ$11:$AZ$38)&gt;0),$B92,"")</f>
        <v/>
      </c>
      <c r="BP92" s="84" t="str">
        <f t="array" ref="BP92">IF(OR((BP$85&gt;=$AY$11:$AY$38)*(BP$48&lt;=$AZ$11:$AZ$38)&gt;0),$B92,"")</f>
        <v/>
      </c>
      <c r="BQ92" s="84" t="str">
        <f t="array" ref="BQ92">IF(OR((BQ$85&gt;=$AY$11:$AY$38)*(BQ$48&lt;=$AZ$11:$AZ$38)&gt;0),$B92,"")</f>
        <v/>
      </c>
      <c r="BR92" s="84" t="str">
        <f t="array" ref="BR92">IF(OR((BR$85&gt;=$AY$11:$AY$38)*(BR$48&lt;=$AZ$11:$AZ$38)&gt;0),$B92,"")</f>
        <v/>
      </c>
      <c r="BS92" s="84" t="str">
        <f t="array" ref="BS92">IF(OR((BS$85&gt;=$AY$11:$AY$38)*(BS$48&lt;=$AZ$11:$AZ$38)&gt;0),$B92,"")</f>
        <v/>
      </c>
      <c r="BU92" s="75" t="s">
        <v>193</v>
      </c>
      <c r="BV92" s="16">
        <v>16</v>
      </c>
      <c r="BW92" s="84" t="str">
        <f t="array" ref="BW92">IF(OR((BW$85&gt;=$AY$11:$AY$38)*(BW$48&lt;=$AZ$11:$AZ$38)&gt;0),$B92,"")</f>
        <v/>
      </c>
      <c r="BX92" s="84" t="str">
        <f t="array" ref="BX92">IF(OR((BX$85&gt;=$AY$11:$AY$38)*(BX$48&lt;=$AZ$11:$AZ$38)&gt;0),$B92,"")</f>
        <v/>
      </c>
      <c r="BY92" s="84" t="str">
        <f t="array" ref="BY92">IF(OR((BY$85&gt;=$AY$11:$AY$38)*(BY$48&lt;=$AZ$11:$AZ$38)&gt;0),$B92,"")</f>
        <v/>
      </c>
      <c r="BZ92" s="84" t="str">
        <f t="array" ref="BZ92">IF(OR((BZ$85&gt;=$AY$11:$AY$38)*(BZ$48&lt;=$AZ$11:$AZ$38)&gt;0),$B92,"")</f>
        <v/>
      </c>
      <c r="CA92" s="84" t="str">
        <f t="array" ref="CA92">IF(OR((CA$85&gt;=$AY$11:$AY$38)*(CA$48&lt;=$AZ$11:$AZ$38)&gt;0),$B92,"")</f>
        <v/>
      </c>
      <c r="CB92" s="84" t="str">
        <f t="array" ref="CB92">IF(OR((CB$85&gt;=$AY$11:$AY$38)*(CB$48&lt;=$AZ$11:$AZ$38)&gt;0),$B92,"")</f>
        <v/>
      </c>
      <c r="CC92" s="84" t="str">
        <f t="array" ref="CC92">IF(OR((CC$85&gt;=$AY$11:$AY$38)*(CC$48&lt;=$AZ$11:$AZ$38)&gt;0),$B92,"")</f>
        <v/>
      </c>
      <c r="CD92" s="84" t="str">
        <f t="array" ref="CD92">IF(OR((CD$85&gt;=$AY$11:$AY$38)*(CD$48&lt;=$AZ$11:$AZ$38)&gt;0),$B92,"")</f>
        <v/>
      </c>
      <c r="CE92" s="84" t="str">
        <f t="array" ref="CE92">IF(OR((CE$85&gt;=$AY$11:$AY$38)*(CE$48&lt;=$AZ$11:$AZ$38)&gt;0),$B92,"")</f>
        <v/>
      </c>
      <c r="CF92" s="84" t="str">
        <f t="array" ref="CF92">IF(OR((CF$85&gt;=$AY$11:$AY$38)*(CF$48&lt;=$AZ$11:$AZ$38)&gt;0),$B92,"")</f>
        <v/>
      </c>
      <c r="CG92" s="84" t="str">
        <f t="array" ref="CG92">IF(OR((CG$85&gt;=$AY$11:$AY$38)*(CG$48&lt;=$AZ$11:$AZ$38)&gt;0),$B92,"")</f>
        <v/>
      </c>
      <c r="CH92" s="84" t="str">
        <f t="array" ref="CH92">IF(OR((CH$85&gt;=$AY$11:$AY$38)*(CH$48&lt;=$AZ$11:$AZ$38)&gt;0),$B92,"")</f>
        <v/>
      </c>
      <c r="CI92" s="84"/>
      <c r="CJ92" s="84"/>
      <c r="CK92" s="84" t="str">
        <f t="array" ref="CK92">IF(OR((CK$85&gt;=$AY$11:$AY$38)*(CK$48&lt;=$AZ$11:$AZ$38)&gt;0),$B92,"")</f>
        <v/>
      </c>
      <c r="CL92" s="84" t="str">
        <f t="array" ref="CL92">IF(OR((CL$85&gt;=$AY$11:$AY$38)*(CL$48&lt;=$AZ$11:$AZ$38)&gt;0),$B92,"")</f>
        <v/>
      </c>
      <c r="CM92" s="84" t="str">
        <f t="array" ref="CM92">IF(OR((CM$85&gt;=$AY$11:$AY$38)*(CM$48&lt;=$AZ$11:$AZ$38)&gt;0),$B92,"")</f>
        <v/>
      </c>
      <c r="CN92" s="84" t="str">
        <f t="array" ref="CN92">IF(OR((CN$85&gt;=$AY$11:$AY$38)*(CN$48&lt;=$AZ$11:$AZ$38)&gt;0),$B92,"")</f>
        <v/>
      </c>
      <c r="CO92" s="84" t="str">
        <f t="array" ref="CO92">IF(OR((CO$85&gt;=$AY$11:$AY$38)*(CO$48&lt;=$AZ$11:$AZ$38)&gt;0),$B92,"")</f>
        <v/>
      </c>
      <c r="CP92" s="84" t="str">
        <f t="array" ref="CP92">IF(OR((CP$85&gt;=$AY$11:$AY$38)*(CP$48&lt;=$AZ$11:$AZ$38)&gt;0),$B92,"")</f>
        <v/>
      </c>
      <c r="CQ92" s="84" t="str">
        <f t="array" ref="CQ92">IF(OR((CQ$85&gt;=$AY$11:$AY$38)*(CQ$48&lt;=$AZ$11:$AZ$38)&gt;0),$B92,"")</f>
        <v/>
      </c>
      <c r="CR92" s="84" t="str">
        <f t="array" ref="CR92">IF(OR((CR$85&gt;=$AY$11:$AY$38)*(CR$48&lt;=$AZ$11:$AZ$38)&gt;0),$B92,"")</f>
        <v/>
      </c>
      <c r="CS92" s="84" t="str">
        <f t="array" ref="CS92">IF(OR((CS$85&gt;=$AY$11:$AY$38)*(CS$48&lt;=$AZ$11:$AZ$38)&gt;0),$B92,"")</f>
        <v/>
      </c>
      <c r="CT92" s="84" t="str">
        <f t="array" ref="CT92">IF(OR((CT$85&gt;=$AY$11:$AY$38)*(CT$48&lt;=$AZ$11:$AZ$38)&gt;0),$B92,"")</f>
        <v/>
      </c>
      <c r="CU92" s="84" t="str">
        <f t="array" ref="CU92">IF(OR((CU$85&gt;=$AY$11:$AY$38)*(CU$48&lt;=$AZ$11:$AZ$38)&gt;0),$B92,"")</f>
        <v/>
      </c>
      <c r="CV92" s="84" t="str">
        <f t="array" ref="CV92">IF(OR((CV$85&gt;=$AY$11:$AY$38)*(CV$48&lt;=$AZ$11:$AZ$38)&gt;0),$B92,"")</f>
        <v/>
      </c>
      <c r="CW92" s="84" t="str">
        <f t="array" ref="CW92">IF(OR((CW$85&gt;=$AY$11:$AY$38)*(CW$48&lt;=$AZ$11:$AZ$38)&gt;0),$B92,"")</f>
        <v/>
      </c>
      <c r="CX92" s="84" t="str">
        <f t="array" ref="CX92">IF(OR((CX$85&gt;=$AY$11:$AY$38)*(CX$48&lt;=$AZ$11:$AZ$38)&gt;0),$B92,"")</f>
        <v/>
      </c>
      <c r="CY92" s="84" t="str">
        <f t="array" ref="CY92">IF(OR((CY$85&gt;=$AY$11:$AY$38)*(CY$48&lt;=$AZ$11:$AZ$38)&gt;0),$B92,"")</f>
        <v/>
      </c>
      <c r="CZ92" s="84" t="str">
        <f t="array" ref="CZ92">IF(OR((CZ$85&gt;=$AY$11:$AY$38)*(CZ$48&lt;=$AZ$11:$AZ$38)&gt;0),$B92,"")</f>
        <v/>
      </c>
      <c r="DA92" s="84" t="str">
        <f t="array" ref="DA92">IF(OR((DA$85&gt;=$AY$11:$AY$38)*(DA$48&lt;=$AZ$11:$AZ$38)&gt;0),$B92,"")</f>
        <v/>
      </c>
      <c r="DB92" s="84" t="str">
        <f t="array" ref="DB92">IF(OR((DB$85&gt;=$AY$11:$AY$38)*(DB$48&lt;=$AZ$11:$AZ$38)&gt;0),$B92,"")</f>
        <v/>
      </c>
      <c r="DC92" s="84" t="str">
        <f t="array" ref="DC92">IF(OR((DC$85&gt;=$AY$11:$AY$38)*(DC$48&lt;=$AZ$11:$AZ$38)&gt;0),$B92,"")</f>
        <v/>
      </c>
    </row>
    <row r="93" spans="1:107">
      <c r="A93" s="75" t="s">
        <v>194</v>
      </c>
      <c r="B93" s="16">
        <v>32</v>
      </c>
      <c r="C93" s="84" t="str">
        <f t="array" ref="C93">IF(OR((C$85&gt;=$AY$11:$AY$38)*(C$48&lt;=$AZ$11:$AZ$38)&gt;0),$B93,"")</f>
        <v/>
      </c>
      <c r="D93" s="84" t="str">
        <f t="array" ref="D93">IF(OR((D$85&gt;=$AY$11:$AY$38)*(D$48&lt;=$AZ$11:$AZ$38)&gt;0),$B93,"")</f>
        <v/>
      </c>
      <c r="E93" s="84" t="str">
        <f t="array" ref="E93">IF(OR((E$85&gt;=$AY$11:$AY$38)*(E$48&lt;=$AZ$11:$AZ$38)&gt;0),$B93,"")</f>
        <v/>
      </c>
      <c r="F93" s="84" t="str">
        <f t="array" ref="F93">IF(OR((F$85&gt;=$AY$11:$AY$38)*(F$48&lt;=$AZ$11:$AZ$38)&gt;0),$B93,"")</f>
        <v/>
      </c>
      <c r="G93" s="84" t="str">
        <f t="array" ref="G93">IF(OR((G$85&gt;=$AY$11:$AY$38)*(G$48&lt;=$AZ$11:$AZ$38)&gt;0),$B93,"")</f>
        <v/>
      </c>
      <c r="H93" s="84" t="str">
        <f t="array" ref="H93">IF(OR((H$85&gt;=$AY$11:$AY$38)*(H$48&lt;=$AZ$11:$AZ$38)&gt;0),$B93,"")</f>
        <v/>
      </c>
      <c r="I93" s="84" t="str">
        <f t="array" ref="I93">IF(OR((I$85&gt;=$AY$11:$AY$38)*(I$48&lt;=$AZ$11:$AZ$38)&gt;0),$B93,"")</f>
        <v/>
      </c>
      <c r="J93" s="84" t="str">
        <f t="array" ref="J93">IF(OR((J$85&gt;=$AY$11:$AY$38)*(J$48&lt;=$AZ$11:$AZ$38)&gt;0),$B93,"")</f>
        <v/>
      </c>
      <c r="K93" s="84" t="str">
        <f t="array" ref="K93">IF(OR((K$85&gt;=$AY$11:$AY$38)*(K$48&lt;=$AZ$11:$AZ$38)&gt;0),$B93,"")</f>
        <v/>
      </c>
      <c r="L93" s="84" t="str">
        <f t="array" ref="L93">IF(OR((L$85&gt;=$AY$11:$AY$38)*(L$48&lt;=$AZ$11:$AZ$38)&gt;0),$B93,"")</f>
        <v/>
      </c>
      <c r="M93" s="84" t="str">
        <f t="array" ref="M93">IF(OR((M$85&gt;=$AY$11:$AY$38)*(M$48&lt;=$AZ$11:$AZ$38)&gt;0),$B93,"")</f>
        <v/>
      </c>
      <c r="N93" s="84" t="str">
        <f t="array" ref="N93">IF(OR((N$85&gt;=$AY$11:$AY$38)*(N$48&lt;=$AZ$11:$AZ$38)&gt;0),$B93,"")</f>
        <v/>
      </c>
      <c r="O93" s="84"/>
      <c r="P93" s="84"/>
      <c r="Q93" s="84" t="str">
        <f t="array" ref="Q93">IF(OR((Q$85&gt;=$AY$11:$AY$38)*(Q$48&lt;=$AZ$11:$AZ$38)&gt;0),$B93,"")</f>
        <v/>
      </c>
      <c r="R93" s="84" t="str">
        <f t="array" ref="R93">IF(OR((R$85&gt;=$AY$11:$AY$38)*(R$48&lt;=$AZ$11:$AZ$38)&gt;0),$B93,"")</f>
        <v/>
      </c>
      <c r="S93" s="84" t="str">
        <f t="array" ref="S93">IF(OR((S$85&gt;=$AY$11:$AY$38)*(S$48&lt;=$AZ$11:$AZ$38)&gt;0),$B93,"")</f>
        <v/>
      </c>
      <c r="T93" s="84" t="str">
        <f t="array" ref="T93">IF(OR((T$85&gt;=$AY$11:$AY$38)*(T$48&lt;=$AZ$11:$AZ$38)&gt;0),$B93,"")</f>
        <v/>
      </c>
      <c r="U93" s="84" t="str">
        <f t="array" ref="U93">IF(OR((U$85&gt;=$AY$11:$AY$38)*(U$48&lt;=$AZ$11:$AZ$38)&gt;0),$B93,"")</f>
        <v/>
      </c>
      <c r="V93" s="84" t="str">
        <f t="array" ref="V93">IF(OR((V$85&gt;=$AY$11:$AY$38)*(V$48&lt;=$AZ$11:$AZ$38)&gt;0),$B93,"")</f>
        <v/>
      </c>
      <c r="W93" s="84" t="str">
        <f t="array" ref="W93">IF(OR((W$85&gt;=$AY$11:$AY$38)*(W$48&lt;=$AZ$11:$AZ$38)&gt;0),$B93,"")</f>
        <v/>
      </c>
      <c r="X93" s="84" t="str">
        <f t="array" ref="X93">IF(OR((X$85&gt;=$AY$11:$AY$38)*(X$48&lt;=$AZ$11:$AZ$38)&gt;0),$B93,"")</f>
        <v/>
      </c>
      <c r="Y93" s="84" t="str">
        <f t="array" ref="Y93">IF(OR((Y$85&gt;=$AY$11:$AY$38)*(Y$48&lt;=$AZ$11:$AZ$38)&gt;0),$B93,"")</f>
        <v/>
      </c>
      <c r="Z93" s="84" t="str">
        <f t="array" ref="Z93">IF(OR((Z$85&gt;=$AY$11:$AY$38)*(Z$48&lt;=$AZ$11:$AZ$38)&gt;0),$B93,"")</f>
        <v/>
      </c>
      <c r="AA93" s="84" t="str">
        <f t="array" ref="AA93">IF(OR((AA$85&gt;=$AY$11:$AY$38)*(AA$48&lt;=$AZ$11:$AZ$38)&gt;0),$B93,"")</f>
        <v/>
      </c>
      <c r="AB93" s="84" t="str">
        <f t="array" ref="AB93">IF(OR((AB$85&gt;=$AY$11:$AY$38)*(AB$48&lt;=$AZ$11:$AZ$38)&gt;0),$B93,"")</f>
        <v/>
      </c>
      <c r="AC93" s="84" t="str">
        <f t="array" ref="AC93">IF(OR((AC$85&gt;=$AY$11:$AY$38)*(AC$48&lt;=$AZ$11:$AZ$38)&gt;0),$B93,"")</f>
        <v/>
      </c>
      <c r="AD93" s="84" t="str">
        <f t="array" ref="AD93">IF(OR((AD$85&gt;=$AY$11:$AY$38)*(AD$48&lt;=$AZ$11:$AZ$38)&gt;0),$B93,"")</f>
        <v/>
      </c>
      <c r="AE93" s="84" t="str">
        <f t="array" ref="AE93">IF(OR((AE$85&gt;=$AY$11:$AY$38)*(AE$48&lt;=$AZ$11:$AZ$38)&gt;0),$B93,"")</f>
        <v/>
      </c>
      <c r="AF93" s="84" t="str">
        <f t="array" ref="AF93">IF(OR((AF$85&gt;=$AY$11:$AY$38)*(AF$48&lt;=$AZ$11:$AZ$38)&gt;0),$B93,"")</f>
        <v/>
      </c>
      <c r="AG93" s="84" t="str">
        <f t="array" ref="AG93">IF(OR((AG$85&gt;=$AY$11:$AY$38)*(AG$48&lt;=$AZ$11:$AZ$38)&gt;0),$B93,"")</f>
        <v/>
      </c>
      <c r="AH93" s="84" t="str">
        <f t="array" ref="AH93">IF(OR((AH$85&gt;=$AY$11:$AY$38)*(AH$48&lt;=$AZ$11:$AZ$38)&gt;0),$B93,"")</f>
        <v/>
      </c>
      <c r="AI93" s="84" t="str">
        <f t="array" ref="AI93">IF(OR((AI$85&gt;=$AY$11:$AY$38)*(AI$48&lt;=$AZ$11:$AZ$38)&gt;0),$B93,"")</f>
        <v/>
      </c>
      <c r="AK93" s="75" t="s">
        <v>194</v>
      </c>
      <c r="AL93" s="16">
        <v>32</v>
      </c>
      <c r="AM93" s="84" t="str">
        <f t="array" ref="AM93">IF(OR((AM$85&gt;=$AY$11:$AY$38)*(AM$48&lt;=$AZ$11:$AZ$38)&gt;0),$B93,"")</f>
        <v/>
      </c>
      <c r="AN93" s="84" t="str">
        <f t="array" ref="AN93">IF(OR((AN$85&gt;=$AY$11:$AY$38)*(AN$48&lt;=$AZ$11:$AZ$38)&gt;0),$B93,"")</f>
        <v/>
      </c>
      <c r="AO93" s="84" t="str">
        <f t="array" ref="AO93">IF(OR((AO$85&gt;=$AY$11:$AY$38)*(AO$48&lt;=$AZ$11:$AZ$38)&gt;0),$B93,"")</f>
        <v/>
      </c>
      <c r="AP93" s="84" t="str">
        <f t="array" ref="AP93">IF(OR((AP$85&gt;=$AY$11:$AY$38)*(AP$48&lt;=$AZ$11:$AZ$38)&gt;0),$B93,"")</f>
        <v/>
      </c>
      <c r="AQ93" s="84" t="str">
        <f t="array" ref="AQ93">IF(OR((AQ$85&gt;=$AY$11:$AY$38)*(AQ$48&lt;=$AZ$11:$AZ$38)&gt;0),$B93,"")</f>
        <v/>
      </c>
      <c r="AR93" s="84" t="str">
        <f t="array" ref="AR93">IF(OR((AR$85&gt;=$AY$11:$AY$38)*(AR$48&lt;=$AZ$11:$AZ$38)&gt;0),$B93,"")</f>
        <v/>
      </c>
      <c r="AS93" s="84" t="str">
        <f t="array" ref="AS93">IF(OR((AS$85&gt;=$AY$11:$AY$38)*(AS$48&lt;=$AZ$11:$AZ$38)&gt;0),$B93,"")</f>
        <v/>
      </c>
      <c r="AT93" s="84" t="str">
        <f t="array" ref="AT93">IF(OR((AT$85&gt;=$AY$11:$AY$38)*(AT$48&lt;=$AZ$11:$AZ$38)&gt;0),$B93,"")</f>
        <v/>
      </c>
      <c r="AU93" s="84" t="str">
        <f t="array" ref="AU93">IF(OR((AU$85&gt;=$AY$11:$AY$38)*(AU$48&lt;=$AZ$11:$AZ$38)&gt;0),$B93,"")</f>
        <v/>
      </c>
      <c r="AV93" s="84" t="str">
        <f t="array" ref="AV93">IF(OR((AV$85&gt;=$AY$11:$AY$38)*(AV$48&lt;=$AZ$11:$AZ$38)&gt;0),$B93,"")</f>
        <v/>
      </c>
      <c r="AW93" s="84" t="str">
        <f t="array" ref="AW93">IF(OR((AW$85&gt;=$AY$11:$AY$38)*(AW$48&lt;=$AZ$11:$AZ$38)&gt;0),$B93,"")</f>
        <v/>
      </c>
      <c r="AX93" s="84" t="str">
        <f t="array" ref="AX93">IF(OR((AX$85&gt;=$AY$11:$AY$38)*(AX$48&lt;=$AZ$11:$AZ$38)&gt;0),$B93,"")</f>
        <v/>
      </c>
      <c r="AY93" s="84"/>
      <c r="AZ93" s="84"/>
      <c r="BA93" s="84" t="str">
        <f t="array" ref="BA93">IF(OR((BA$85&gt;=$AY$11:$AY$38)*(BA$48&lt;=$AZ$11:$AZ$38)&gt;0),$B93,"")</f>
        <v/>
      </c>
      <c r="BB93" s="84" t="str">
        <f t="array" ref="BB93">IF(OR((BB$85&gt;=$AY$11:$AY$38)*(BB$48&lt;=$AZ$11:$AZ$38)&gt;0),$B93,"")</f>
        <v/>
      </c>
      <c r="BC93" s="84" t="str">
        <f t="array" ref="BC93">IF(OR((BC$85&gt;=$AY$11:$AY$38)*(BC$48&lt;=$AZ$11:$AZ$38)&gt;0),$B93,"")</f>
        <v/>
      </c>
      <c r="BD93" s="84" t="str">
        <f t="array" ref="BD93">IF(OR((BD$85&gt;=$AY$11:$AY$38)*(BD$48&lt;=$AZ$11:$AZ$38)&gt;0),$B93,"")</f>
        <v/>
      </c>
      <c r="BE93" s="84" t="str">
        <f t="array" ref="BE93">IF(OR((BE$85&gt;=$AY$11:$AY$38)*(BE$48&lt;=$AZ$11:$AZ$38)&gt;0),$B93,"")</f>
        <v/>
      </c>
      <c r="BF93" s="84" t="str">
        <f t="array" ref="BF93">IF(OR((BF$85&gt;=$AY$11:$AY$38)*(BF$48&lt;=$AZ$11:$AZ$38)&gt;0),$B93,"")</f>
        <v/>
      </c>
      <c r="BG93" s="84" t="str">
        <f t="array" ref="BG93">IF(OR((BG$85&gt;=$AY$11:$AY$38)*(BG$48&lt;=$AZ$11:$AZ$38)&gt;0),$B93,"")</f>
        <v/>
      </c>
      <c r="BH93" s="84" t="str">
        <f t="array" ref="BH93">IF(OR((BH$85&gt;=$AY$11:$AY$38)*(BH$48&lt;=$AZ$11:$AZ$38)&gt;0),$B93,"")</f>
        <v/>
      </c>
      <c r="BI93" s="84" t="str">
        <f t="array" ref="BI93">IF(OR((BI$85&gt;=$AY$11:$AY$38)*(BI$48&lt;=$AZ$11:$AZ$38)&gt;0),$B93,"")</f>
        <v/>
      </c>
      <c r="BJ93" s="84" t="str">
        <f t="array" ref="BJ93">IF(OR((BJ$85&gt;=$AY$11:$AY$38)*(BJ$48&lt;=$AZ$11:$AZ$38)&gt;0),$B93,"")</f>
        <v/>
      </c>
      <c r="BK93" s="84" t="str">
        <f t="array" ref="BK93">IF(OR((BK$85&gt;=$AY$11:$AY$38)*(BK$48&lt;=$AZ$11:$AZ$38)&gt;0),$B93,"")</f>
        <v/>
      </c>
      <c r="BL93" s="84" t="str">
        <f t="array" ref="BL93">IF(OR((BL$85&gt;=$AY$11:$AY$38)*(BL$48&lt;=$AZ$11:$AZ$38)&gt;0),$B93,"")</f>
        <v/>
      </c>
      <c r="BM93" s="84" t="str">
        <f t="array" ref="BM93">IF(OR((BM$85&gt;=$AY$11:$AY$38)*(BM$48&lt;=$AZ$11:$AZ$38)&gt;0),$B93,"")</f>
        <v/>
      </c>
      <c r="BN93" s="84" t="str">
        <f t="array" ref="BN93">IF(OR((BN$85&gt;=$AY$11:$AY$38)*(BN$48&lt;=$AZ$11:$AZ$38)&gt;0),$B93,"")</f>
        <v/>
      </c>
      <c r="BO93" s="84" t="str">
        <f t="array" ref="BO93">IF(OR((BO$85&gt;=$AY$11:$AY$38)*(BO$48&lt;=$AZ$11:$AZ$38)&gt;0),$B93,"")</f>
        <v/>
      </c>
      <c r="BP93" s="84" t="str">
        <f t="array" ref="BP93">IF(OR((BP$85&gt;=$AY$11:$AY$38)*(BP$48&lt;=$AZ$11:$AZ$38)&gt;0),$B93,"")</f>
        <v/>
      </c>
      <c r="BQ93" s="84" t="str">
        <f t="array" ref="BQ93">IF(OR((BQ$85&gt;=$AY$11:$AY$38)*(BQ$48&lt;=$AZ$11:$AZ$38)&gt;0),$B93,"")</f>
        <v/>
      </c>
      <c r="BR93" s="84" t="str">
        <f t="array" ref="BR93">IF(OR((BR$85&gt;=$AY$11:$AY$38)*(BR$48&lt;=$AZ$11:$AZ$38)&gt;0),$B93,"")</f>
        <v/>
      </c>
      <c r="BS93" s="84" t="str">
        <f t="array" ref="BS93">IF(OR((BS$85&gt;=$AY$11:$AY$38)*(BS$48&lt;=$AZ$11:$AZ$38)&gt;0),$B93,"")</f>
        <v/>
      </c>
      <c r="BU93" s="75" t="s">
        <v>194</v>
      </c>
      <c r="BV93" s="16">
        <v>32</v>
      </c>
      <c r="BW93" s="84" t="str">
        <f t="array" ref="BW93">IF(OR((BW$85&gt;=$AY$11:$AY$38)*(BW$48&lt;=$AZ$11:$AZ$38)&gt;0),$B93,"")</f>
        <v/>
      </c>
      <c r="BX93" s="84" t="str">
        <f t="array" ref="BX93">IF(OR((BX$85&gt;=$AY$11:$AY$38)*(BX$48&lt;=$AZ$11:$AZ$38)&gt;0),$B93,"")</f>
        <v/>
      </c>
      <c r="BY93" s="84" t="str">
        <f t="array" ref="BY93">IF(OR((BY$85&gt;=$AY$11:$AY$38)*(BY$48&lt;=$AZ$11:$AZ$38)&gt;0),$B93,"")</f>
        <v/>
      </c>
      <c r="BZ93" s="84" t="str">
        <f t="array" ref="BZ93">IF(OR((BZ$85&gt;=$AY$11:$AY$38)*(BZ$48&lt;=$AZ$11:$AZ$38)&gt;0),$B93,"")</f>
        <v/>
      </c>
      <c r="CA93" s="84" t="str">
        <f t="array" ref="CA93">IF(OR((CA$85&gt;=$AY$11:$AY$38)*(CA$48&lt;=$AZ$11:$AZ$38)&gt;0),$B93,"")</f>
        <v/>
      </c>
      <c r="CB93" s="84" t="str">
        <f t="array" ref="CB93">IF(OR((CB$85&gt;=$AY$11:$AY$38)*(CB$48&lt;=$AZ$11:$AZ$38)&gt;0),$B93,"")</f>
        <v/>
      </c>
      <c r="CC93" s="84" t="str">
        <f t="array" ref="CC93">IF(OR((CC$85&gt;=$AY$11:$AY$38)*(CC$48&lt;=$AZ$11:$AZ$38)&gt;0),$B93,"")</f>
        <v/>
      </c>
      <c r="CD93" s="84" t="str">
        <f t="array" ref="CD93">IF(OR((CD$85&gt;=$AY$11:$AY$38)*(CD$48&lt;=$AZ$11:$AZ$38)&gt;0),$B93,"")</f>
        <v/>
      </c>
      <c r="CE93" s="84" t="str">
        <f t="array" ref="CE93">IF(OR((CE$85&gt;=$AY$11:$AY$38)*(CE$48&lt;=$AZ$11:$AZ$38)&gt;0),$B93,"")</f>
        <v/>
      </c>
      <c r="CF93" s="84" t="str">
        <f t="array" ref="CF93">IF(OR((CF$85&gt;=$AY$11:$AY$38)*(CF$48&lt;=$AZ$11:$AZ$38)&gt;0),$B93,"")</f>
        <v/>
      </c>
      <c r="CG93" s="84" t="str">
        <f t="array" ref="CG93">IF(OR((CG$85&gt;=$AY$11:$AY$38)*(CG$48&lt;=$AZ$11:$AZ$38)&gt;0),$B93,"")</f>
        <v/>
      </c>
      <c r="CH93" s="84" t="str">
        <f t="array" ref="CH93">IF(OR((CH$85&gt;=$AY$11:$AY$38)*(CH$48&lt;=$AZ$11:$AZ$38)&gt;0),$B93,"")</f>
        <v/>
      </c>
      <c r="CI93" s="84"/>
      <c r="CJ93" s="84"/>
      <c r="CK93" s="84" t="str">
        <f t="array" ref="CK93">IF(OR((CK$85&gt;=$AY$11:$AY$38)*(CK$48&lt;=$AZ$11:$AZ$38)&gt;0),$B93,"")</f>
        <v/>
      </c>
      <c r="CL93" s="84" t="str">
        <f t="array" ref="CL93">IF(OR((CL$85&gt;=$AY$11:$AY$38)*(CL$48&lt;=$AZ$11:$AZ$38)&gt;0),$B93,"")</f>
        <v/>
      </c>
      <c r="CM93" s="84" t="str">
        <f t="array" ref="CM93">IF(OR((CM$85&gt;=$AY$11:$AY$38)*(CM$48&lt;=$AZ$11:$AZ$38)&gt;0),$B93,"")</f>
        <v/>
      </c>
      <c r="CN93" s="84" t="str">
        <f t="array" ref="CN93">IF(OR((CN$85&gt;=$AY$11:$AY$38)*(CN$48&lt;=$AZ$11:$AZ$38)&gt;0),$B93,"")</f>
        <v/>
      </c>
      <c r="CO93" s="84" t="str">
        <f t="array" ref="CO93">IF(OR((CO$85&gt;=$AY$11:$AY$38)*(CO$48&lt;=$AZ$11:$AZ$38)&gt;0),$B93,"")</f>
        <v/>
      </c>
      <c r="CP93" s="84" t="str">
        <f t="array" ref="CP93">IF(OR((CP$85&gt;=$AY$11:$AY$38)*(CP$48&lt;=$AZ$11:$AZ$38)&gt;0),$B93,"")</f>
        <v/>
      </c>
      <c r="CQ93" s="84" t="str">
        <f t="array" ref="CQ93">IF(OR((CQ$85&gt;=$AY$11:$AY$38)*(CQ$48&lt;=$AZ$11:$AZ$38)&gt;0),$B93,"")</f>
        <v/>
      </c>
      <c r="CR93" s="84" t="str">
        <f t="array" ref="CR93">IF(OR((CR$85&gt;=$AY$11:$AY$38)*(CR$48&lt;=$AZ$11:$AZ$38)&gt;0),$B93,"")</f>
        <v/>
      </c>
      <c r="CS93" s="84" t="str">
        <f t="array" ref="CS93">IF(OR((CS$85&gt;=$AY$11:$AY$38)*(CS$48&lt;=$AZ$11:$AZ$38)&gt;0),$B93,"")</f>
        <v/>
      </c>
      <c r="CT93" s="84" t="str">
        <f t="array" ref="CT93">IF(OR((CT$85&gt;=$AY$11:$AY$38)*(CT$48&lt;=$AZ$11:$AZ$38)&gt;0),$B93,"")</f>
        <v/>
      </c>
      <c r="CU93" s="84" t="str">
        <f t="array" ref="CU93">IF(OR((CU$85&gt;=$AY$11:$AY$38)*(CU$48&lt;=$AZ$11:$AZ$38)&gt;0),$B93,"")</f>
        <v/>
      </c>
      <c r="CV93" s="84" t="str">
        <f t="array" ref="CV93">IF(OR((CV$85&gt;=$AY$11:$AY$38)*(CV$48&lt;=$AZ$11:$AZ$38)&gt;0),$B93,"")</f>
        <v/>
      </c>
      <c r="CW93" s="84" t="str">
        <f t="array" ref="CW93">IF(OR((CW$85&gt;=$AY$11:$AY$38)*(CW$48&lt;=$AZ$11:$AZ$38)&gt;0),$B93,"")</f>
        <v/>
      </c>
      <c r="CX93" s="84" t="str">
        <f t="array" ref="CX93">IF(OR((CX$85&gt;=$AY$11:$AY$38)*(CX$48&lt;=$AZ$11:$AZ$38)&gt;0),$B93,"")</f>
        <v/>
      </c>
      <c r="CY93" s="84" t="str">
        <f t="array" ref="CY93">IF(OR((CY$85&gt;=$AY$11:$AY$38)*(CY$48&lt;=$AZ$11:$AZ$38)&gt;0),$B93,"")</f>
        <v/>
      </c>
      <c r="CZ93" s="84" t="str">
        <f t="array" ref="CZ93">IF(OR((CZ$85&gt;=$AY$11:$AY$38)*(CZ$48&lt;=$AZ$11:$AZ$38)&gt;0),$B93,"")</f>
        <v/>
      </c>
      <c r="DA93" s="84" t="str">
        <f t="array" ref="DA93">IF(OR((DA$85&gt;=$AY$11:$AY$38)*(DA$48&lt;=$AZ$11:$AZ$38)&gt;0),$B93,"")</f>
        <v/>
      </c>
      <c r="DB93" s="84" t="str">
        <f t="array" ref="DB93">IF(OR((DB$85&gt;=$AY$11:$AY$38)*(DB$48&lt;=$AZ$11:$AZ$38)&gt;0),$B93,"")</f>
        <v/>
      </c>
      <c r="DC93" s="84" t="str">
        <f t="array" ref="DC93">IF(OR((DC$85&gt;=$AY$11:$AY$38)*(DC$48&lt;=$AZ$11:$AZ$38)&gt;0),$B93,"")</f>
        <v/>
      </c>
    </row>
    <row r="94" spans="1:107">
      <c r="A94" s="75" t="s">
        <v>195</v>
      </c>
      <c r="B94" s="16">
        <v>1</v>
      </c>
      <c r="C94" s="84" t="str">
        <f t="array" ref="C94">IF(OR((C$85&gt;=$AY$11:$AY$38)*(C$48&lt;=$AZ$11:$AZ$38)&gt;0),$B94,"")</f>
        <v/>
      </c>
      <c r="D94" s="84" t="str">
        <f t="array" ref="D94">IF(OR((D$85&gt;=$AY$11:$AY$38)*(D$48&lt;=$AZ$11:$AZ$38)&gt;0),$B94,"")</f>
        <v/>
      </c>
      <c r="E94" s="84" t="str">
        <f t="array" ref="E94">IF(OR((E$85&gt;=$AY$11:$AY$38)*(E$48&lt;=$AZ$11:$AZ$38)&gt;0),$B94,"")</f>
        <v/>
      </c>
      <c r="F94" s="84" t="str">
        <f t="array" ref="F94">IF(OR((F$85&gt;=$AY$11:$AY$38)*(F$48&lt;=$AZ$11:$AZ$38)&gt;0),$B94,"")</f>
        <v/>
      </c>
      <c r="G94" s="84" t="str">
        <f t="array" ref="G94">IF(OR((G$85&gt;=$AY$11:$AY$38)*(G$48&lt;=$AZ$11:$AZ$38)&gt;0),$B94,"")</f>
        <v/>
      </c>
      <c r="H94" s="84" t="str">
        <f t="array" ref="H94">IF(OR((H$85&gt;=$AY$11:$AY$38)*(H$48&lt;=$AZ$11:$AZ$38)&gt;0),$B94,"")</f>
        <v/>
      </c>
      <c r="I94" s="84" t="str">
        <f t="array" ref="I94">IF(OR((I$85&gt;=$AY$11:$AY$38)*(I$48&lt;=$AZ$11:$AZ$38)&gt;0),$B94,"")</f>
        <v/>
      </c>
      <c r="J94" s="84" t="str">
        <f t="array" ref="J94">IF(OR((J$85&gt;=$AY$11:$AY$38)*(J$48&lt;=$AZ$11:$AZ$38)&gt;0),$B94,"")</f>
        <v/>
      </c>
      <c r="K94" s="84" t="str">
        <f t="array" ref="K94">IF(OR((K$85&gt;=$AY$11:$AY$38)*(K$48&lt;=$AZ$11:$AZ$38)&gt;0),$B94,"")</f>
        <v/>
      </c>
      <c r="L94" s="84" t="str">
        <f t="array" ref="L94">IF(OR((L$85&gt;=$AY$11:$AY$38)*(L$48&lt;=$AZ$11:$AZ$38)&gt;0),$B94,"")</f>
        <v/>
      </c>
      <c r="M94" s="84" t="str">
        <f t="array" ref="M94">IF(OR((M$85&gt;=$AY$11:$AY$38)*(M$48&lt;=$AZ$11:$AZ$38)&gt;0),$B94,"")</f>
        <v/>
      </c>
      <c r="N94" s="84" t="str">
        <f t="array" ref="N94">IF(OR((N$85&gt;=$AY$11:$AY$38)*(N$48&lt;=$AZ$11:$AZ$38)&gt;0),$B94,"")</f>
        <v/>
      </c>
      <c r="O94" s="84"/>
      <c r="P94" s="84"/>
      <c r="Q94" s="84" t="str">
        <f t="array" ref="Q94">IF(OR((Q$85&gt;=$AY$11:$AY$38)*(Q$48&lt;=$AZ$11:$AZ$38)&gt;0),$B94,"")</f>
        <v/>
      </c>
      <c r="R94" s="84" t="str">
        <f t="array" ref="R94">IF(OR((R$85&gt;=$AY$11:$AY$38)*(R$48&lt;=$AZ$11:$AZ$38)&gt;0),$B94,"")</f>
        <v/>
      </c>
      <c r="S94" s="84" t="str">
        <f t="array" ref="S94">IF(OR((S$85&gt;=$AY$11:$AY$38)*(S$48&lt;=$AZ$11:$AZ$38)&gt;0),$B94,"")</f>
        <v/>
      </c>
      <c r="T94" s="84" t="str">
        <f t="array" ref="T94">IF(OR((T$85&gt;=$AY$11:$AY$38)*(T$48&lt;=$AZ$11:$AZ$38)&gt;0),$B94,"")</f>
        <v/>
      </c>
      <c r="U94" s="84" t="str">
        <f t="array" ref="U94">IF(OR((U$85&gt;=$AY$11:$AY$38)*(U$48&lt;=$AZ$11:$AZ$38)&gt;0),$B94,"")</f>
        <v/>
      </c>
      <c r="V94" s="84" t="str">
        <f t="array" ref="V94">IF(OR((V$85&gt;=$AY$11:$AY$38)*(V$48&lt;=$AZ$11:$AZ$38)&gt;0),$B94,"")</f>
        <v/>
      </c>
      <c r="W94" s="84" t="str">
        <f t="array" ref="W94">IF(OR((W$85&gt;=$AY$11:$AY$38)*(W$48&lt;=$AZ$11:$AZ$38)&gt;0),$B94,"")</f>
        <v/>
      </c>
      <c r="X94" s="84" t="str">
        <f t="array" ref="X94">IF(OR((X$85&gt;=$AY$11:$AY$38)*(X$48&lt;=$AZ$11:$AZ$38)&gt;0),$B94,"")</f>
        <v/>
      </c>
      <c r="Y94" s="84" t="str">
        <f t="array" ref="Y94">IF(OR((Y$85&gt;=$AY$11:$AY$38)*(Y$48&lt;=$AZ$11:$AZ$38)&gt;0),$B94,"")</f>
        <v/>
      </c>
      <c r="Z94" s="84" t="str">
        <f t="array" ref="Z94">IF(OR((Z$85&gt;=$AY$11:$AY$38)*(Z$48&lt;=$AZ$11:$AZ$38)&gt;0),$B94,"")</f>
        <v/>
      </c>
      <c r="AA94" s="84" t="str">
        <f t="array" ref="AA94">IF(OR((AA$85&gt;=$AY$11:$AY$38)*(AA$48&lt;=$AZ$11:$AZ$38)&gt;0),$B94,"")</f>
        <v/>
      </c>
      <c r="AB94" s="84" t="str">
        <f t="array" ref="AB94">IF(OR((AB$85&gt;=$AY$11:$AY$38)*(AB$48&lt;=$AZ$11:$AZ$38)&gt;0),$B94,"")</f>
        <v/>
      </c>
      <c r="AC94" s="84" t="str">
        <f t="array" ref="AC94">IF(OR((AC$85&gt;=$AY$11:$AY$38)*(AC$48&lt;=$AZ$11:$AZ$38)&gt;0),$B94,"")</f>
        <v/>
      </c>
      <c r="AD94" s="84" t="str">
        <f t="array" ref="AD94">IF(OR((AD$85&gt;=$AY$11:$AY$38)*(AD$48&lt;=$AZ$11:$AZ$38)&gt;0),$B94,"")</f>
        <v/>
      </c>
      <c r="AE94" s="84" t="str">
        <f t="array" ref="AE94">IF(OR((AE$85&gt;=$AY$11:$AY$38)*(AE$48&lt;=$AZ$11:$AZ$38)&gt;0),$B94,"")</f>
        <v/>
      </c>
      <c r="AF94" s="84" t="str">
        <f t="array" ref="AF94">IF(OR((AF$85&gt;=$AY$11:$AY$38)*(AF$48&lt;=$AZ$11:$AZ$38)&gt;0),$B94,"")</f>
        <v/>
      </c>
      <c r="AG94" s="84" t="str">
        <f t="array" ref="AG94">IF(OR((AG$85&gt;=$AY$11:$AY$38)*(AG$48&lt;=$AZ$11:$AZ$38)&gt;0),$B94,"")</f>
        <v/>
      </c>
      <c r="AH94" s="84" t="str">
        <f t="array" ref="AH94">IF(OR((AH$85&gt;=$AY$11:$AY$38)*(AH$48&lt;=$AZ$11:$AZ$38)&gt;0),$B94,"")</f>
        <v/>
      </c>
      <c r="AI94" s="84" t="str">
        <f t="array" ref="AI94">IF(OR((AI$85&gt;=$AY$11:$AY$38)*(AI$48&lt;=$AZ$11:$AZ$38)&gt;0),$B94,"")</f>
        <v/>
      </c>
      <c r="AK94" s="75" t="s">
        <v>195</v>
      </c>
      <c r="AL94" s="16">
        <v>1</v>
      </c>
      <c r="AM94" s="84" t="str">
        <f t="array" ref="AM94">IF(OR((AM$85&gt;=$AY$11:$AY$38)*(AM$48&lt;=$AZ$11:$AZ$38)&gt;0),$B94,"")</f>
        <v/>
      </c>
      <c r="AN94" s="84" t="str">
        <f t="array" ref="AN94">IF(OR((AN$85&gt;=$AY$11:$AY$38)*(AN$48&lt;=$AZ$11:$AZ$38)&gt;0),$B94,"")</f>
        <v/>
      </c>
      <c r="AO94" s="84" t="str">
        <f t="array" ref="AO94">IF(OR((AO$85&gt;=$AY$11:$AY$38)*(AO$48&lt;=$AZ$11:$AZ$38)&gt;0),$B94,"")</f>
        <v/>
      </c>
      <c r="AP94" s="84" t="str">
        <f t="array" ref="AP94">IF(OR((AP$85&gt;=$AY$11:$AY$38)*(AP$48&lt;=$AZ$11:$AZ$38)&gt;0),$B94,"")</f>
        <v/>
      </c>
      <c r="AQ94" s="84" t="str">
        <f t="array" ref="AQ94">IF(OR((AQ$85&gt;=$AY$11:$AY$38)*(AQ$48&lt;=$AZ$11:$AZ$38)&gt;0),$B94,"")</f>
        <v/>
      </c>
      <c r="AR94" s="84" t="str">
        <f t="array" ref="AR94">IF(OR((AR$85&gt;=$AY$11:$AY$38)*(AR$48&lt;=$AZ$11:$AZ$38)&gt;0),$B94,"")</f>
        <v/>
      </c>
      <c r="AS94" s="84" t="str">
        <f t="array" ref="AS94">IF(OR((AS$85&gt;=$AY$11:$AY$38)*(AS$48&lt;=$AZ$11:$AZ$38)&gt;0),$B94,"")</f>
        <v/>
      </c>
      <c r="AT94" s="84" t="str">
        <f t="array" ref="AT94">IF(OR((AT$85&gt;=$AY$11:$AY$38)*(AT$48&lt;=$AZ$11:$AZ$38)&gt;0),$B94,"")</f>
        <v/>
      </c>
      <c r="AU94" s="84" t="str">
        <f t="array" ref="AU94">IF(OR((AU$85&gt;=$AY$11:$AY$38)*(AU$48&lt;=$AZ$11:$AZ$38)&gt;0),$B94,"")</f>
        <v/>
      </c>
      <c r="AV94" s="84" t="str">
        <f t="array" ref="AV94">IF(OR((AV$85&gt;=$AY$11:$AY$38)*(AV$48&lt;=$AZ$11:$AZ$38)&gt;0),$B94,"")</f>
        <v/>
      </c>
      <c r="AW94" s="84" t="str">
        <f t="array" ref="AW94">IF(OR((AW$85&gt;=$AY$11:$AY$38)*(AW$48&lt;=$AZ$11:$AZ$38)&gt;0),$B94,"")</f>
        <v/>
      </c>
      <c r="AX94" s="84" t="str">
        <f t="array" ref="AX94">IF(OR((AX$85&gt;=$AY$11:$AY$38)*(AX$48&lt;=$AZ$11:$AZ$38)&gt;0),$B94,"")</f>
        <v/>
      </c>
      <c r="AY94" s="84"/>
      <c r="AZ94" s="84"/>
      <c r="BA94" s="84" t="str">
        <f t="array" ref="BA94">IF(OR((BA$85&gt;=$AY$11:$AY$38)*(BA$48&lt;=$AZ$11:$AZ$38)&gt;0),$B94,"")</f>
        <v/>
      </c>
      <c r="BB94" s="84" t="str">
        <f t="array" ref="BB94">IF(OR((BB$85&gt;=$AY$11:$AY$38)*(BB$48&lt;=$AZ$11:$AZ$38)&gt;0),$B94,"")</f>
        <v/>
      </c>
      <c r="BC94" s="84" t="str">
        <f t="array" ref="BC94">IF(OR((BC$85&gt;=$AY$11:$AY$38)*(BC$48&lt;=$AZ$11:$AZ$38)&gt;0),$B94,"")</f>
        <v/>
      </c>
      <c r="BD94" s="84" t="str">
        <f t="array" ref="BD94">IF(OR((BD$85&gt;=$AY$11:$AY$38)*(BD$48&lt;=$AZ$11:$AZ$38)&gt;0),$B94,"")</f>
        <v/>
      </c>
      <c r="BE94" s="84" t="str">
        <f t="array" ref="BE94">IF(OR((BE$85&gt;=$AY$11:$AY$38)*(BE$48&lt;=$AZ$11:$AZ$38)&gt;0),$B94,"")</f>
        <v/>
      </c>
      <c r="BF94" s="84" t="str">
        <f t="array" ref="BF94">IF(OR((BF$85&gt;=$AY$11:$AY$38)*(BF$48&lt;=$AZ$11:$AZ$38)&gt;0),$B94,"")</f>
        <v/>
      </c>
      <c r="BG94" s="84" t="str">
        <f t="array" ref="BG94">IF(OR((BG$85&gt;=$AY$11:$AY$38)*(BG$48&lt;=$AZ$11:$AZ$38)&gt;0),$B94,"")</f>
        <v/>
      </c>
      <c r="BH94" s="84" t="str">
        <f t="array" ref="BH94">IF(OR((BH$85&gt;=$AY$11:$AY$38)*(BH$48&lt;=$AZ$11:$AZ$38)&gt;0),$B94,"")</f>
        <v/>
      </c>
      <c r="BI94" s="84" t="str">
        <f t="array" ref="BI94">IF(OR((BI$85&gt;=$AY$11:$AY$38)*(BI$48&lt;=$AZ$11:$AZ$38)&gt;0),$B94,"")</f>
        <v/>
      </c>
      <c r="BJ94" s="84" t="str">
        <f t="array" ref="BJ94">IF(OR((BJ$85&gt;=$AY$11:$AY$38)*(BJ$48&lt;=$AZ$11:$AZ$38)&gt;0),$B94,"")</f>
        <v/>
      </c>
      <c r="BK94" s="84" t="str">
        <f t="array" ref="BK94">IF(OR((BK$85&gt;=$AY$11:$AY$38)*(BK$48&lt;=$AZ$11:$AZ$38)&gt;0),$B94,"")</f>
        <v/>
      </c>
      <c r="BL94" s="84" t="str">
        <f t="array" ref="BL94">IF(OR((BL$85&gt;=$AY$11:$AY$38)*(BL$48&lt;=$AZ$11:$AZ$38)&gt;0),$B94,"")</f>
        <v/>
      </c>
      <c r="BM94" s="84" t="str">
        <f t="array" ref="BM94">IF(OR((BM$85&gt;=$AY$11:$AY$38)*(BM$48&lt;=$AZ$11:$AZ$38)&gt;0),$B94,"")</f>
        <v/>
      </c>
      <c r="BN94" s="84" t="str">
        <f t="array" ref="BN94">IF(OR((BN$85&gt;=$AY$11:$AY$38)*(BN$48&lt;=$AZ$11:$AZ$38)&gt;0),$B94,"")</f>
        <v/>
      </c>
      <c r="BO94" s="84" t="str">
        <f t="array" ref="BO94">IF(OR((BO$85&gt;=$AY$11:$AY$38)*(BO$48&lt;=$AZ$11:$AZ$38)&gt;0),$B94,"")</f>
        <v/>
      </c>
      <c r="BP94" s="84" t="str">
        <f t="array" ref="BP94">IF(OR((BP$85&gt;=$AY$11:$AY$38)*(BP$48&lt;=$AZ$11:$AZ$38)&gt;0),$B94,"")</f>
        <v/>
      </c>
      <c r="BQ94" s="84" t="str">
        <f t="array" ref="BQ94">IF(OR((BQ$85&gt;=$AY$11:$AY$38)*(BQ$48&lt;=$AZ$11:$AZ$38)&gt;0),$B94,"")</f>
        <v/>
      </c>
      <c r="BR94" s="84" t="str">
        <f t="array" ref="BR94">IF(OR((BR$85&gt;=$AY$11:$AY$38)*(BR$48&lt;=$AZ$11:$AZ$38)&gt;0),$B94,"")</f>
        <v/>
      </c>
      <c r="BS94" s="84" t="str">
        <f t="array" ref="BS94">IF(OR((BS$85&gt;=$AY$11:$AY$38)*(BS$48&lt;=$AZ$11:$AZ$38)&gt;0),$B94,"")</f>
        <v/>
      </c>
      <c r="BU94" s="75" t="s">
        <v>195</v>
      </c>
      <c r="BV94" s="16">
        <v>1</v>
      </c>
      <c r="BW94" s="84" t="str">
        <f t="array" ref="BW94">IF(OR((BW$85&gt;=$AY$11:$AY$38)*(BW$48&lt;=$AZ$11:$AZ$38)&gt;0),$B94,"")</f>
        <v/>
      </c>
      <c r="BX94" s="84" t="str">
        <f t="array" ref="BX94">IF(OR((BX$85&gt;=$AY$11:$AY$38)*(BX$48&lt;=$AZ$11:$AZ$38)&gt;0),$B94,"")</f>
        <v/>
      </c>
      <c r="BY94" s="84" t="str">
        <f t="array" ref="BY94">IF(OR((BY$85&gt;=$AY$11:$AY$38)*(BY$48&lt;=$AZ$11:$AZ$38)&gt;0),$B94,"")</f>
        <v/>
      </c>
      <c r="BZ94" s="84" t="str">
        <f t="array" ref="BZ94">IF(OR((BZ$85&gt;=$AY$11:$AY$38)*(BZ$48&lt;=$AZ$11:$AZ$38)&gt;0),$B94,"")</f>
        <v/>
      </c>
      <c r="CA94" s="84" t="str">
        <f t="array" ref="CA94">IF(OR((CA$85&gt;=$AY$11:$AY$38)*(CA$48&lt;=$AZ$11:$AZ$38)&gt;0),$B94,"")</f>
        <v/>
      </c>
      <c r="CB94" s="84" t="str">
        <f t="array" ref="CB94">IF(OR((CB$85&gt;=$AY$11:$AY$38)*(CB$48&lt;=$AZ$11:$AZ$38)&gt;0),$B94,"")</f>
        <v/>
      </c>
      <c r="CC94" s="84" t="str">
        <f t="array" ref="CC94">IF(OR((CC$85&gt;=$AY$11:$AY$38)*(CC$48&lt;=$AZ$11:$AZ$38)&gt;0),$B94,"")</f>
        <v/>
      </c>
      <c r="CD94" s="84" t="str">
        <f t="array" ref="CD94">IF(OR((CD$85&gt;=$AY$11:$AY$38)*(CD$48&lt;=$AZ$11:$AZ$38)&gt;0),$B94,"")</f>
        <v/>
      </c>
      <c r="CE94" s="84" t="str">
        <f t="array" ref="CE94">IF(OR((CE$85&gt;=$AY$11:$AY$38)*(CE$48&lt;=$AZ$11:$AZ$38)&gt;0),$B94,"")</f>
        <v/>
      </c>
      <c r="CF94" s="84" t="str">
        <f t="array" ref="CF94">IF(OR((CF$85&gt;=$AY$11:$AY$38)*(CF$48&lt;=$AZ$11:$AZ$38)&gt;0),$B94,"")</f>
        <v/>
      </c>
      <c r="CG94" s="84" t="str">
        <f t="array" ref="CG94">IF(OR((CG$85&gt;=$AY$11:$AY$38)*(CG$48&lt;=$AZ$11:$AZ$38)&gt;0),$B94,"")</f>
        <v/>
      </c>
      <c r="CH94" s="84" t="str">
        <f t="array" ref="CH94">IF(OR((CH$85&gt;=$AY$11:$AY$38)*(CH$48&lt;=$AZ$11:$AZ$38)&gt;0),$B94,"")</f>
        <v/>
      </c>
      <c r="CI94" s="84"/>
      <c r="CJ94" s="84"/>
      <c r="CK94" s="84" t="str">
        <f t="array" ref="CK94">IF(OR((CK$85&gt;=$AY$11:$AY$38)*(CK$48&lt;=$AZ$11:$AZ$38)&gt;0),$B94,"")</f>
        <v/>
      </c>
      <c r="CL94" s="84" t="str">
        <f t="array" ref="CL94">IF(OR((CL$85&gt;=$AY$11:$AY$38)*(CL$48&lt;=$AZ$11:$AZ$38)&gt;0),$B94,"")</f>
        <v/>
      </c>
      <c r="CM94" s="84" t="str">
        <f t="array" ref="CM94">IF(OR((CM$85&gt;=$AY$11:$AY$38)*(CM$48&lt;=$AZ$11:$AZ$38)&gt;0),$B94,"")</f>
        <v/>
      </c>
      <c r="CN94" s="84" t="str">
        <f t="array" ref="CN94">IF(OR((CN$85&gt;=$AY$11:$AY$38)*(CN$48&lt;=$AZ$11:$AZ$38)&gt;0),$B94,"")</f>
        <v/>
      </c>
      <c r="CO94" s="84" t="str">
        <f t="array" ref="CO94">IF(OR((CO$85&gt;=$AY$11:$AY$38)*(CO$48&lt;=$AZ$11:$AZ$38)&gt;0),$B94,"")</f>
        <v/>
      </c>
      <c r="CP94" s="84" t="str">
        <f t="array" ref="CP94">IF(OR((CP$85&gt;=$AY$11:$AY$38)*(CP$48&lt;=$AZ$11:$AZ$38)&gt;0),$B94,"")</f>
        <v/>
      </c>
      <c r="CQ94" s="84" t="str">
        <f t="array" ref="CQ94">IF(OR((CQ$85&gt;=$AY$11:$AY$38)*(CQ$48&lt;=$AZ$11:$AZ$38)&gt;0),$B94,"")</f>
        <v/>
      </c>
      <c r="CR94" s="84" t="str">
        <f t="array" ref="CR94">IF(OR((CR$85&gt;=$AY$11:$AY$38)*(CR$48&lt;=$AZ$11:$AZ$38)&gt;0),$B94,"")</f>
        <v/>
      </c>
      <c r="CS94" s="84" t="str">
        <f t="array" ref="CS94">IF(OR((CS$85&gt;=$AY$11:$AY$38)*(CS$48&lt;=$AZ$11:$AZ$38)&gt;0),$B94,"")</f>
        <v/>
      </c>
      <c r="CT94" s="84" t="str">
        <f t="array" ref="CT94">IF(OR((CT$85&gt;=$AY$11:$AY$38)*(CT$48&lt;=$AZ$11:$AZ$38)&gt;0),$B94,"")</f>
        <v/>
      </c>
      <c r="CU94" s="84" t="str">
        <f t="array" ref="CU94">IF(OR((CU$85&gt;=$AY$11:$AY$38)*(CU$48&lt;=$AZ$11:$AZ$38)&gt;0),$B94,"")</f>
        <v/>
      </c>
      <c r="CV94" s="84" t="str">
        <f t="array" ref="CV94">IF(OR((CV$85&gt;=$AY$11:$AY$38)*(CV$48&lt;=$AZ$11:$AZ$38)&gt;0),$B94,"")</f>
        <v/>
      </c>
      <c r="CW94" s="84" t="str">
        <f t="array" ref="CW94">IF(OR((CW$85&gt;=$AY$11:$AY$38)*(CW$48&lt;=$AZ$11:$AZ$38)&gt;0),$B94,"")</f>
        <v/>
      </c>
      <c r="CX94" s="84" t="str">
        <f t="array" ref="CX94">IF(OR((CX$85&gt;=$AY$11:$AY$38)*(CX$48&lt;=$AZ$11:$AZ$38)&gt;0),$B94,"")</f>
        <v/>
      </c>
      <c r="CY94" s="84" t="str">
        <f t="array" ref="CY94">IF(OR((CY$85&gt;=$AY$11:$AY$38)*(CY$48&lt;=$AZ$11:$AZ$38)&gt;0),$B94,"")</f>
        <v/>
      </c>
      <c r="CZ94" s="84" t="str">
        <f t="array" ref="CZ94">IF(OR((CZ$85&gt;=$AY$11:$AY$38)*(CZ$48&lt;=$AZ$11:$AZ$38)&gt;0),$B94,"")</f>
        <v/>
      </c>
      <c r="DA94" s="84" t="str">
        <f t="array" ref="DA94">IF(OR((DA$85&gt;=$AY$11:$AY$38)*(DA$48&lt;=$AZ$11:$AZ$38)&gt;0),$B94,"")</f>
        <v/>
      </c>
      <c r="DB94" s="84" t="str">
        <f t="array" ref="DB94">IF(OR((DB$85&gt;=$AY$11:$AY$38)*(DB$48&lt;=$AZ$11:$AZ$38)&gt;0),$B94,"")</f>
        <v/>
      </c>
      <c r="DC94" s="84" t="str">
        <f t="array" ref="DC94">IF(OR((DC$85&gt;=$AY$11:$AY$38)*(DC$48&lt;=$AZ$11:$AZ$38)&gt;0),$B94,"")</f>
        <v/>
      </c>
    </row>
    <row r="95" spans="1:107">
      <c r="A95" s="75" t="s">
        <v>196</v>
      </c>
      <c r="B95" s="16">
        <v>1</v>
      </c>
      <c r="C95" s="84" t="str">
        <f t="array" ref="C95">IF(OR((C$85&gt;=$AY$11:$AY$38)*(C$48&lt;=$AZ$11:$AZ$38)&gt;0),$B95,"")</f>
        <v/>
      </c>
      <c r="D95" s="84" t="str">
        <f t="array" ref="D95">IF(OR((D$85&gt;=$AY$11:$AY$38)*(D$48&lt;=$AZ$11:$AZ$38)&gt;0),$B95,"")</f>
        <v/>
      </c>
      <c r="E95" s="84" t="str">
        <f t="array" ref="E95">IF(OR((E$85&gt;=$AY$11:$AY$38)*(E$48&lt;=$AZ$11:$AZ$38)&gt;0),$B95,"")</f>
        <v/>
      </c>
      <c r="F95" s="84" t="str">
        <f t="array" ref="F95">IF(OR((F$85&gt;=$AY$11:$AY$38)*(F$48&lt;=$AZ$11:$AZ$38)&gt;0),$B95,"")</f>
        <v/>
      </c>
      <c r="G95" s="84" t="str">
        <f t="array" ref="G95">IF(OR((G$85&gt;=$AY$11:$AY$38)*(G$48&lt;=$AZ$11:$AZ$38)&gt;0),$B95,"")</f>
        <v/>
      </c>
      <c r="H95" s="84" t="str">
        <f t="array" ref="H95">IF(OR((H$85&gt;=$AY$11:$AY$38)*(H$48&lt;=$AZ$11:$AZ$38)&gt;0),$B95,"")</f>
        <v/>
      </c>
      <c r="I95" s="84" t="str">
        <f t="array" ref="I95">IF(OR((I$85&gt;=$AY$11:$AY$38)*(I$48&lt;=$AZ$11:$AZ$38)&gt;0),$B95,"")</f>
        <v/>
      </c>
      <c r="J95" s="84" t="str">
        <f t="array" ref="J95">IF(OR((J$85&gt;=$AY$11:$AY$38)*(J$48&lt;=$AZ$11:$AZ$38)&gt;0),$B95,"")</f>
        <v/>
      </c>
      <c r="K95" s="84" t="str">
        <f t="array" ref="K95">IF(OR((K$85&gt;=$AY$11:$AY$38)*(K$48&lt;=$AZ$11:$AZ$38)&gt;0),$B95,"")</f>
        <v/>
      </c>
      <c r="L95" s="84" t="str">
        <f t="array" ref="L95">IF(OR((L$85&gt;=$AY$11:$AY$38)*(L$48&lt;=$AZ$11:$AZ$38)&gt;0),$B95,"")</f>
        <v/>
      </c>
      <c r="M95" s="84" t="str">
        <f t="array" ref="M95">IF(OR((M$85&gt;=$AY$11:$AY$38)*(M$48&lt;=$AZ$11:$AZ$38)&gt;0),$B95,"")</f>
        <v/>
      </c>
      <c r="N95" s="84" t="str">
        <f t="array" ref="N95">IF(OR((N$85&gt;=$AY$11:$AY$38)*(N$48&lt;=$AZ$11:$AZ$38)&gt;0),$B95,"")</f>
        <v/>
      </c>
      <c r="O95" s="84"/>
      <c r="P95" s="84"/>
      <c r="Q95" s="84" t="str">
        <f t="array" ref="Q95">IF(OR((Q$85&gt;=$AY$11:$AY$38)*(Q$48&lt;=$AZ$11:$AZ$38)&gt;0),$B95,"")</f>
        <v/>
      </c>
      <c r="R95" s="84" t="str">
        <f t="array" ref="R95">IF(OR((R$85&gt;=$AY$11:$AY$38)*(R$48&lt;=$AZ$11:$AZ$38)&gt;0),$B95,"")</f>
        <v/>
      </c>
      <c r="S95" s="84" t="str">
        <f t="array" ref="S95">IF(OR((S$85&gt;=$AY$11:$AY$38)*(S$48&lt;=$AZ$11:$AZ$38)&gt;0),$B95,"")</f>
        <v/>
      </c>
      <c r="T95" s="84" t="str">
        <f t="array" ref="T95">IF(OR((T$85&gt;=$AY$11:$AY$38)*(T$48&lt;=$AZ$11:$AZ$38)&gt;0),$B95,"")</f>
        <v/>
      </c>
      <c r="U95" s="84" t="str">
        <f t="array" ref="U95">IF(OR((U$85&gt;=$AY$11:$AY$38)*(U$48&lt;=$AZ$11:$AZ$38)&gt;0),$B95,"")</f>
        <v/>
      </c>
      <c r="V95" s="84" t="str">
        <f t="array" ref="V95">IF(OR((V$85&gt;=$AY$11:$AY$38)*(V$48&lt;=$AZ$11:$AZ$38)&gt;0),$B95,"")</f>
        <v/>
      </c>
      <c r="W95" s="84" t="str">
        <f t="array" ref="W95">IF(OR((W$85&gt;=$AY$11:$AY$38)*(W$48&lt;=$AZ$11:$AZ$38)&gt;0),$B95,"")</f>
        <v/>
      </c>
      <c r="X95" s="84" t="str">
        <f t="array" ref="X95">IF(OR((X$85&gt;=$AY$11:$AY$38)*(X$48&lt;=$AZ$11:$AZ$38)&gt;0),$B95,"")</f>
        <v/>
      </c>
      <c r="Y95" s="84" t="str">
        <f t="array" ref="Y95">IF(OR((Y$85&gt;=$AY$11:$AY$38)*(Y$48&lt;=$AZ$11:$AZ$38)&gt;0),$B95,"")</f>
        <v/>
      </c>
      <c r="Z95" s="84" t="str">
        <f t="array" ref="Z95">IF(OR((Z$85&gt;=$AY$11:$AY$38)*(Z$48&lt;=$AZ$11:$AZ$38)&gt;0),$B95,"")</f>
        <v/>
      </c>
      <c r="AA95" s="84" t="str">
        <f t="array" ref="AA95">IF(OR((AA$85&gt;=$AY$11:$AY$38)*(AA$48&lt;=$AZ$11:$AZ$38)&gt;0),$B95,"")</f>
        <v/>
      </c>
      <c r="AB95" s="84" t="str">
        <f t="array" ref="AB95">IF(OR((AB$85&gt;=$AY$11:$AY$38)*(AB$48&lt;=$AZ$11:$AZ$38)&gt;0),$B95,"")</f>
        <v/>
      </c>
      <c r="AC95" s="84" t="str">
        <f t="array" ref="AC95">IF(OR((AC$85&gt;=$AY$11:$AY$38)*(AC$48&lt;=$AZ$11:$AZ$38)&gt;0),$B95,"")</f>
        <v/>
      </c>
      <c r="AD95" s="84" t="str">
        <f t="array" ref="AD95">IF(OR((AD$85&gt;=$AY$11:$AY$38)*(AD$48&lt;=$AZ$11:$AZ$38)&gt;0),$B95,"")</f>
        <v/>
      </c>
      <c r="AE95" s="84" t="str">
        <f t="array" ref="AE95">IF(OR((AE$85&gt;=$AY$11:$AY$38)*(AE$48&lt;=$AZ$11:$AZ$38)&gt;0),$B95,"")</f>
        <v/>
      </c>
      <c r="AF95" s="84" t="str">
        <f t="array" ref="AF95">IF(OR((AF$85&gt;=$AY$11:$AY$38)*(AF$48&lt;=$AZ$11:$AZ$38)&gt;0),$B95,"")</f>
        <v/>
      </c>
      <c r="AG95" s="84" t="str">
        <f t="array" ref="AG95">IF(OR((AG$85&gt;=$AY$11:$AY$38)*(AG$48&lt;=$AZ$11:$AZ$38)&gt;0),$B95,"")</f>
        <v/>
      </c>
      <c r="AH95" s="84" t="str">
        <f t="array" ref="AH95">IF(OR((AH$85&gt;=$AY$11:$AY$38)*(AH$48&lt;=$AZ$11:$AZ$38)&gt;0),$B95,"")</f>
        <v/>
      </c>
      <c r="AI95" s="84" t="str">
        <f t="array" ref="AI95">IF(OR((AI$85&gt;=$AY$11:$AY$38)*(AI$48&lt;=$AZ$11:$AZ$38)&gt;0),$B95,"")</f>
        <v/>
      </c>
      <c r="AK95" s="75" t="s">
        <v>196</v>
      </c>
      <c r="AL95" s="16">
        <v>1</v>
      </c>
      <c r="AM95" s="84" t="str">
        <f t="array" ref="AM95">IF(OR((AM$85&gt;=$AY$11:$AY$38)*(AM$48&lt;=$AZ$11:$AZ$38)&gt;0),$B95,"")</f>
        <v/>
      </c>
      <c r="AN95" s="84" t="str">
        <f t="array" ref="AN95">IF(OR((AN$85&gt;=$AY$11:$AY$38)*(AN$48&lt;=$AZ$11:$AZ$38)&gt;0),$B95,"")</f>
        <v/>
      </c>
      <c r="AO95" s="84" t="str">
        <f t="array" ref="AO95">IF(OR((AO$85&gt;=$AY$11:$AY$38)*(AO$48&lt;=$AZ$11:$AZ$38)&gt;0),$B95,"")</f>
        <v/>
      </c>
      <c r="AP95" s="84" t="str">
        <f t="array" ref="AP95">IF(OR((AP$85&gt;=$AY$11:$AY$38)*(AP$48&lt;=$AZ$11:$AZ$38)&gt;0),$B95,"")</f>
        <v/>
      </c>
      <c r="AQ95" s="84" t="str">
        <f t="array" ref="AQ95">IF(OR((AQ$85&gt;=$AY$11:$AY$38)*(AQ$48&lt;=$AZ$11:$AZ$38)&gt;0),$B95,"")</f>
        <v/>
      </c>
      <c r="AR95" s="84" t="str">
        <f t="array" ref="AR95">IF(OR((AR$85&gt;=$AY$11:$AY$38)*(AR$48&lt;=$AZ$11:$AZ$38)&gt;0),$B95,"")</f>
        <v/>
      </c>
      <c r="AS95" s="84" t="str">
        <f t="array" ref="AS95">IF(OR((AS$85&gt;=$AY$11:$AY$38)*(AS$48&lt;=$AZ$11:$AZ$38)&gt;0),$B95,"")</f>
        <v/>
      </c>
      <c r="AT95" s="84" t="str">
        <f t="array" ref="AT95">IF(OR((AT$85&gt;=$AY$11:$AY$38)*(AT$48&lt;=$AZ$11:$AZ$38)&gt;0),$B95,"")</f>
        <v/>
      </c>
      <c r="AU95" s="84" t="str">
        <f t="array" ref="AU95">IF(OR((AU$85&gt;=$AY$11:$AY$38)*(AU$48&lt;=$AZ$11:$AZ$38)&gt;0),$B95,"")</f>
        <v/>
      </c>
      <c r="AV95" s="84" t="str">
        <f t="array" ref="AV95">IF(OR((AV$85&gt;=$AY$11:$AY$38)*(AV$48&lt;=$AZ$11:$AZ$38)&gt;0),$B95,"")</f>
        <v/>
      </c>
      <c r="AW95" s="84" t="str">
        <f t="array" ref="AW95">IF(OR((AW$85&gt;=$AY$11:$AY$38)*(AW$48&lt;=$AZ$11:$AZ$38)&gt;0),$B95,"")</f>
        <v/>
      </c>
      <c r="AX95" s="84" t="str">
        <f t="array" ref="AX95">IF(OR((AX$85&gt;=$AY$11:$AY$38)*(AX$48&lt;=$AZ$11:$AZ$38)&gt;0),$B95,"")</f>
        <v/>
      </c>
      <c r="AY95" s="84"/>
      <c r="AZ95" s="84"/>
      <c r="BA95" s="84" t="str">
        <f t="array" ref="BA95">IF(OR((BA$85&gt;=$AY$11:$AY$38)*(BA$48&lt;=$AZ$11:$AZ$38)&gt;0),$B95,"")</f>
        <v/>
      </c>
      <c r="BB95" s="84" t="str">
        <f t="array" ref="BB95">IF(OR((BB$85&gt;=$AY$11:$AY$38)*(BB$48&lt;=$AZ$11:$AZ$38)&gt;0),$B95,"")</f>
        <v/>
      </c>
      <c r="BC95" s="84" t="str">
        <f t="array" ref="BC95">IF(OR((BC$85&gt;=$AY$11:$AY$38)*(BC$48&lt;=$AZ$11:$AZ$38)&gt;0),$B95,"")</f>
        <v/>
      </c>
      <c r="BD95" s="84" t="str">
        <f t="array" ref="BD95">IF(OR((BD$85&gt;=$AY$11:$AY$38)*(BD$48&lt;=$AZ$11:$AZ$38)&gt;0),$B95,"")</f>
        <v/>
      </c>
      <c r="BE95" s="84" t="str">
        <f t="array" ref="BE95">IF(OR((BE$85&gt;=$AY$11:$AY$38)*(BE$48&lt;=$AZ$11:$AZ$38)&gt;0),$B95,"")</f>
        <v/>
      </c>
      <c r="BF95" s="84" t="str">
        <f t="array" ref="BF95">IF(OR((BF$85&gt;=$AY$11:$AY$38)*(BF$48&lt;=$AZ$11:$AZ$38)&gt;0),$B95,"")</f>
        <v/>
      </c>
      <c r="BG95" s="84" t="str">
        <f t="array" ref="BG95">IF(OR((BG$85&gt;=$AY$11:$AY$38)*(BG$48&lt;=$AZ$11:$AZ$38)&gt;0),$B95,"")</f>
        <v/>
      </c>
      <c r="BH95" s="84" t="str">
        <f t="array" ref="BH95">IF(OR((BH$85&gt;=$AY$11:$AY$38)*(BH$48&lt;=$AZ$11:$AZ$38)&gt;0),$B95,"")</f>
        <v/>
      </c>
      <c r="BI95" s="84" t="str">
        <f t="array" ref="BI95">IF(OR((BI$85&gt;=$AY$11:$AY$38)*(BI$48&lt;=$AZ$11:$AZ$38)&gt;0),$B95,"")</f>
        <v/>
      </c>
      <c r="BJ95" s="84" t="str">
        <f t="array" ref="BJ95">IF(OR((BJ$85&gt;=$AY$11:$AY$38)*(BJ$48&lt;=$AZ$11:$AZ$38)&gt;0),$B95,"")</f>
        <v/>
      </c>
      <c r="BK95" s="84" t="str">
        <f t="array" ref="BK95">IF(OR((BK$85&gt;=$AY$11:$AY$38)*(BK$48&lt;=$AZ$11:$AZ$38)&gt;0),$B95,"")</f>
        <v/>
      </c>
      <c r="BL95" s="84" t="str">
        <f t="array" ref="BL95">IF(OR((BL$85&gt;=$AY$11:$AY$38)*(BL$48&lt;=$AZ$11:$AZ$38)&gt;0),$B95,"")</f>
        <v/>
      </c>
      <c r="BM95" s="84" t="str">
        <f t="array" ref="BM95">IF(OR((BM$85&gt;=$AY$11:$AY$38)*(BM$48&lt;=$AZ$11:$AZ$38)&gt;0),$B95,"")</f>
        <v/>
      </c>
      <c r="BN95" s="84" t="str">
        <f t="array" ref="BN95">IF(OR((BN$85&gt;=$AY$11:$AY$38)*(BN$48&lt;=$AZ$11:$AZ$38)&gt;0),$B95,"")</f>
        <v/>
      </c>
      <c r="BO95" s="84" t="str">
        <f t="array" ref="BO95">IF(OR((BO$85&gt;=$AY$11:$AY$38)*(BO$48&lt;=$AZ$11:$AZ$38)&gt;0),$B95,"")</f>
        <v/>
      </c>
      <c r="BP95" s="84" t="str">
        <f t="array" ref="BP95">IF(OR((BP$85&gt;=$AY$11:$AY$38)*(BP$48&lt;=$AZ$11:$AZ$38)&gt;0),$B95,"")</f>
        <v/>
      </c>
      <c r="BQ95" s="84" t="str">
        <f t="array" ref="BQ95">IF(OR((BQ$85&gt;=$AY$11:$AY$38)*(BQ$48&lt;=$AZ$11:$AZ$38)&gt;0),$B95,"")</f>
        <v/>
      </c>
      <c r="BR95" s="84" t="str">
        <f t="array" ref="BR95">IF(OR((BR$85&gt;=$AY$11:$AY$38)*(BR$48&lt;=$AZ$11:$AZ$38)&gt;0),$B95,"")</f>
        <v/>
      </c>
      <c r="BS95" s="84" t="str">
        <f t="array" ref="BS95">IF(OR((BS$85&gt;=$AY$11:$AY$38)*(BS$48&lt;=$AZ$11:$AZ$38)&gt;0),$B95,"")</f>
        <v/>
      </c>
      <c r="BU95" s="75" t="s">
        <v>196</v>
      </c>
      <c r="BV95" s="16">
        <v>1</v>
      </c>
      <c r="BW95" s="84" t="str">
        <f t="array" ref="BW95">IF(OR((BW$85&gt;=$AY$11:$AY$38)*(BW$48&lt;=$AZ$11:$AZ$38)&gt;0),$B95,"")</f>
        <v/>
      </c>
      <c r="BX95" s="84" t="str">
        <f t="array" ref="BX95">IF(OR((BX$85&gt;=$AY$11:$AY$38)*(BX$48&lt;=$AZ$11:$AZ$38)&gt;0),$B95,"")</f>
        <v/>
      </c>
      <c r="BY95" s="84" t="str">
        <f t="array" ref="BY95">IF(OR((BY$85&gt;=$AY$11:$AY$38)*(BY$48&lt;=$AZ$11:$AZ$38)&gt;0),$B95,"")</f>
        <v/>
      </c>
      <c r="BZ95" s="84" t="str">
        <f t="array" ref="BZ95">IF(OR((BZ$85&gt;=$AY$11:$AY$38)*(BZ$48&lt;=$AZ$11:$AZ$38)&gt;0),$B95,"")</f>
        <v/>
      </c>
      <c r="CA95" s="84" t="str">
        <f t="array" ref="CA95">IF(OR((CA$85&gt;=$AY$11:$AY$38)*(CA$48&lt;=$AZ$11:$AZ$38)&gt;0),$B95,"")</f>
        <v/>
      </c>
      <c r="CB95" s="84" t="str">
        <f t="array" ref="CB95">IF(OR((CB$85&gt;=$AY$11:$AY$38)*(CB$48&lt;=$AZ$11:$AZ$38)&gt;0),$B95,"")</f>
        <v/>
      </c>
      <c r="CC95" s="84" t="str">
        <f t="array" ref="CC95">IF(OR((CC$85&gt;=$AY$11:$AY$38)*(CC$48&lt;=$AZ$11:$AZ$38)&gt;0),$B95,"")</f>
        <v/>
      </c>
      <c r="CD95" s="84" t="str">
        <f t="array" ref="CD95">IF(OR((CD$85&gt;=$AY$11:$AY$38)*(CD$48&lt;=$AZ$11:$AZ$38)&gt;0),$B95,"")</f>
        <v/>
      </c>
      <c r="CE95" s="84" t="str">
        <f t="array" ref="CE95">IF(OR((CE$85&gt;=$AY$11:$AY$38)*(CE$48&lt;=$AZ$11:$AZ$38)&gt;0),$B95,"")</f>
        <v/>
      </c>
      <c r="CF95" s="84" t="str">
        <f t="array" ref="CF95">IF(OR((CF$85&gt;=$AY$11:$AY$38)*(CF$48&lt;=$AZ$11:$AZ$38)&gt;0),$B95,"")</f>
        <v/>
      </c>
      <c r="CG95" s="84" t="str">
        <f t="array" ref="CG95">IF(OR((CG$85&gt;=$AY$11:$AY$38)*(CG$48&lt;=$AZ$11:$AZ$38)&gt;0),$B95,"")</f>
        <v/>
      </c>
      <c r="CH95" s="84" t="str">
        <f t="array" ref="CH95">IF(OR((CH$85&gt;=$AY$11:$AY$38)*(CH$48&lt;=$AZ$11:$AZ$38)&gt;0),$B95,"")</f>
        <v/>
      </c>
      <c r="CI95" s="84"/>
      <c r="CJ95" s="84"/>
      <c r="CK95" s="84" t="str">
        <f t="array" ref="CK95">IF(OR((CK$85&gt;=$AY$11:$AY$38)*(CK$48&lt;=$AZ$11:$AZ$38)&gt;0),$B95,"")</f>
        <v/>
      </c>
      <c r="CL95" s="84" t="str">
        <f t="array" ref="CL95">IF(OR((CL$85&gt;=$AY$11:$AY$38)*(CL$48&lt;=$AZ$11:$AZ$38)&gt;0),$B95,"")</f>
        <v/>
      </c>
      <c r="CM95" s="84" t="str">
        <f t="array" ref="CM95">IF(OR((CM$85&gt;=$AY$11:$AY$38)*(CM$48&lt;=$AZ$11:$AZ$38)&gt;0),$B95,"")</f>
        <v/>
      </c>
      <c r="CN95" s="84" t="str">
        <f t="array" ref="CN95">IF(OR((CN$85&gt;=$AY$11:$AY$38)*(CN$48&lt;=$AZ$11:$AZ$38)&gt;0),$B95,"")</f>
        <v/>
      </c>
      <c r="CO95" s="84" t="str">
        <f t="array" ref="CO95">IF(OR((CO$85&gt;=$AY$11:$AY$38)*(CO$48&lt;=$AZ$11:$AZ$38)&gt;0),$B95,"")</f>
        <v/>
      </c>
      <c r="CP95" s="84" t="str">
        <f t="array" ref="CP95">IF(OR((CP$85&gt;=$AY$11:$AY$38)*(CP$48&lt;=$AZ$11:$AZ$38)&gt;0),$B95,"")</f>
        <v/>
      </c>
      <c r="CQ95" s="84" t="str">
        <f t="array" ref="CQ95">IF(OR((CQ$85&gt;=$AY$11:$AY$38)*(CQ$48&lt;=$AZ$11:$AZ$38)&gt;0),$B95,"")</f>
        <v/>
      </c>
      <c r="CR95" s="84" t="str">
        <f t="array" ref="CR95">IF(OR((CR$85&gt;=$AY$11:$AY$38)*(CR$48&lt;=$AZ$11:$AZ$38)&gt;0),$B95,"")</f>
        <v/>
      </c>
      <c r="CS95" s="84" t="str">
        <f t="array" ref="CS95">IF(OR((CS$85&gt;=$AY$11:$AY$38)*(CS$48&lt;=$AZ$11:$AZ$38)&gt;0),$B95,"")</f>
        <v/>
      </c>
      <c r="CT95" s="84" t="str">
        <f t="array" ref="CT95">IF(OR((CT$85&gt;=$AY$11:$AY$38)*(CT$48&lt;=$AZ$11:$AZ$38)&gt;0),$B95,"")</f>
        <v/>
      </c>
      <c r="CU95" s="84" t="str">
        <f t="array" ref="CU95">IF(OR((CU$85&gt;=$AY$11:$AY$38)*(CU$48&lt;=$AZ$11:$AZ$38)&gt;0),$B95,"")</f>
        <v/>
      </c>
      <c r="CV95" s="84" t="str">
        <f t="array" ref="CV95">IF(OR((CV$85&gt;=$AY$11:$AY$38)*(CV$48&lt;=$AZ$11:$AZ$38)&gt;0),$B95,"")</f>
        <v/>
      </c>
      <c r="CW95" s="84" t="str">
        <f t="array" ref="CW95">IF(OR((CW$85&gt;=$AY$11:$AY$38)*(CW$48&lt;=$AZ$11:$AZ$38)&gt;0),$B95,"")</f>
        <v/>
      </c>
      <c r="CX95" s="84" t="str">
        <f t="array" ref="CX95">IF(OR((CX$85&gt;=$AY$11:$AY$38)*(CX$48&lt;=$AZ$11:$AZ$38)&gt;0),$B95,"")</f>
        <v/>
      </c>
      <c r="CY95" s="84" t="str">
        <f t="array" ref="CY95">IF(OR((CY$85&gt;=$AY$11:$AY$38)*(CY$48&lt;=$AZ$11:$AZ$38)&gt;0),$B95,"")</f>
        <v/>
      </c>
      <c r="CZ95" s="84" t="str">
        <f t="array" ref="CZ95">IF(OR((CZ$85&gt;=$AY$11:$AY$38)*(CZ$48&lt;=$AZ$11:$AZ$38)&gt;0),$B95,"")</f>
        <v/>
      </c>
      <c r="DA95" s="84" t="str">
        <f t="array" ref="DA95">IF(OR((DA$85&gt;=$AY$11:$AY$38)*(DA$48&lt;=$AZ$11:$AZ$38)&gt;0),$B95,"")</f>
        <v/>
      </c>
      <c r="DB95" s="84" t="str">
        <f t="array" ref="DB95">IF(OR((DB$85&gt;=$AY$11:$AY$38)*(DB$48&lt;=$AZ$11:$AZ$38)&gt;0),$B95,"")</f>
        <v/>
      </c>
      <c r="DC95" s="84" t="str">
        <f t="array" ref="DC95">IF(OR((DC$85&gt;=$AY$11:$AY$38)*(DC$48&lt;=$AZ$11:$AZ$38)&gt;0),$B95,"")</f>
        <v/>
      </c>
    </row>
    <row r="96" spans="1:107">
      <c r="A96" s="183" t="s">
        <v>197</v>
      </c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  <c r="AA96" s="184"/>
      <c r="AB96" s="184"/>
      <c r="AC96" s="184"/>
      <c r="AD96" s="184"/>
      <c r="AE96" s="184"/>
      <c r="AF96" s="184"/>
      <c r="AG96" s="184"/>
      <c r="AH96" s="184"/>
      <c r="AI96" s="185"/>
      <c r="AK96" s="183" t="s">
        <v>197</v>
      </c>
      <c r="AL96" s="184"/>
      <c r="AM96" s="184"/>
      <c r="AN96" s="184"/>
      <c r="AO96" s="184"/>
      <c r="AP96" s="184"/>
      <c r="AQ96" s="184"/>
      <c r="AR96" s="184"/>
      <c r="AS96" s="184"/>
      <c r="AT96" s="184"/>
      <c r="AU96" s="184"/>
      <c r="AV96" s="184"/>
      <c r="AW96" s="184"/>
      <c r="AX96" s="184"/>
      <c r="AY96" s="184"/>
      <c r="AZ96" s="184"/>
      <c r="BA96" s="184"/>
      <c r="BB96" s="184"/>
      <c r="BC96" s="184"/>
      <c r="BD96" s="184"/>
      <c r="BE96" s="184"/>
      <c r="BF96" s="184"/>
      <c r="BG96" s="184"/>
      <c r="BH96" s="184"/>
      <c r="BI96" s="184"/>
      <c r="BJ96" s="184"/>
      <c r="BK96" s="184"/>
      <c r="BL96" s="184"/>
      <c r="BM96" s="184"/>
      <c r="BN96" s="184"/>
      <c r="BO96" s="184"/>
      <c r="BP96" s="184"/>
      <c r="BQ96" s="184"/>
      <c r="BR96" s="184"/>
      <c r="BS96" s="185"/>
      <c r="BU96" s="183" t="s">
        <v>197</v>
      </c>
      <c r="BV96" s="184"/>
      <c r="BW96" s="184"/>
      <c r="BX96" s="184"/>
      <c r="BY96" s="184"/>
      <c r="BZ96" s="184"/>
      <c r="CA96" s="184"/>
      <c r="CB96" s="184"/>
      <c r="CC96" s="184"/>
      <c r="CD96" s="184"/>
      <c r="CE96" s="184"/>
      <c r="CF96" s="184"/>
      <c r="CG96" s="184"/>
      <c r="CH96" s="184"/>
      <c r="CI96" s="184"/>
      <c r="CJ96" s="184"/>
      <c r="CK96" s="184"/>
      <c r="CL96" s="184"/>
      <c r="CM96" s="184"/>
      <c r="CN96" s="184"/>
      <c r="CO96" s="184"/>
      <c r="CP96" s="184"/>
      <c r="CQ96" s="184"/>
      <c r="CR96" s="184"/>
      <c r="CS96" s="184"/>
      <c r="CT96" s="184"/>
      <c r="CU96" s="184"/>
      <c r="CV96" s="184"/>
      <c r="CW96" s="184"/>
      <c r="CX96" s="184"/>
      <c r="CY96" s="184"/>
      <c r="CZ96" s="184"/>
      <c r="DA96" s="184"/>
      <c r="DB96" s="184"/>
      <c r="DC96" s="185"/>
    </row>
    <row r="97" spans="1:107">
      <c r="A97" s="75" t="s">
        <v>198</v>
      </c>
      <c r="B97" s="16">
        <v>8</v>
      </c>
      <c r="C97" s="84" t="str">
        <f t="array" ref="C97">IF(OR((C$85&gt;=$AY$11:$AY$38)*(C$48&lt;=$AZ$11:$AZ$38)&gt;0),$B97,"")</f>
        <v/>
      </c>
      <c r="D97" s="84" t="str">
        <f t="array" ref="D97">IF(OR((D$85&gt;=$AY$11:$AY$38)*(D$48&lt;=$AZ$11:$AZ$38)&gt;0),$B97,"")</f>
        <v/>
      </c>
      <c r="E97" s="84" t="str">
        <f t="array" ref="E97">IF(OR((E$85&gt;=$AY$11:$AY$38)*(E$48&lt;=$AZ$11:$AZ$38)&gt;0),$B97,"")</f>
        <v/>
      </c>
      <c r="F97" s="84" t="str">
        <f t="array" ref="F97">IF(OR((F$85&gt;=$AY$11:$AY$38)*(F$48&lt;=$AZ$11:$AZ$38)&gt;0),$B97,"")</f>
        <v/>
      </c>
      <c r="G97" s="84" t="str">
        <f t="array" ref="G97">IF(OR((G$85&gt;=$AY$11:$AY$38)*(G$48&lt;=$AZ$11:$AZ$38)&gt;0),$B97,"")</f>
        <v/>
      </c>
      <c r="H97" s="84" t="str">
        <f t="array" ref="H97">IF(OR((H$85&gt;=$AY$11:$AY$38)*(H$48&lt;=$AZ$11:$AZ$38)&gt;0),$B97,"")</f>
        <v/>
      </c>
      <c r="I97" s="84" t="str">
        <f t="array" ref="I97">IF(OR((I$85&gt;=$AY$11:$AY$38)*(I$48&lt;=$AZ$11:$AZ$38)&gt;0),$B97,"")</f>
        <v/>
      </c>
      <c r="J97" s="84" t="str">
        <f t="array" ref="J97">IF(OR((J$85&gt;=$AY$11:$AY$38)*(J$48&lt;=$AZ$11:$AZ$38)&gt;0),$B97,"")</f>
        <v/>
      </c>
      <c r="K97" s="84" t="str">
        <f t="array" ref="K97">IF(OR((K$85&gt;=$AY$11:$AY$38)*(K$48&lt;=$AZ$11:$AZ$38)&gt;0),$B97,"")</f>
        <v/>
      </c>
      <c r="L97" s="84" t="str">
        <f t="array" ref="L97">IF(OR((L$85&gt;=$AY$11:$AY$38)*(L$48&lt;=$AZ$11:$AZ$38)&gt;0),$B97,"")</f>
        <v/>
      </c>
      <c r="M97" s="84" t="str">
        <f t="array" ref="M97">IF(OR((M$85&gt;=$AY$11:$AY$38)*(M$48&lt;=$AZ$11:$AZ$38)&gt;0),$B97,"")</f>
        <v/>
      </c>
      <c r="N97" s="84" t="str">
        <f t="array" ref="N97">IF(OR((N$85&gt;=$AY$11:$AY$38)*(N$48&lt;=$AZ$11:$AZ$38)&gt;0),$B97,"")</f>
        <v/>
      </c>
      <c r="O97" s="84"/>
      <c r="P97" s="84"/>
      <c r="Q97" s="84" t="str">
        <f t="array" ref="Q97">IF(OR((Q$85&gt;=$AY$11:$AY$38)*(Q$48&lt;=$AZ$11:$AZ$38)&gt;0),$B97,"")</f>
        <v/>
      </c>
      <c r="R97" s="84" t="str">
        <f t="array" ref="R97">IF(OR((R$85&gt;=$AY$11:$AY$38)*(R$48&lt;=$AZ$11:$AZ$38)&gt;0),$B97,"")</f>
        <v/>
      </c>
      <c r="S97" s="84" t="str">
        <f t="array" ref="S97">IF(OR((S$85&gt;=$AY$11:$AY$38)*(S$48&lt;=$AZ$11:$AZ$38)&gt;0),$B97,"")</f>
        <v/>
      </c>
      <c r="T97" s="84" t="str">
        <f t="array" ref="T97">IF(OR((T$85&gt;=$AY$11:$AY$38)*(T$48&lt;=$AZ$11:$AZ$38)&gt;0),$B97,"")</f>
        <v/>
      </c>
      <c r="U97" s="84" t="str">
        <f t="array" ref="U97">IF(OR((U$85&gt;=$AY$11:$AY$38)*(U$48&lt;=$AZ$11:$AZ$38)&gt;0),$B97,"")</f>
        <v/>
      </c>
      <c r="V97" s="84" t="str">
        <f t="array" ref="V97">IF(OR((V$85&gt;=$AY$11:$AY$38)*(V$48&lt;=$AZ$11:$AZ$38)&gt;0),$B97,"")</f>
        <v/>
      </c>
      <c r="W97" s="84" t="str">
        <f t="array" ref="W97">IF(OR((W$85&gt;=$AY$11:$AY$38)*(W$48&lt;=$AZ$11:$AZ$38)&gt;0),$B97,"")</f>
        <v/>
      </c>
      <c r="X97" s="84" t="str">
        <f t="array" ref="X97">IF(OR((X$85&gt;=$AY$11:$AY$38)*(X$48&lt;=$AZ$11:$AZ$38)&gt;0),$B97,"")</f>
        <v/>
      </c>
      <c r="Y97" s="84" t="str">
        <f t="array" ref="Y97">IF(OR((Y$85&gt;=$AY$11:$AY$38)*(Y$48&lt;=$AZ$11:$AZ$38)&gt;0),$B97,"")</f>
        <v/>
      </c>
      <c r="Z97" s="84" t="str">
        <f t="array" ref="Z97">IF(OR((Z$85&gt;=$AY$11:$AY$38)*(Z$48&lt;=$AZ$11:$AZ$38)&gt;0),$B97,"")</f>
        <v/>
      </c>
      <c r="AA97" s="84" t="str">
        <f t="array" ref="AA97">IF(OR((AA$85&gt;=$AY$11:$AY$38)*(AA$48&lt;=$AZ$11:$AZ$38)&gt;0),$B97,"")</f>
        <v/>
      </c>
      <c r="AB97" s="84" t="str">
        <f t="array" ref="AB97">IF(OR((AB$85&gt;=$AY$11:$AY$38)*(AB$48&lt;=$AZ$11:$AZ$38)&gt;0),$B97,"")</f>
        <v/>
      </c>
      <c r="AC97" s="84" t="str">
        <f t="array" ref="AC97">IF(OR((AC$85&gt;=$AY$11:$AY$38)*(AC$48&lt;=$AZ$11:$AZ$38)&gt;0),$B97,"")</f>
        <v/>
      </c>
      <c r="AD97" s="84" t="str">
        <f t="array" ref="AD97">IF(OR((AD$85&gt;=$AY$11:$AY$38)*(AD$48&lt;=$AZ$11:$AZ$38)&gt;0),$B97,"")</f>
        <v/>
      </c>
      <c r="AE97" s="84" t="str">
        <f t="array" ref="AE97">IF(OR((AE$85&gt;=$AY$11:$AY$38)*(AE$48&lt;=$AZ$11:$AZ$38)&gt;0),$B97,"")</f>
        <v/>
      </c>
      <c r="AF97" s="84" t="str">
        <f t="array" ref="AF97">IF(OR((AF$85&gt;=$AY$11:$AY$38)*(AF$48&lt;=$AZ$11:$AZ$38)&gt;0),$B97,"")</f>
        <v/>
      </c>
      <c r="AG97" s="84" t="str">
        <f t="array" ref="AG97">IF(OR((AG$85&gt;=$AY$11:$AY$38)*(AG$48&lt;=$AZ$11:$AZ$38)&gt;0),$B97,"")</f>
        <v/>
      </c>
      <c r="AH97" s="84" t="str">
        <f t="array" ref="AH97">IF(OR((AH$85&gt;=$AY$11:$AY$38)*(AH$48&lt;=$AZ$11:$AZ$38)&gt;0),$B97,"")</f>
        <v/>
      </c>
      <c r="AI97" s="84" t="str">
        <f t="array" ref="AI97">IF(OR((AI$85&gt;=$AY$11:$AY$38)*(AI$48&lt;=$AZ$11:$AZ$38)&gt;0),$B97,"")</f>
        <v/>
      </c>
      <c r="AK97" s="75" t="s">
        <v>198</v>
      </c>
      <c r="AL97" s="16">
        <v>8</v>
      </c>
      <c r="AM97" s="84" t="str">
        <f t="array" ref="AM97">IF(OR((AM$85&gt;=$AY$11:$AY$38)*(AM$48&lt;=$AZ$11:$AZ$38)&gt;0),$B97,"")</f>
        <v/>
      </c>
      <c r="AN97" s="84" t="str">
        <f t="array" ref="AN97">IF(OR((AN$85&gt;=$AY$11:$AY$38)*(AN$48&lt;=$AZ$11:$AZ$38)&gt;0),$B97,"")</f>
        <v/>
      </c>
      <c r="AO97" s="84" t="str">
        <f t="array" ref="AO97">IF(OR((AO$85&gt;=$AY$11:$AY$38)*(AO$48&lt;=$AZ$11:$AZ$38)&gt;0),$B97,"")</f>
        <v/>
      </c>
      <c r="AP97" s="84" t="str">
        <f t="array" ref="AP97">IF(OR((AP$85&gt;=$AY$11:$AY$38)*(AP$48&lt;=$AZ$11:$AZ$38)&gt;0),$B97,"")</f>
        <v/>
      </c>
      <c r="AQ97" s="84" t="str">
        <f t="array" ref="AQ97">IF(OR((AQ$85&gt;=$AY$11:$AY$38)*(AQ$48&lt;=$AZ$11:$AZ$38)&gt;0),$B97,"")</f>
        <v/>
      </c>
      <c r="AR97" s="84" t="str">
        <f t="array" ref="AR97">IF(OR((AR$85&gt;=$AY$11:$AY$38)*(AR$48&lt;=$AZ$11:$AZ$38)&gt;0),$B97,"")</f>
        <v/>
      </c>
      <c r="AS97" s="84" t="str">
        <f t="array" ref="AS97">IF(OR((AS$85&gt;=$AY$11:$AY$38)*(AS$48&lt;=$AZ$11:$AZ$38)&gt;0),$B97,"")</f>
        <v/>
      </c>
      <c r="AT97" s="84" t="str">
        <f t="array" ref="AT97">IF(OR((AT$85&gt;=$AY$11:$AY$38)*(AT$48&lt;=$AZ$11:$AZ$38)&gt;0),$B97,"")</f>
        <v/>
      </c>
      <c r="AU97" s="84" t="str">
        <f t="array" ref="AU97">IF(OR((AU$85&gt;=$AY$11:$AY$38)*(AU$48&lt;=$AZ$11:$AZ$38)&gt;0),$B97,"")</f>
        <v/>
      </c>
      <c r="AV97" s="84" t="str">
        <f t="array" ref="AV97">IF(OR((AV$85&gt;=$AY$11:$AY$38)*(AV$48&lt;=$AZ$11:$AZ$38)&gt;0),$B97,"")</f>
        <v/>
      </c>
      <c r="AW97" s="84" t="str">
        <f t="array" ref="AW97">IF(OR((AW$85&gt;=$AY$11:$AY$38)*(AW$48&lt;=$AZ$11:$AZ$38)&gt;0),$B97,"")</f>
        <v/>
      </c>
      <c r="AX97" s="84" t="str">
        <f t="array" ref="AX97">IF(OR((AX$85&gt;=$AY$11:$AY$38)*(AX$48&lt;=$AZ$11:$AZ$38)&gt;0),$B97,"")</f>
        <v/>
      </c>
      <c r="AY97" s="84"/>
      <c r="AZ97" s="84"/>
      <c r="BA97" s="84" t="str">
        <f t="array" ref="BA97">IF(OR((BA$85&gt;=$AY$11:$AY$38)*(BA$48&lt;=$AZ$11:$AZ$38)&gt;0),$B97,"")</f>
        <v/>
      </c>
      <c r="BB97" s="84" t="str">
        <f t="array" ref="BB97">IF(OR((BB$85&gt;=$AY$11:$AY$38)*(BB$48&lt;=$AZ$11:$AZ$38)&gt;0),$B97,"")</f>
        <v/>
      </c>
      <c r="BC97" s="84" t="str">
        <f t="array" ref="BC97">IF(OR((BC$85&gt;=$AY$11:$AY$38)*(BC$48&lt;=$AZ$11:$AZ$38)&gt;0),$B97,"")</f>
        <v/>
      </c>
      <c r="BD97" s="84" t="str">
        <f t="array" ref="BD97">IF(OR((BD$85&gt;=$AY$11:$AY$38)*(BD$48&lt;=$AZ$11:$AZ$38)&gt;0),$B97,"")</f>
        <v/>
      </c>
      <c r="BE97" s="84" t="str">
        <f t="array" ref="BE97">IF(OR((BE$85&gt;=$AY$11:$AY$38)*(BE$48&lt;=$AZ$11:$AZ$38)&gt;0),$B97,"")</f>
        <v/>
      </c>
      <c r="BF97" s="84" t="str">
        <f t="array" ref="BF97">IF(OR((BF$85&gt;=$AY$11:$AY$38)*(BF$48&lt;=$AZ$11:$AZ$38)&gt;0),$B97,"")</f>
        <v/>
      </c>
      <c r="BG97" s="84" t="str">
        <f t="array" ref="BG97">IF(OR((BG$85&gt;=$AY$11:$AY$38)*(BG$48&lt;=$AZ$11:$AZ$38)&gt;0),$B97,"")</f>
        <v/>
      </c>
      <c r="BH97" s="84" t="str">
        <f t="array" ref="BH97">IF(OR((BH$85&gt;=$AY$11:$AY$38)*(BH$48&lt;=$AZ$11:$AZ$38)&gt;0),$B97,"")</f>
        <v/>
      </c>
      <c r="BI97" s="84" t="str">
        <f t="array" ref="BI97">IF(OR((BI$85&gt;=$AY$11:$AY$38)*(BI$48&lt;=$AZ$11:$AZ$38)&gt;0),$B97,"")</f>
        <v/>
      </c>
      <c r="BJ97" s="84" t="str">
        <f t="array" ref="BJ97">IF(OR((BJ$85&gt;=$AY$11:$AY$38)*(BJ$48&lt;=$AZ$11:$AZ$38)&gt;0),$B97,"")</f>
        <v/>
      </c>
      <c r="BK97" s="84" t="str">
        <f t="array" ref="BK97">IF(OR((BK$85&gt;=$AY$11:$AY$38)*(BK$48&lt;=$AZ$11:$AZ$38)&gt;0),$B97,"")</f>
        <v/>
      </c>
      <c r="BL97" s="84" t="str">
        <f t="array" ref="BL97">IF(OR((BL$85&gt;=$AY$11:$AY$38)*(BL$48&lt;=$AZ$11:$AZ$38)&gt;0),$B97,"")</f>
        <v/>
      </c>
      <c r="BM97" s="84" t="str">
        <f t="array" ref="BM97">IF(OR((BM$85&gt;=$AY$11:$AY$38)*(BM$48&lt;=$AZ$11:$AZ$38)&gt;0),$B97,"")</f>
        <v/>
      </c>
      <c r="BN97" s="84" t="str">
        <f t="array" ref="BN97">IF(OR((BN$85&gt;=$AY$11:$AY$38)*(BN$48&lt;=$AZ$11:$AZ$38)&gt;0),$B97,"")</f>
        <v/>
      </c>
      <c r="BO97" s="84" t="str">
        <f t="array" ref="BO97">IF(OR((BO$85&gt;=$AY$11:$AY$38)*(BO$48&lt;=$AZ$11:$AZ$38)&gt;0),$B97,"")</f>
        <v/>
      </c>
      <c r="BP97" s="84" t="str">
        <f t="array" ref="BP97">IF(OR((BP$85&gt;=$AY$11:$AY$38)*(BP$48&lt;=$AZ$11:$AZ$38)&gt;0),$B97,"")</f>
        <v/>
      </c>
      <c r="BQ97" s="84" t="str">
        <f t="array" ref="BQ97">IF(OR((BQ$85&gt;=$AY$11:$AY$38)*(BQ$48&lt;=$AZ$11:$AZ$38)&gt;0),$B97,"")</f>
        <v/>
      </c>
      <c r="BR97" s="84" t="str">
        <f t="array" ref="BR97">IF(OR((BR$85&gt;=$AY$11:$AY$38)*(BR$48&lt;=$AZ$11:$AZ$38)&gt;0),$B97,"")</f>
        <v/>
      </c>
      <c r="BS97" s="84" t="str">
        <f t="array" ref="BS97">IF(OR((BS$85&gt;=$AY$11:$AY$38)*(BS$48&lt;=$AZ$11:$AZ$38)&gt;0),$B97,"")</f>
        <v/>
      </c>
      <c r="BU97" s="75" t="s">
        <v>198</v>
      </c>
      <c r="BV97" s="16">
        <v>8</v>
      </c>
      <c r="BW97" s="84" t="str">
        <f t="array" ref="BW97">IF(OR((BW$85&gt;=$AY$11:$AY$38)*(BW$48&lt;=$AZ$11:$AZ$38)&gt;0),$B97,"")</f>
        <v/>
      </c>
      <c r="BX97" s="84" t="str">
        <f t="array" ref="BX97">IF(OR((BX$85&gt;=$AY$11:$AY$38)*(BX$48&lt;=$AZ$11:$AZ$38)&gt;0),$B97,"")</f>
        <v/>
      </c>
      <c r="BY97" s="84" t="str">
        <f t="array" ref="BY97">IF(OR((BY$85&gt;=$AY$11:$AY$38)*(BY$48&lt;=$AZ$11:$AZ$38)&gt;0),$B97,"")</f>
        <v/>
      </c>
      <c r="BZ97" s="84" t="str">
        <f t="array" ref="BZ97">IF(OR((BZ$85&gt;=$AY$11:$AY$38)*(BZ$48&lt;=$AZ$11:$AZ$38)&gt;0),$B97,"")</f>
        <v/>
      </c>
      <c r="CA97" s="84" t="str">
        <f t="array" ref="CA97">IF(OR((CA$85&gt;=$AY$11:$AY$38)*(CA$48&lt;=$AZ$11:$AZ$38)&gt;0),$B97,"")</f>
        <v/>
      </c>
      <c r="CB97" s="84" t="str">
        <f t="array" ref="CB97">IF(OR((CB$85&gt;=$AY$11:$AY$38)*(CB$48&lt;=$AZ$11:$AZ$38)&gt;0),$B97,"")</f>
        <v/>
      </c>
      <c r="CC97" s="84" t="str">
        <f t="array" ref="CC97">IF(OR((CC$85&gt;=$AY$11:$AY$38)*(CC$48&lt;=$AZ$11:$AZ$38)&gt;0),$B97,"")</f>
        <v/>
      </c>
      <c r="CD97" s="84" t="str">
        <f t="array" ref="CD97">IF(OR((CD$85&gt;=$AY$11:$AY$38)*(CD$48&lt;=$AZ$11:$AZ$38)&gt;0),$B97,"")</f>
        <v/>
      </c>
      <c r="CE97" s="84" t="str">
        <f t="array" ref="CE97">IF(OR((CE$85&gt;=$AY$11:$AY$38)*(CE$48&lt;=$AZ$11:$AZ$38)&gt;0),$B97,"")</f>
        <v/>
      </c>
      <c r="CF97" s="84" t="str">
        <f t="array" ref="CF97">IF(OR((CF$85&gt;=$AY$11:$AY$38)*(CF$48&lt;=$AZ$11:$AZ$38)&gt;0),$B97,"")</f>
        <v/>
      </c>
      <c r="CG97" s="84" t="str">
        <f t="array" ref="CG97">IF(OR((CG$85&gt;=$AY$11:$AY$38)*(CG$48&lt;=$AZ$11:$AZ$38)&gt;0),$B97,"")</f>
        <v/>
      </c>
      <c r="CH97" s="84" t="str">
        <f t="array" ref="CH97">IF(OR((CH$85&gt;=$AY$11:$AY$38)*(CH$48&lt;=$AZ$11:$AZ$38)&gt;0),$B97,"")</f>
        <v/>
      </c>
      <c r="CI97" s="84"/>
      <c r="CJ97" s="84"/>
      <c r="CK97" s="84" t="str">
        <f t="array" ref="CK97">IF(OR((CK$85&gt;=$AY$11:$AY$38)*(CK$48&lt;=$AZ$11:$AZ$38)&gt;0),$B97,"")</f>
        <v/>
      </c>
      <c r="CL97" s="84" t="str">
        <f t="array" ref="CL97">IF(OR((CL$85&gt;=$AY$11:$AY$38)*(CL$48&lt;=$AZ$11:$AZ$38)&gt;0),$B97,"")</f>
        <v/>
      </c>
      <c r="CM97" s="84" t="str">
        <f t="array" ref="CM97">IF(OR((CM$85&gt;=$AY$11:$AY$38)*(CM$48&lt;=$AZ$11:$AZ$38)&gt;0),$B97,"")</f>
        <v/>
      </c>
      <c r="CN97" s="84" t="str">
        <f t="array" ref="CN97">IF(OR((CN$85&gt;=$AY$11:$AY$38)*(CN$48&lt;=$AZ$11:$AZ$38)&gt;0),$B97,"")</f>
        <v/>
      </c>
      <c r="CO97" s="84" t="str">
        <f t="array" ref="CO97">IF(OR((CO$85&gt;=$AY$11:$AY$38)*(CO$48&lt;=$AZ$11:$AZ$38)&gt;0),$B97,"")</f>
        <v/>
      </c>
      <c r="CP97" s="84" t="str">
        <f t="array" ref="CP97">IF(OR((CP$85&gt;=$AY$11:$AY$38)*(CP$48&lt;=$AZ$11:$AZ$38)&gt;0),$B97,"")</f>
        <v/>
      </c>
      <c r="CQ97" s="84" t="str">
        <f t="array" ref="CQ97">IF(OR((CQ$85&gt;=$AY$11:$AY$38)*(CQ$48&lt;=$AZ$11:$AZ$38)&gt;0),$B97,"")</f>
        <v/>
      </c>
      <c r="CR97" s="84" t="str">
        <f t="array" ref="CR97">IF(OR((CR$85&gt;=$AY$11:$AY$38)*(CR$48&lt;=$AZ$11:$AZ$38)&gt;0),$B97,"")</f>
        <v/>
      </c>
      <c r="CS97" s="84" t="str">
        <f t="array" ref="CS97">IF(OR((CS$85&gt;=$AY$11:$AY$38)*(CS$48&lt;=$AZ$11:$AZ$38)&gt;0),$B97,"")</f>
        <v/>
      </c>
      <c r="CT97" s="84" t="str">
        <f t="array" ref="CT97">IF(OR((CT$85&gt;=$AY$11:$AY$38)*(CT$48&lt;=$AZ$11:$AZ$38)&gt;0),$B97,"")</f>
        <v/>
      </c>
      <c r="CU97" s="84" t="str">
        <f t="array" ref="CU97">IF(OR((CU$85&gt;=$AY$11:$AY$38)*(CU$48&lt;=$AZ$11:$AZ$38)&gt;0),$B97,"")</f>
        <v/>
      </c>
      <c r="CV97" s="84" t="str">
        <f t="array" ref="CV97">IF(OR((CV$85&gt;=$AY$11:$AY$38)*(CV$48&lt;=$AZ$11:$AZ$38)&gt;0),$B97,"")</f>
        <v/>
      </c>
      <c r="CW97" s="84" t="str">
        <f t="array" ref="CW97">IF(OR((CW$85&gt;=$AY$11:$AY$38)*(CW$48&lt;=$AZ$11:$AZ$38)&gt;0),$B97,"")</f>
        <v/>
      </c>
      <c r="CX97" s="84" t="str">
        <f t="array" ref="CX97">IF(OR((CX$85&gt;=$AY$11:$AY$38)*(CX$48&lt;=$AZ$11:$AZ$38)&gt;0),$B97,"")</f>
        <v/>
      </c>
      <c r="CY97" s="84" t="str">
        <f t="array" ref="CY97">IF(OR((CY$85&gt;=$AY$11:$AY$38)*(CY$48&lt;=$AZ$11:$AZ$38)&gt;0),$B97,"")</f>
        <v/>
      </c>
      <c r="CZ97" s="84" t="str">
        <f t="array" ref="CZ97">IF(OR((CZ$85&gt;=$AY$11:$AY$38)*(CZ$48&lt;=$AZ$11:$AZ$38)&gt;0),$B97,"")</f>
        <v/>
      </c>
      <c r="DA97" s="84" t="str">
        <f t="array" ref="DA97">IF(OR((DA$85&gt;=$AY$11:$AY$38)*(DA$48&lt;=$AZ$11:$AZ$38)&gt;0),$B97,"")</f>
        <v/>
      </c>
      <c r="DB97" s="84" t="str">
        <f t="array" ref="DB97">IF(OR((DB$85&gt;=$AY$11:$AY$38)*(DB$48&lt;=$AZ$11:$AZ$38)&gt;0),$B97,"")</f>
        <v/>
      </c>
      <c r="DC97" s="84" t="str">
        <f t="array" ref="DC97">IF(OR((DC$85&gt;=$AY$11:$AY$38)*(DC$48&lt;=$AZ$11:$AZ$38)&gt;0),$B97,"")</f>
        <v/>
      </c>
    </row>
    <row r="98" spans="1:107">
      <c r="A98" s="75" t="s">
        <v>199</v>
      </c>
      <c r="B98" s="16">
        <v>8</v>
      </c>
      <c r="C98" s="84" t="str">
        <f t="array" ref="C98">IF(OR((C$85&gt;=$AY$11:$AY$38)*(C$48&lt;=$AZ$11:$AZ$38)&gt;0),$B98,"")</f>
        <v/>
      </c>
      <c r="D98" s="84" t="str">
        <f t="array" ref="D98">IF(OR((D$85&gt;=$AY$11:$AY$38)*(D$48&lt;=$AZ$11:$AZ$38)&gt;0),$B98,"")</f>
        <v/>
      </c>
      <c r="E98" s="84" t="str">
        <f t="array" ref="E98">IF(OR((E$85&gt;=$AY$11:$AY$38)*(E$48&lt;=$AZ$11:$AZ$38)&gt;0),$B98,"")</f>
        <v/>
      </c>
      <c r="F98" s="84" t="str">
        <f t="array" ref="F98">IF(OR((F$85&gt;=$AY$11:$AY$38)*(F$48&lt;=$AZ$11:$AZ$38)&gt;0),$B98,"")</f>
        <v/>
      </c>
      <c r="G98" s="84" t="str">
        <f t="array" ref="G98">IF(OR((G$85&gt;=$AY$11:$AY$38)*(G$48&lt;=$AZ$11:$AZ$38)&gt;0),$B98,"")</f>
        <v/>
      </c>
      <c r="H98" s="84" t="str">
        <f t="array" ref="H98">IF(OR((H$85&gt;=$AY$11:$AY$38)*(H$48&lt;=$AZ$11:$AZ$38)&gt;0),$B98,"")</f>
        <v/>
      </c>
      <c r="I98" s="84" t="str">
        <f t="array" ref="I98">IF(OR((I$85&gt;=$AY$11:$AY$38)*(I$48&lt;=$AZ$11:$AZ$38)&gt;0),$B98,"")</f>
        <v/>
      </c>
      <c r="J98" s="84" t="str">
        <f t="array" ref="J98">IF(OR((J$85&gt;=$AY$11:$AY$38)*(J$48&lt;=$AZ$11:$AZ$38)&gt;0),$B98,"")</f>
        <v/>
      </c>
      <c r="K98" s="84" t="str">
        <f t="array" ref="K98">IF(OR((K$85&gt;=$AY$11:$AY$38)*(K$48&lt;=$AZ$11:$AZ$38)&gt;0),$B98,"")</f>
        <v/>
      </c>
      <c r="L98" s="84" t="str">
        <f t="array" ref="L98">IF(OR((L$85&gt;=$AY$11:$AY$38)*(L$48&lt;=$AZ$11:$AZ$38)&gt;0),$B98,"")</f>
        <v/>
      </c>
      <c r="M98" s="84" t="str">
        <f t="array" ref="M98">IF(OR((M$85&gt;=$AY$11:$AY$38)*(M$48&lt;=$AZ$11:$AZ$38)&gt;0),$B98,"")</f>
        <v/>
      </c>
      <c r="N98" s="84" t="str">
        <f t="array" ref="N98">IF(OR((N$85&gt;=$AY$11:$AY$38)*(N$48&lt;=$AZ$11:$AZ$38)&gt;0),$B98,"")</f>
        <v/>
      </c>
      <c r="O98" s="84"/>
      <c r="P98" s="84"/>
      <c r="Q98" s="84" t="str">
        <f t="array" ref="Q98">IF(OR((Q$85&gt;=$AY$11:$AY$38)*(Q$48&lt;=$AZ$11:$AZ$38)&gt;0),$B98,"")</f>
        <v/>
      </c>
      <c r="R98" s="84" t="str">
        <f t="array" ref="R98">IF(OR((R$85&gt;=$AY$11:$AY$38)*(R$48&lt;=$AZ$11:$AZ$38)&gt;0),$B98,"")</f>
        <v/>
      </c>
      <c r="S98" s="84" t="str">
        <f t="array" ref="S98">IF(OR((S$85&gt;=$AY$11:$AY$38)*(S$48&lt;=$AZ$11:$AZ$38)&gt;0),$B98,"")</f>
        <v/>
      </c>
      <c r="T98" s="84" t="str">
        <f t="array" ref="T98">IF(OR((T$85&gt;=$AY$11:$AY$38)*(T$48&lt;=$AZ$11:$AZ$38)&gt;0),$B98,"")</f>
        <v/>
      </c>
      <c r="U98" s="84" t="str">
        <f t="array" ref="U98">IF(OR((U$85&gt;=$AY$11:$AY$38)*(U$48&lt;=$AZ$11:$AZ$38)&gt;0),$B98,"")</f>
        <v/>
      </c>
      <c r="V98" s="84" t="str">
        <f t="array" ref="V98">IF(OR((V$85&gt;=$AY$11:$AY$38)*(V$48&lt;=$AZ$11:$AZ$38)&gt;0),$B98,"")</f>
        <v/>
      </c>
      <c r="W98" s="84" t="str">
        <f t="array" ref="W98">IF(OR((W$85&gt;=$AY$11:$AY$38)*(W$48&lt;=$AZ$11:$AZ$38)&gt;0),$B98,"")</f>
        <v/>
      </c>
      <c r="X98" s="84" t="str">
        <f t="array" ref="X98">IF(OR((X$85&gt;=$AY$11:$AY$38)*(X$48&lt;=$AZ$11:$AZ$38)&gt;0),$B98,"")</f>
        <v/>
      </c>
      <c r="Y98" s="84" t="str">
        <f t="array" ref="Y98">IF(OR((Y$85&gt;=$AY$11:$AY$38)*(Y$48&lt;=$AZ$11:$AZ$38)&gt;0),$B98,"")</f>
        <v/>
      </c>
      <c r="Z98" s="84" t="str">
        <f t="array" ref="Z98">IF(OR((Z$85&gt;=$AY$11:$AY$38)*(Z$48&lt;=$AZ$11:$AZ$38)&gt;0),$B98,"")</f>
        <v/>
      </c>
      <c r="AA98" s="84" t="str">
        <f t="array" ref="AA98">IF(OR((AA$85&gt;=$AY$11:$AY$38)*(AA$48&lt;=$AZ$11:$AZ$38)&gt;0),$B98,"")</f>
        <v/>
      </c>
      <c r="AB98" s="84" t="str">
        <f t="array" ref="AB98">IF(OR((AB$85&gt;=$AY$11:$AY$38)*(AB$48&lt;=$AZ$11:$AZ$38)&gt;0),$B98,"")</f>
        <v/>
      </c>
      <c r="AC98" s="84" t="str">
        <f t="array" ref="AC98">IF(OR((AC$85&gt;=$AY$11:$AY$38)*(AC$48&lt;=$AZ$11:$AZ$38)&gt;0),$B98,"")</f>
        <v/>
      </c>
      <c r="AD98" s="84" t="str">
        <f t="array" ref="AD98">IF(OR((AD$85&gt;=$AY$11:$AY$38)*(AD$48&lt;=$AZ$11:$AZ$38)&gt;0),$B98,"")</f>
        <v/>
      </c>
      <c r="AE98" s="84" t="str">
        <f t="array" ref="AE98">IF(OR((AE$85&gt;=$AY$11:$AY$38)*(AE$48&lt;=$AZ$11:$AZ$38)&gt;0),$B98,"")</f>
        <v/>
      </c>
      <c r="AF98" s="84" t="str">
        <f t="array" ref="AF98">IF(OR((AF$85&gt;=$AY$11:$AY$38)*(AF$48&lt;=$AZ$11:$AZ$38)&gt;0),$B98,"")</f>
        <v/>
      </c>
      <c r="AG98" s="84" t="str">
        <f t="array" ref="AG98">IF(OR((AG$85&gt;=$AY$11:$AY$38)*(AG$48&lt;=$AZ$11:$AZ$38)&gt;0),$B98,"")</f>
        <v/>
      </c>
      <c r="AH98" s="84" t="str">
        <f t="array" ref="AH98">IF(OR((AH$85&gt;=$AY$11:$AY$38)*(AH$48&lt;=$AZ$11:$AZ$38)&gt;0),$B98,"")</f>
        <v/>
      </c>
      <c r="AI98" s="84" t="str">
        <f t="array" ref="AI98">IF(OR((AI$85&gt;=$AY$11:$AY$38)*(AI$48&lt;=$AZ$11:$AZ$38)&gt;0),$B98,"")</f>
        <v/>
      </c>
      <c r="AK98" s="75" t="s">
        <v>199</v>
      </c>
      <c r="AL98" s="16">
        <v>8</v>
      </c>
      <c r="AM98" s="84" t="str">
        <f t="array" ref="AM98">IF(OR((AM$85&gt;=$AY$11:$AY$38)*(AM$48&lt;=$AZ$11:$AZ$38)&gt;0),$B98,"")</f>
        <v/>
      </c>
      <c r="AN98" s="84" t="str">
        <f t="array" ref="AN98">IF(OR((AN$85&gt;=$AY$11:$AY$38)*(AN$48&lt;=$AZ$11:$AZ$38)&gt;0),$B98,"")</f>
        <v/>
      </c>
      <c r="AO98" s="84" t="str">
        <f t="array" ref="AO98">IF(OR((AO$85&gt;=$AY$11:$AY$38)*(AO$48&lt;=$AZ$11:$AZ$38)&gt;0),$B98,"")</f>
        <v/>
      </c>
      <c r="AP98" s="84" t="str">
        <f t="array" ref="AP98">IF(OR((AP$85&gt;=$AY$11:$AY$38)*(AP$48&lt;=$AZ$11:$AZ$38)&gt;0),$B98,"")</f>
        <v/>
      </c>
      <c r="AQ98" s="84" t="str">
        <f t="array" ref="AQ98">IF(OR((AQ$85&gt;=$AY$11:$AY$38)*(AQ$48&lt;=$AZ$11:$AZ$38)&gt;0),$B98,"")</f>
        <v/>
      </c>
      <c r="AR98" s="84" t="str">
        <f t="array" ref="AR98">IF(OR((AR$85&gt;=$AY$11:$AY$38)*(AR$48&lt;=$AZ$11:$AZ$38)&gt;0),$B98,"")</f>
        <v/>
      </c>
      <c r="AS98" s="84" t="str">
        <f t="array" ref="AS98">IF(OR((AS$85&gt;=$AY$11:$AY$38)*(AS$48&lt;=$AZ$11:$AZ$38)&gt;0),$B98,"")</f>
        <v/>
      </c>
      <c r="AT98" s="84" t="str">
        <f t="array" ref="AT98">IF(OR((AT$85&gt;=$AY$11:$AY$38)*(AT$48&lt;=$AZ$11:$AZ$38)&gt;0),$B98,"")</f>
        <v/>
      </c>
      <c r="AU98" s="84" t="str">
        <f t="array" ref="AU98">IF(OR((AU$85&gt;=$AY$11:$AY$38)*(AU$48&lt;=$AZ$11:$AZ$38)&gt;0),$B98,"")</f>
        <v/>
      </c>
      <c r="AV98" s="84" t="str">
        <f t="array" ref="AV98">IF(OR((AV$85&gt;=$AY$11:$AY$38)*(AV$48&lt;=$AZ$11:$AZ$38)&gt;0),$B98,"")</f>
        <v/>
      </c>
      <c r="AW98" s="84" t="str">
        <f t="array" ref="AW98">IF(OR((AW$85&gt;=$AY$11:$AY$38)*(AW$48&lt;=$AZ$11:$AZ$38)&gt;0),$B98,"")</f>
        <v/>
      </c>
      <c r="AX98" s="84" t="str">
        <f t="array" ref="AX98">IF(OR((AX$85&gt;=$AY$11:$AY$38)*(AX$48&lt;=$AZ$11:$AZ$38)&gt;0),$B98,"")</f>
        <v/>
      </c>
      <c r="AY98" s="84"/>
      <c r="AZ98" s="84"/>
      <c r="BA98" s="84" t="str">
        <f t="array" ref="BA98">IF(OR((BA$85&gt;=$AY$11:$AY$38)*(BA$48&lt;=$AZ$11:$AZ$38)&gt;0),$B98,"")</f>
        <v/>
      </c>
      <c r="BB98" s="84" t="str">
        <f t="array" ref="BB98">IF(OR((BB$85&gt;=$AY$11:$AY$38)*(BB$48&lt;=$AZ$11:$AZ$38)&gt;0),$B98,"")</f>
        <v/>
      </c>
      <c r="BC98" s="84" t="str">
        <f t="array" ref="BC98">IF(OR((BC$85&gt;=$AY$11:$AY$38)*(BC$48&lt;=$AZ$11:$AZ$38)&gt;0),$B98,"")</f>
        <v/>
      </c>
      <c r="BD98" s="84" t="str">
        <f t="array" ref="BD98">IF(OR((BD$85&gt;=$AY$11:$AY$38)*(BD$48&lt;=$AZ$11:$AZ$38)&gt;0),$B98,"")</f>
        <v/>
      </c>
      <c r="BE98" s="84" t="str">
        <f t="array" ref="BE98">IF(OR((BE$85&gt;=$AY$11:$AY$38)*(BE$48&lt;=$AZ$11:$AZ$38)&gt;0),$B98,"")</f>
        <v/>
      </c>
      <c r="BF98" s="84" t="str">
        <f t="array" ref="BF98">IF(OR((BF$85&gt;=$AY$11:$AY$38)*(BF$48&lt;=$AZ$11:$AZ$38)&gt;0),$B98,"")</f>
        <v/>
      </c>
      <c r="BG98" s="84" t="str">
        <f t="array" ref="BG98">IF(OR((BG$85&gt;=$AY$11:$AY$38)*(BG$48&lt;=$AZ$11:$AZ$38)&gt;0),$B98,"")</f>
        <v/>
      </c>
      <c r="BH98" s="84" t="str">
        <f t="array" ref="BH98">IF(OR((BH$85&gt;=$AY$11:$AY$38)*(BH$48&lt;=$AZ$11:$AZ$38)&gt;0),$B98,"")</f>
        <v/>
      </c>
      <c r="BI98" s="84" t="str">
        <f t="array" ref="BI98">IF(OR((BI$85&gt;=$AY$11:$AY$38)*(BI$48&lt;=$AZ$11:$AZ$38)&gt;0),$B98,"")</f>
        <v/>
      </c>
      <c r="BJ98" s="84" t="str">
        <f t="array" ref="BJ98">IF(OR((BJ$85&gt;=$AY$11:$AY$38)*(BJ$48&lt;=$AZ$11:$AZ$38)&gt;0),$B98,"")</f>
        <v/>
      </c>
      <c r="BK98" s="84" t="str">
        <f t="array" ref="BK98">IF(OR((BK$85&gt;=$AY$11:$AY$38)*(BK$48&lt;=$AZ$11:$AZ$38)&gt;0),$B98,"")</f>
        <v/>
      </c>
      <c r="BL98" s="84" t="str">
        <f t="array" ref="BL98">IF(OR((BL$85&gt;=$AY$11:$AY$38)*(BL$48&lt;=$AZ$11:$AZ$38)&gt;0),$B98,"")</f>
        <v/>
      </c>
      <c r="BM98" s="84" t="str">
        <f t="array" ref="BM98">IF(OR((BM$85&gt;=$AY$11:$AY$38)*(BM$48&lt;=$AZ$11:$AZ$38)&gt;0),$B98,"")</f>
        <v/>
      </c>
      <c r="BN98" s="84" t="str">
        <f t="array" ref="BN98">IF(OR((BN$85&gt;=$AY$11:$AY$38)*(BN$48&lt;=$AZ$11:$AZ$38)&gt;0),$B98,"")</f>
        <v/>
      </c>
      <c r="BO98" s="84" t="str">
        <f t="array" ref="BO98">IF(OR((BO$85&gt;=$AY$11:$AY$38)*(BO$48&lt;=$AZ$11:$AZ$38)&gt;0),$B98,"")</f>
        <v/>
      </c>
      <c r="BP98" s="84" t="str">
        <f t="array" ref="BP98">IF(OR((BP$85&gt;=$AY$11:$AY$38)*(BP$48&lt;=$AZ$11:$AZ$38)&gt;0),$B98,"")</f>
        <v/>
      </c>
      <c r="BQ98" s="84" t="str">
        <f t="array" ref="BQ98">IF(OR((BQ$85&gt;=$AY$11:$AY$38)*(BQ$48&lt;=$AZ$11:$AZ$38)&gt;0),$B98,"")</f>
        <v/>
      </c>
      <c r="BR98" s="84" t="str">
        <f t="array" ref="BR98">IF(OR((BR$85&gt;=$AY$11:$AY$38)*(BR$48&lt;=$AZ$11:$AZ$38)&gt;0),$B98,"")</f>
        <v/>
      </c>
      <c r="BS98" s="84" t="str">
        <f t="array" ref="BS98">IF(OR((BS$85&gt;=$AY$11:$AY$38)*(BS$48&lt;=$AZ$11:$AZ$38)&gt;0),$B98,"")</f>
        <v/>
      </c>
      <c r="BU98" s="75" t="s">
        <v>199</v>
      </c>
      <c r="BV98" s="16">
        <v>8</v>
      </c>
      <c r="BW98" s="84" t="str">
        <f t="array" ref="BW98">IF(OR((BW$85&gt;=$AY$11:$AY$38)*(BW$48&lt;=$AZ$11:$AZ$38)&gt;0),$B98,"")</f>
        <v/>
      </c>
      <c r="BX98" s="84" t="str">
        <f t="array" ref="BX98">IF(OR((BX$85&gt;=$AY$11:$AY$38)*(BX$48&lt;=$AZ$11:$AZ$38)&gt;0),$B98,"")</f>
        <v/>
      </c>
      <c r="BY98" s="84" t="str">
        <f t="array" ref="BY98">IF(OR((BY$85&gt;=$AY$11:$AY$38)*(BY$48&lt;=$AZ$11:$AZ$38)&gt;0),$B98,"")</f>
        <v/>
      </c>
      <c r="BZ98" s="84" t="str">
        <f t="array" ref="BZ98">IF(OR((BZ$85&gt;=$AY$11:$AY$38)*(BZ$48&lt;=$AZ$11:$AZ$38)&gt;0),$B98,"")</f>
        <v/>
      </c>
      <c r="CA98" s="84" t="str">
        <f t="array" ref="CA98">IF(OR((CA$85&gt;=$AY$11:$AY$38)*(CA$48&lt;=$AZ$11:$AZ$38)&gt;0),$B98,"")</f>
        <v/>
      </c>
      <c r="CB98" s="84" t="str">
        <f t="array" ref="CB98">IF(OR((CB$85&gt;=$AY$11:$AY$38)*(CB$48&lt;=$AZ$11:$AZ$38)&gt;0),$B98,"")</f>
        <v/>
      </c>
      <c r="CC98" s="84" t="str">
        <f t="array" ref="CC98">IF(OR((CC$85&gt;=$AY$11:$AY$38)*(CC$48&lt;=$AZ$11:$AZ$38)&gt;0),$B98,"")</f>
        <v/>
      </c>
      <c r="CD98" s="84" t="str">
        <f t="array" ref="CD98">IF(OR((CD$85&gt;=$AY$11:$AY$38)*(CD$48&lt;=$AZ$11:$AZ$38)&gt;0),$B98,"")</f>
        <v/>
      </c>
      <c r="CE98" s="84" t="str">
        <f t="array" ref="CE98">IF(OR((CE$85&gt;=$AY$11:$AY$38)*(CE$48&lt;=$AZ$11:$AZ$38)&gt;0),$B98,"")</f>
        <v/>
      </c>
      <c r="CF98" s="84" t="str">
        <f t="array" ref="CF98">IF(OR((CF$85&gt;=$AY$11:$AY$38)*(CF$48&lt;=$AZ$11:$AZ$38)&gt;0),$B98,"")</f>
        <v/>
      </c>
      <c r="CG98" s="84" t="str">
        <f t="array" ref="CG98">IF(OR((CG$85&gt;=$AY$11:$AY$38)*(CG$48&lt;=$AZ$11:$AZ$38)&gt;0),$B98,"")</f>
        <v/>
      </c>
      <c r="CH98" s="84" t="str">
        <f t="array" ref="CH98">IF(OR((CH$85&gt;=$AY$11:$AY$38)*(CH$48&lt;=$AZ$11:$AZ$38)&gt;0),$B98,"")</f>
        <v/>
      </c>
      <c r="CI98" s="84"/>
      <c r="CJ98" s="84"/>
      <c r="CK98" s="84" t="str">
        <f t="array" ref="CK98">IF(OR((CK$85&gt;=$AY$11:$AY$38)*(CK$48&lt;=$AZ$11:$AZ$38)&gt;0),$B98,"")</f>
        <v/>
      </c>
      <c r="CL98" s="84" t="str">
        <f t="array" ref="CL98">IF(OR((CL$85&gt;=$AY$11:$AY$38)*(CL$48&lt;=$AZ$11:$AZ$38)&gt;0),$B98,"")</f>
        <v/>
      </c>
      <c r="CM98" s="84" t="str">
        <f t="array" ref="CM98">IF(OR((CM$85&gt;=$AY$11:$AY$38)*(CM$48&lt;=$AZ$11:$AZ$38)&gt;0),$B98,"")</f>
        <v/>
      </c>
      <c r="CN98" s="84" t="str">
        <f t="array" ref="CN98">IF(OR((CN$85&gt;=$AY$11:$AY$38)*(CN$48&lt;=$AZ$11:$AZ$38)&gt;0),$B98,"")</f>
        <v/>
      </c>
      <c r="CO98" s="84" t="str">
        <f t="array" ref="CO98">IF(OR((CO$85&gt;=$AY$11:$AY$38)*(CO$48&lt;=$AZ$11:$AZ$38)&gt;0),$B98,"")</f>
        <v/>
      </c>
      <c r="CP98" s="84" t="str">
        <f t="array" ref="CP98">IF(OR((CP$85&gt;=$AY$11:$AY$38)*(CP$48&lt;=$AZ$11:$AZ$38)&gt;0),$B98,"")</f>
        <v/>
      </c>
      <c r="CQ98" s="84" t="str">
        <f t="array" ref="CQ98">IF(OR((CQ$85&gt;=$AY$11:$AY$38)*(CQ$48&lt;=$AZ$11:$AZ$38)&gt;0),$B98,"")</f>
        <v/>
      </c>
      <c r="CR98" s="84" t="str">
        <f t="array" ref="CR98">IF(OR((CR$85&gt;=$AY$11:$AY$38)*(CR$48&lt;=$AZ$11:$AZ$38)&gt;0),$B98,"")</f>
        <v/>
      </c>
      <c r="CS98" s="84" t="str">
        <f t="array" ref="CS98">IF(OR((CS$85&gt;=$AY$11:$AY$38)*(CS$48&lt;=$AZ$11:$AZ$38)&gt;0),$B98,"")</f>
        <v/>
      </c>
      <c r="CT98" s="84" t="str">
        <f t="array" ref="CT98">IF(OR((CT$85&gt;=$AY$11:$AY$38)*(CT$48&lt;=$AZ$11:$AZ$38)&gt;0),$B98,"")</f>
        <v/>
      </c>
      <c r="CU98" s="84" t="str">
        <f t="array" ref="CU98">IF(OR((CU$85&gt;=$AY$11:$AY$38)*(CU$48&lt;=$AZ$11:$AZ$38)&gt;0),$B98,"")</f>
        <v/>
      </c>
      <c r="CV98" s="84" t="str">
        <f t="array" ref="CV98">IF(OR((CV$85&gt;=$AY$11:$AY$38)*(CV$48&lt;=$AZ$11:$AZ$38)&gt;0),$B98,"")</f>
        <v/>
      </c>
      <c r="CW98" s="84" t="str">
        <f t="array" ref="CW98">IF(OR((CW$85&gt;=$AY$11:$AY$38)*(CW$48&lt;=$AZ$11:$AZ$38)&gt;0),$B98,"")</f>
        <v/>
      </c>
      <c r="CX98" s="84" t="str">
        <f t="array" ref="CX98">IF(OR((CX$85&gt;=$AY$11:$AY$38)*(CX$48&lt;=$AZ$11:$AZ$38)&gt;0),$B98,"")</f>
        <v/>
      </c>
      <c r="CY98" s="84" t="str">
        <f t="array" ref="CY98">IF(OR((CY$85&gt;=$AY$11:$AY$38)*(CY$48&lt;=$AZ$11:$AZ$38)&gt;0),$B98,"")</f>
        <v/>
      </c>
      <c r="CZ98" s="84" t="str">
        <f t="array" ref="CZ98">IF(OR((CZ$85&gt;=$AY$11:$AY$38)*(CZ$48&lt;=$AZ$11:$AZ$38)&gt;0),$B98,"")</f>
        <v/>
      </c>
      <c r="DA98" s="84" t="str">
        <f t="array" ref="DA98">IF(OR((DA$85&gt;=$AY$11:$AY$38)*(DA$48&lt;=$AZ$11:$AZ$38)&gt;0),$B98,"")</f>
        <v/>
      </c>
      <c r="DB98" s="84" t="str">
        <f t="array" ref="DB98">IF(OR((DB$85&gt;=$AY$11:$AY$38)*(DB$48&lt;=$AZ$11:$AZ$38)&gt;0),$B98,"")</f>
        <v/>
      </c>
      <c r="DC98" s="84" t="str">
        <f t="array" ref="DC98">IF(OR((DC$85&gt;=$AY$11:$AY$38)*(DC$48&lt;=$AZ$11:$AZ$38)&gt;0),$B98,"")</f>
        <v/>
      </c>
    </row>
    <row r="99" spans="1:107">
      <c r="A99" s="75" t="s">
        <v>200</v>
      </c>
      <c r="B99" s="16">
        <v>8</v>
      </c>
      <c r="C99" s="84" t="str">
        <f t="array" ref="C99">IF(OR((C$85&gt;=$AY$11:$AY$38)*(C$48&lt;=$AZ$11:$AZ$38)&gt;0),$B99,"")</f>
        <v/>
      </c>
      <c r="D99" s="84" t="str">
        <f t="array" ref="D99">IF(OR((D$85&gt;=$AY$11:$AY$38)*(D$48&lt;=$AZ$11:$AZ$38)&gt;0),$B99,"")</f>
        <v/>
      </c>
      <c r="E99" s="84" t="str">
        <f t="array" ref="E99">IF(OR((E$85&gt;=$AY$11:$AY$38)*(E$48&lt;=$AZ$11:$AZ$38)&gt;0),$B99,"")</f>
        <v/>
      </c>
      <c r="F99" s="84" t="str">
        <f t="array" ref="F99">IF(OR((F$85&gt;=$AY$11:$AY$38)*(F$48&lt;=$AZ$11:$AZ$38)&gt;0),$B99,"")</f>
        <v/>
      </c>
      <c r="G99" s="84" t="str">
        <f t="array" ref="G99">IF(OR((G$85&gt;=$AY$11:$AY$38)*(G$48&lt;=$AZ$11:$AZ$38)&gt;0),$B99,"")</f>
        <v/>
      </c>
      <c r="H99" s="84" t="str">
        <f t="array" ref="H99">IF(OR((H$85&gt;=$AY$11:$AY$38)*(H$48&lt;=$AZ$11:$AZ$38)&gt;0),$B99,"")</f>
        <v/>
      </c>
      <c r="I99" s="84" t="str">
        <f t="array" ref="I99">IF(OR((I$85&gt;=$AY$11:$AY$38)*(I$48&lt;=$AZ$11:$AZ$38)&gt;0),$B99,"")</f>
        <v/>
      </c>
      <c r="J99" s="84" t="str">
        <f t="array" ref="J99">IF(OR((J$85&gt;=$AY$11:$AY$38)*(J$48&lt;=$AZ$11:$AZ$38)&gt;0),$B99,"")</f>
        <v/>
      </c>
      <c r="K99" s="84" t="str">
        <f t="array" ref="K99">IF(OR((K$85&gt;=$AY$11:$AY$38)*(K$48&lt;=$AZ$11:$AZ$38)&gt;0),$B99,"")</f>
        <v/>
      </c>
      <c r="L99" s="84" t="str">
        <f t="array" ref="L99">IF(OR((L$85&gt;=$AY$11:$AY$38)*(L$48&lt;=$AZ$11:$AZ$38)&gt;0),$B99,"")</f>
        <v/>
      </c>
      <c r="M99" s="84" t="str">
        <f t="array" ref="M99">IF(OR((M$85&gt;=$AY$11:$AY$38)*(M$48&lt;=$AZ$11:$AZ$38)&gt;0),$B99,"")</f>
        <v/>
      </c>
      <c r="N99" s="84" t="str">
        <f t="array" ref="N99">IF(OR((N$85&gt;=$AY$11:$AY$38)*(N$48&lt;=$AZ$11:$AZ$38)&gt;0),$B99,"")</f>
        <v/>
      </c>
      <c r="O99" s="84"/>
      <c r="P99" s="84"/>
      <c r="Q99" s="84" t="str">
        <f t="array" ref="Q99">IF(OR((Q$85&gt;=$AY$11:$AY$38)*(Q$48&lt;=$AZ$11:$AZ$38)&gt;0),$B99,"")</f>
        <v/>
      </c>
      <c r="R99" s="84" t="str">
        <f t="array" ref="R99">IF(OR((R$85&gt;=$AY$11:$AY$38)*(R$48&lt;=$AZ$11:$AZ$38)&gt;0),$B99,"")</f>
        <v/>
      </c>
      <c r="S99" s="84" t="str">
        <f t="array" ref="S99">IF(OR((S$85&gt;=$AY$11:$AY$38)*(S$48&lt;=$AZ$11:$AZ$38)&gt;0),$B99,"")</f>
        <v/>
      </c>
      <c r="T99" s="84" t="str">
        <f t="array" ref="T99">IF(OR((T$85&gt;=$AY$11:$AY$38)*(T$48&lt;=$AZ$11:$AZ$38)&gt;0),$B99,"")</f>
        <v/>
      </c>
      <c r="U99" s="84" t="str">
        <f t="array" ref="U99">IF(OR((U$85&gt;=$AY$11:$AY$38)*(U$48&lt;=$AZ$11:$AZ$38)&gt;0),$B99,"")</f>
        <v/>
      </c>
      <c r="V99" s="84" t="str">
        <f t="array" ref="V99">IF(OR((V$85&gt;=$AY$11:$AY$38)*(V$48&lt;=$AZ$11:$AZ$38)&gt;0),$B99,"")</f>
        <v/>
      </c>
      <c r="W99" s="84" t="str">
        <f t="array" ref="W99">IF(OR((W$85&gt;=$AY$11:$AY$38)*(W$48&lt;=$AZ$11:$AZ$38)&gt;0),$B99,"")</f>
        <v/>
      </c>
      <c r="X99" s="84" t="str">
        <f t="array" ref="X99">IF(OR((X$85&gt;=$AY$11:$AY$38)*(X$48&lt;=$AZ$11:$AZ$38)&gt;0),$B99,"")</f>
        <v/>
      </c>
      <c r="Y99" s="84" t="str">
        <f t="array" ref="Y99">IF(OR((Y$85&gt;=$AY$11:$AY$38)*(Y$48&lt;=$AZ$11:$AZ$38)&gt;0),$B99,"")</f>
        <v/>
      </c>
      <c r="Z99" s="84" t="str">
        <f t="array" ref="Z99">IF(OR((Z$85&gt;=$AY$11:$AY$38)*(Z$48&lt;=$AZ$11:$AZ$38)&gt;0),$B99,"")</f>
        <v/>
      </c>
      <c r="AA99" s="84" t="str">
        <f t="array" ref="AA99">IF(OR((AA$85&gt;=$AY$11:$AY$38)*(AA$48&lt;=$AZ$11:$AZ$38)&gt;0),$B99,"")</f>
        <v/>
      </c>
      <c r="AB99" s="84" t="str">
        <f t="array" ref="AB99">IF(OR((AB$85&gt;=$AY$11:$AY$38)*(AB$48&lt;=$AZ$11:$AZ$38)&gt;0),$B99,"")</f>
        <v/>
      </c>
      <c r="AC99" s="84" t="str">
        <f t="array" ref="AC99">IF(OR((AC$85&gt;=$AY$11:$AY$38)*(AC$48&lt;=$AZ$11:$AZ$38)&gt;0),$B99,"")</f>
        <v/>
      </c>
      <c r="AD99" s="84" t="str">
        <f t="array" ref="AD99">IF(OR((AD$85&gt;=$AY$11:$AY$38)*(AD$48&lt;=$AZ$11:$AZ$38)&gt;0),$B99,"")</f>
        <v/>
      </c>
      <c r="AE99" s="84" t="str">
        <f t="array" ref="AE99">IF(OR((AE$85&gt;=$AY$11:$AY$38)*(AE$48&lt;=$AZ$11:$AZ$38)&gt;0),$B99,"")</f>
        <v/>
      </c>
      <c r="AF99" s="84" t="str">
        <f t="array" ref="AF99">IF(OR((AF$85&gt;=$AY$11:$AY$38)*(AF$48&lt;=$AZ$11:$AZ$38)&gt;0),$B99,"")</f>
        <v/>
      </c>
      <c r="AG99" s="84" t="str">
        <f t="array" ref="AG99">IF(OR((AG$85&gt;=$AY$11:$AY$38)*(AG$48&lt;=$AZ$11:$AZ$38)&gt;0),$B99,"")</f>
        <v/>
      </c>
      <c r="AH99" s="84" t="str">
        <f t="array" ref="AH99">IF(OR((AH$85&gt;=$AY$11:$AY$38)*(AH$48&lt;=$AZ$11:$AZ$38)&gt;0),$B99,"")</f>
        <v/>
      </c>
      <c r="AI99" s="84" t="str">
        <f t="array" ref="AI99">IF(OR((AI$85&gt;=$AY$11:$AY$38)*(AI$48&lt;=$AZ$11:$AZ$38)&gt;0),$B99,"")</f>
        <v/>
      </c>
      <c r="AK99" s="75" t="s">
        <v>200</v>
      </c>
      <c r="AL99" s="16">
        <v>8</v>
      </c>
      <c r="AM99" s="84" t="str">
        <f t="array" ref="AM99">IF(OR((AM$85&gt;=$AY$11:$AY$38)*(AM$48&lt;=$AZ$11:$AZ$38)&gt;0),$B99,"")</f>
        <v/>
      </c>
      <c r="AN99" s="84" t="str">
        <f t="array" ref="AN99">IF(OR((AN$85&gt;=$AY$11:$AY$38)*(AN$48&lt;=$AZ$11:$AZ$38)&gt;0),$B99,"")</f>
        <v/>
      </c>
      <c r="AO99" s="84" t="str">
        <f t="array" ref="AO99">IF(OR((AO$85&gt;=$AY$11:$AY$38)*(AO$48&lt;=$AZ$11:$AZ$38)&gt;0),$B99,"")</f>
        <v/>
      </c>
      <c r="AP99" s="84" t="str">
        <f t="array" ref="AP99">IF(OR((AP$85&gt;=$AY$11:$AY$38)*(AP$48&lt;=$AZ$11:$AZ$38)&gt;0),$B99,"")</f>
        <v/>
      </c>
      <c r="AQ99" s="84" t="str">
        <f t="array" ref="AQ99">IF(OR((AQ$85&gt;=$AY$11:$AY$38)*(AQ$48&lt;=$AZ$11:$AZ$38)&gt;0),$B99,"")</f>
        <v/>
      </c>
      <c r="AR99" s="84" t="str">
        <f t="array" ref="AR99">IF(OR((AR$85&gt;=$AY$11:$AY$38)*(AR$48&lt;=$AZ$11:$AZ$38)&gt;0),$B99,"")</f>
        <v/>
      </c>
      <c r="AS99" s="84" t="str">
        <f t="array" ref="AS99">IF(OR((AS$85&gt;=$AY$11:$AY$38)*(AS$48&lt;=$AZ$11:$AZ$38)&gt;0),$B99,"")</f>
        <v/>
      </c>
      <c r="AT99" s="84" t="str">
        <f t="array" ref="AT99">IF(OR((AT$85&gt;=$AY$11:$AY$38)*(AT$48&lt;=$AZ$11:$AZ$38)&gt;0),$B99,"")</f>
        <v/>
      </c>
      <c r="AU99" s="84" t="str">
        <f t="array" ref="AU99">IF(OR((AU$85&gt;=$AY$11:$AY$38)*(AU$48&lt;=$AZ$11:$AZ$38)&gt;0),$B99,"")</f>
        <v/>
      </c>
      <c r="AV99" s="84" t="str">
        <f t="array" ref="AV99">IF(OR((AV$85&gt;=$AY$11:$AY$38)*(AV$48&lt;=$AZ$11:$AZ$38)&gt;0),$B99,"")</f>
        <v/>
      </c>
      <c r="AW99" s="84" t="str">
        <f t="array" ref="AW99">IF(OR((AW$85&gt;=$AY$11:$AY$38)*(AW$48&lt;=$AZ$11:$AZ$38)&gt;0),$B99,"")</f>
        <v/>
      </c>
      <c r="AX99" s="84" t="str">
        <f t="array" ref="AX99">IF(OR((AX$85&gt;=$AY$11:$AY$38)*(AX$48&lt;=$AZ$11:$AZ$38)&gt;0),$B99,"")</f>
        <v/>
      </c>
      <c r="AY99" s="84"/>
      <c r="AZ99" s="84"/>
      <c r="BA99" s="84" t="str">
        <f t="array" ref="BA99">IF(OR((BA$85&gt;=$AY$11:$AY$38)*(BA$48&lt;=$AZ$11:$AZ$38)&gt;0),$B99,"")</f>
        <v/>
      </c>
      <c r="BB99" s="84" t="str">
        <f t="array" ref="BB99">IF(OR((BB$85&gt;=$AY$11:$AY$38)*(BB$48&lt;=$AZ$11:$AZ$38)&gt;0),$B99,"")</f>
        <v/>
      </c>
      <c r="BC99" s="84" t="str">
        <f t="array" ref="BC99">IF(OR((BC$85&gt;=$AY$11:$AY$38)*(BC$48&lt;=$AZ$11:$AZ$38)&gt;0),$B99,"")</f>
        <v/>
      </c>
      <c r="BD99" s="84" t="str">
        <f t="array" ref="BD99">IF(OR((BD$85&gt;=$AY$11:$AY$38)*(BD$48&lt;=$AZ$11:$AZ$38)&gt;0),$B99,"")</f>
        <v/>
      </c>
      <c r="BE99" s="84" t="str">
        <f t="array" ref="BE99">IF(OR((BE$85&gt;=$AY$11:$AY$38)*(BE$48&lt;=$AZ$11:$AZ$38)&gt;0),$B99,"")</f>
        <v/>
      </c>
      <c r="BF99" s="84" t="str">
        <f t="array" ref="BF99">IF(OR((BF$85&gt;=$AY$11:$AY$38)*(BF$48&lt;=$AZ$11:$AZ$38)&gt;0),$B99,"")</f>
        <v/>
      </c>
      <c r="BG99" s="84" t="str">
        <f t="array" ref="BG99">IF(OR((BG$85&gt;=$AY$11:$AY$38)*(BG$48&lt;=$AZ$11:$AZ$38)&gt;0),$B99,"")</f>
        <v/>
      </c>
      <c r="BH99" s="84" t="str">
        <f t="array" ref="BH99">IF(OR((BH$85&gt;=$AY$11:$AY$38)*(BH$48&lt;=$AZ$11:$AZ$38)&gt;0),$B99,"")</f>
        <v/>
      </c>
      <c r="BI99" s="84" t="str">
        <f t="array" ref="BI99">IF(OR((BI$85&gt;=$AY$11:$AY$38)*(BI$48&lt;=$AZ$11:$AZ$38)&gt;0),$B99,"")</f>
        <v/>
      </c>
      <c r="BJ99" s="84" t="str">
        <f t="array" ref="BJ99">IF(OR((BJ$85&gt;=$AY$11:$AY$38)*(BJ$48&lt;=$AZ$11:$AZ$38)&gt;0),$B99,"")</f>
        <v/>
      </c>
      <c r="BK99" s="84" t="str">
        <f t="array" ref="BK99">IF(OR((BK$85&gt;=$AY$11:$AY$38)*(BK$48&lt;=$AZ$11:$AZ$38)&gt;0),$B99,"")</f>
        <v/>
      </c>
      <c r="BL99" s="84" t="str">
        <f t="array" ref="BL99">IF(OR((BL$85&gt;=$AY$11:$AY$38)*(BL$48&lt;=$AZ$11:$AZ$38)&gt;0),$B99,"")</f>
        <v/>
      </c>
      <c r="BM99" s="84" t="str">
        <f t="array" ref="BM99">IF(OR((BM$85&gt;=$AY$11:$AY$38)*(BM$48&lt;=$AZ$11:$AZ$38)&gt;0),$B99,"")</f>
        <v/>
      </c>
      <c r="BN99" s="84" t="str">
        <f t="array" ref="BN99">IF(OR((BN$85&gt;=$AY$11:$AY$38)*(BN$48&lt;=$AZ$11:$AZ$38)&gt;0),$B99,"")</f>
        <v/>
      </c>
      <c r="BO99" s="84" t="str">
        <f t="array" ref="BO99">IF(OR((BO$85&gt;=$AY$11:$AY$38)*(BO$48&lt;=$AZ$11:$AZ$38)&gt;0),$B99,"")</f>
        <v/>
      </c>
      <c r="BP99" s="84" t="str">
        <f t="array" ref="BP99">IF(OR((BP$85&gt;=$AY$11:$AY$38)*(BP$48&lt;=$AZ$11:$AZ$38)&gt;0),$B99,"")</f>
        <v/>
      </c>
      <c r="BQ99" s="84" t="str">
        <f t="array" ref="BQ99">IF(OR((BQ$85&gt;=$AY$11:$AY$38)*(BQ$48&lt;=$AZ$11:$AZ$38)&gt;0),$B99,"")</f>
        <v/>
      </c>
      <c r="BR99" s="84" t="str">
        <f t="array" ref="BR99">IF(OR((BR$85&gt;=$AY$11:$AY$38)*(BR$48&lt;=$AZ$11:$AZ$38)&gt;0),$B99,"")</f>
        <v/>
      </c>
      <c r="BS99" s="84" t="str">
        <f t="array" ref="BS99">IF(OR((BS$85&gt;=$AY$11:$AY$38)*(BS$48&lt;=$AZ$11:$AZ$38)&gt;0),$B99,"")</f>
        <v/>
      </c>
      <c r="BU99" s="75" t="s">
        <v>200</v>
      </c>
      <c r="BV99" s="16">
        <v>8</v>
      </c>
      <c r="BW99" s="84" t="str">
        <f t="array" ref="BW99">IF(OR((BW$85&gt;=$AY$11:$AY$38)*(BW$48&lt;=$AZ$11:$AZ$38)&gt;0),$B99,"")</f>
        <v/>
      </c>
      <c r="BX99" s="84" t="str">
        <f t="array" ref="BX99">IF(OR((BX$85&gt;=$AY$11:$AY$38)*(BX$48&lt;=$AZ$11:$AZ$38)&gt;0),$B99,"")</f>
        <v/>
      </c>
      <c r="BY99" s="84" t="str">
        <f t="array" ref="BY99">IF(OR((BY$85&gt;=$AY$11:$AY$38)*(BY$48&lt;=$AZ$11:$AZ$38)&gt;0),$B99,"")</f>
        <v/>
      </c>
      <c r="BZ99" s="84" t="str">
        <f t="array" ref="BZ99">IF(OR((BZ$85&gt;=$AY$11:$AY$38)*(BZ$48&lt;=$AZ$11:$AZ$38)&gt;0),$B99,"")</f>
        <v/>
      </c>
      <c r="CA99" s="84" t="str">
        <f t="array" ref="CA99">IF(OR((CA$85&gt;=$AY$11:$AY$38)*(CA$48&lt;=$AZ$11:$AZ$38)&gt;0),$B99,"")</f>
        <v/>
      </c>
      <c r="CB99" s="84" t="str">
        <f t="array" ref="CB99">IF(OR((CB$85&gt;=$AY$11:$AY$38)*(CB$48&lt;=$AZ$11:$AZ$38)&gt;0),$B99,"")</f>
        <v/>
      </c>
      <c r="CC99" s="84" t="str">
        <f t="array" ref="CC99">IF(OR((CC$85&gt;=$AY$11:$AY$38)*(CC$48&lt;=$AZ$11:$AZ$38)&gt;0),$B99,"")</f>
        <v/>
      </c>
      <c r="CD99" s="84" t="str">
        <f t="array" ref="CD99">IF(OR((CD$85&gt;=$AY$11:$AY$38)*(CD$48&lt;=$AZ$11:$AZ$38)&gt;0),$B99,"")</f>
        <v/>
      </c>
      <c r="CE99" s="84" t="str">
        <f t="array" ref="CE99">IF(OR((CE$85&gt;=$AY$11:$AY$38)*(CE$48&lt;=$AZ$11:$AZ$38)&gt;0),$B99,"")</f>
        <v/>
      </c>
      <c r="CF99" s="84" t="str">
        <f t="array" ref="CF99">IF(OR((CF$85&gt;=$AY$11:$AY$38)*(CF$48&lt;=$AZ$11:$AZ$38)&gt;0),$B99,"")</f>
        <v/>
      </c>
      <c r="CG99" s="84" t="str">
        <f t="array" ref="CG99">IF(OR((CG$85&gt;=$AY$11:$AY$38)*(CG$48&lt;=$AZ$11:$AZ$38)&gt;0),$B99,"")</f>
        <v/>
      </c>
      <c r="CH99" s="84" t="str">
        <f t="array" ref="CH99">IF(OR((CH$85&gt;=$AY$11:$AY$38)*(CH$48&lt;=$AZ$11:$AZ$38)&gt;0),$B99,"")</f>
        <v/>
      </c>
      <c r="CI99" s="84"/>
      <c r="CJ99" s="84"/>
      <c r="CK99" s="84" t="str">
        <f t="array" ref="CK99">IF(OR((CK$85&gt;=$AY$11:$AY$38)*(CK$48&lt;=$AZ$11:$AZ$38)&gt;0),$B99,"")</f>
        <v/>
      </c>
      <c r="CL99" s="84" t="str">
        <f t="array" ref="CL99">IF(OR((CL$85&gt;=$AY$11:$AY$38)*(CL$48&lt;=$AZ$11:$AZ$38)&gt;0),$B99,"")</f>
        <v/>
      </c>
      <c r="CM99" s="84" t="str">
        <f t="array" ref="CM99">IF(OR((CM$85&gt;=$AY$11:$AY$38)*(CM$48&lt;=$AZ$11:$AZ$38)&gt;0),$B99,"")</f>
        <v/>
      </c>
      <c r="CN99" s="84" t="str">
        <f t="array" ref="CN99">IF(OR((CN$85&gt;=$AY$11:$AY$38)*(CN$48&lt;=$AZ$11:$AZ$38)&gt;0),$B99,"")</f>
        <v/>
      </c>
      <c r="CO99" s="84" t="str">
        <f t="array" ref="CO99">IF(OR((CO$85&gt;=$AY$11:$AY$38)*(CO$48&lt;=$AZ$11:$AZ$38)&gt;0),$B99,"")</f>
        <v/>
      </c>
      <c r="CP99" s="84" t="str">
        <f t="array" ref="CP99">IF(OR((CP$85&gt;=$AY$11:$AY$38)*(CP$48&lt;=$AZ$11:$AZ$38)&gt;0),$B99,"")</f>
        <v/>
      </c>
      <c r="CQ99" s="84" t="str">
        <f t="array" ref="CQ99">IF(OR((CQ$85&gt;=$AY$11:$AY$38)*(CQ$48&lt;=$AZ$11:$AZ$38)&gt;0),$B99,"")</f>
        <v/>
      </c>
      <c r="CR99" s="84" t="str">
        <f t="array" ref="CR99">IF(OR((CR$85&gt;=$AY$11:$AY$38)*(CR$48&lt;=$AZ$11:$AZ$38)&gt;0),$B99,"")</f>
        <v/>
      </c>
      <c r="CS99" s="84" t="str">
        <f t="array" ref="CS99">IF(OR((CS$85&gt;=$AY$11:$AY$38)*(CS$48&lt;=$AZ$11:$AZ$38)&gt;0),$B99,"")</f>
        <v/>
      </c>
      <c r="CT99" s="84" t="str">
        <f t="array" ref="CT99">IF(OR((CT$85&gt;=$AY$11:$AY$38)*(CT$48&lt;=$AZ$11:$AZ$38)&gt;0),$B99,"")</f>
        <v/>
      </c>
      <c r="CU99" s="84" t="str">
        <f t="array" ref="CU99">IF(OR((CU$85&gt;=$AY$11:$AY$38)*(CU$48&lt;=$AZ$11:$AZ$38)&gt;0),$B99,"")</f>
        <v/>
      </c>
      <c r="CV99" s="84" t="str">
        <f t="array" ref="CV99">IF(OR((CV$85&gt;=$AY$11:$AY$38)*(CV$48&lt;=$AZ$11:$AZ$38)&gt;0),$B99,"")</f>
        <v/>
      </c>
      <c r="CW99" s="84" t="str">
        <f t="array" ref="CW99">IF(OR((CW$85&gt;=$AY$11:$AY$38)*(CW$48&lt;=$AZ$11:$AZ$38)&gt;0),$B99,"")</f>
        <v/>
      </c>
      <c r="CX99" s="84" t="str">
        <f t="array" ref="CX99">IF(OR((CX$85&gt;=$AY$11:$AY$38)*(CX$48&lt;=$AZ$11:$AZ$38)&gt;0),$B99,"")</f>
        <v/>
      </c>
      <c r="CY99" s="84" t="str">
        <f t="array" ref="CY99">IF(OR((CY$85&gt;=$AY$11:$AY$38)*(CY$48&lt;=$AZ$11:$AZ$38)&gt;0),$B99,"")</f>
        <v/>
      </c>
      <c r="CZ99" s="84" t="str">
        <f t="array" ref="CZ99">IF(OR((CZ$85&gt;=$AY$11:$AY$38)*(CZ$48&lt;=$AZ$11:$AZ$38)&gt;0),$B99,"")</f>
        <v/>
      </c>
      <c r="DA99" s="84" t="str">
        <f t="array" ref="DA99">IF(OR((DA$85&gt;=$AY$11:$AY$38)*(DA$48&lt;=$AZ$11:$AZ$38)&gt;0),$B99,"")</f>
        <v/>
      </c>
      <c r="DB99" s="84" t="str">
        <f t="array" ref="DB99">IF(OR((DB$85&gt;=$AY$11:$AY$38)*(DB$48&lt;=$AZ$11:$AZ$38)&gt;0),$B99,"")</f>
        <v/>
      </c>
      <c r="DC99" s="84" t="str">
        <f t="array" ref="DC99">IF(OR((DC$85&gt;=$AY$11:$AY$38)*(DC$48&lt;=$AZ$11:$AZ$38)&gt;0),$B99,"")</f>
        <v/>
      </c>
    </row>
    <row r="100" spans="1:107">
      <c r="A100" s="183" t="s">
        <v>201</v>
      </c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  <c r="AA100" s="184"/>
      <c r="AB100" s="184"/>
      <c r="AC100" s="184"/>
      <c r="AD100" s="184"/>
      <c r="AE100" s="184"/>
      <c r="AF100" s="184"/>
      <c r="AG100" s="184"/>
      <c r="AH100" s="184"/>
      <c r="AI100" s="185"/>
      <c r="AK100" s="183" t="s">
        <v>201</v>
      </c>
      <c r="AL100" s="184"/>
      <c r="AM100" s="184"/>
      <c r="AN100" s="184"/>
      <c r="AO100" s="184"/>
      <c r="AP100" s="184"/>
      <c r="AQ100" s="184"/>
      <c r="AR100" s="184"/>
      <c r="AS100" s="184"/>
      <c r="AT100" s="184"/>
      <c r="AU100" s="184"/>
      <c r="AV100" s="184"/>
      <c r="AW100" s="184"/>
      <c r="AX100" s="184"/>
      <c r="AY100" s="184"/>
      <c r="AZ100" s="184"/>
      <c r="BA100" s="184"/>
      <c r="BB100" s="184"/>
      <c r="BC100" s="184"/>
      <c r="BD100" s="184"/>
      <c r="BE100" s="184"/>
      <c r="BF100" s="184"/>
      <c r="BG100" s="184"/>
      <c r="BH100" s="184"/>
      <c r="BI100" s="184"/>
      <c r="BJ100" s="184"/>
      <c r="BK100" s="184"/>
      <c r="BL100" s="184"/>
      <c r="BM100" s="184"/>
      <c r="BN100" s="184"/>
      <c r="BO100" s="184"/>
      <c r="BP100" s="184"/>
      <c r="BQ100" s="184"/>
      <c r="BR100" s="184"/>
      <c r="BS100" s="185"/>
      <c r="BU100" s="183" t="s">
        <v>201</v>
      </c>
      <c r="BV100" s="184"/>
      <c r="BW100" s="184"/>
      <c r="BX100" s="184"/>
      <c r="BY100" s="184"/>
      <c r="BZ100" s="184"/>
      <c r="CA100" s="184"/>
      <c r="CB100" s="184"/>
      <c r="CC100" s="184"/>
      <c r="CD100" s="184"/>
      <c r="CE100" s="184"/>
      <c r="CF100" s="184"/>
      <c r="CG100" s="184"/>
      <c r="CH100" s="184"/>
      <c r="CI100" s="184"/>
      <c r="CJ100" s="184"/>
      <c r="CK100" s="184"/>
      <c r="CL100" s="184"/>
      <c r="CM100" s="184"/>
      <c r="CN100" s="184"/>
      <c r="CO100" s="184"/>
      <c r="CP100" s="184"/>
      <c r="CQ100" s="184"/>
      <c r="CR100" s="184"/>
      <c r="CS100" s="184"/>
      <c r="CT100" s="184"/>
      <c r="CU100" s="184"/>
      <c r="CV100" s="184"/>
      <c r="CW100" s="184"/>
      <c r="CX100" s="184"/>
      <c r="CY100" s="184"/>
      <c r="CZ100" s="184"/>
      <c r="DA100" s="184"/>
      <c r="DB100" s="184"/>
      <c r="DC100" s="185"/>
    </row>
    <row r="101" spans="1:107">
      <c r="A101" s="75" t="s">
        <v>202</v>
      </c>
      <c r="B101" s="16">
        <v>1188</v>
      </c>
      <c r="C101" s="84" t="str">
        <f t="array" ref="C101">IF(OR((C$85&gt;=$AY$11:$AY$38)*(C$48&lt;=$AZ$11:$AZ$38)&gt;0),$B101,"")</f>
        <v/>
      </c>
      <c r="D101" s="84" t="str">
        <f t="array" ref="D101">IF(OR((D$85&gt;=$AY$11:$AY$38)*(D$48&lt;=$AZ$11:$AZ$38)&gt;0),$B101,"")</f>
        <v/>
      </c>
      <c r="E101" s="84" t="str">
        <f t="array" ref="E101">IF(OR((E$85&gt;=$AY$11:$AY$38)*(E$48&lt;=$AZ$11:$AZ$38)&gt;0),$B101,"")</f>
        <v/>
      </c>
      <c r="F101" s="84" t="str">
        <f t="array" ref="F101">IF(OR((F$85&gt;=$AY$11:$AY$38)*(F$48&lt;=$AZ$11:$AZ$38)&gt;0),$B101,"")</f>
        <v/>
      </c>
      <c r="G101" s="84" t="str">
        <f t="array" ref="G101">IF(OR((G$85&gt;=$AY$11:$AY$38)*(G$48&lt;=$AZ$11:$AZ$38)&gt;0),$B101,"")</f>
        <v/>
      </c>
      <c r="H101" s="84" t="str">
        <f t="array" ref="H101">IF(OR((H$85&gt;=$AY$11:$AY$38)*(H$48&lt;=$AZ$11:$AZ$38)&gt;0),$B101,"")</f>
        <v/>
      </c>
      <c r="I101" s="84" t="str">
        <f t="array" ref="I101">IF(OR((I$85&gt;=$AY$11:$AY$38)*(I$48&lt;=$AZ$11:$AZ$38)&gt;0),$B101,"")</f>
        <v/>
      </c>
      <c r="J101" s="84" t="str">
        <f t="array" ref="J101">IF(OR((J$85&gt;=$AY$11:$AY$38)*(J$48&lt;=$AZ$11:$AZ$38)&gt;0),$B101,"")</f>
        <v/>
      </c>
      <c r="K101" s="84" t="str">
        <f t="array" ref="K101">IF(OR((K$85&gt;=$AY$11:$AY$38)*(K$48&lt;=$AZ$11:$AZ$38)&gt;0),$B101,"")</f>
        <v/>
      </c>
      <c r="L101" s="84" t="str">
        <f t="array" ref="L101">IF(OR((L$85&gt;=$AY$11:$AY$38)*(L$48&lt;=$AZ$11:$AZ$38)&gt;0),$B101,"")</f>
        <v/>
      </c>
      <c r="M101" s="84" t="str">
        <f t="array" ref="M101">IF(OR((M$85&gt;=$AY$11:$AY$38)*(M$48&lt;=$AZ$11:$AZ$38)&gt;0),$B101,"")</f>
        <v/>
      </c>
      <c r="N101" s="84" t="str">
        <f t="array" ref="N101">IF(OR((N$85&gt;=$AY$11:$AY$38)*(N$48&lt;=$AZ$11:$AZ$38)&gt;0),$B101,"")</f>
        <v/>
      </c>
      <c r="O101" s="84"/>
      <c r="P101" s="84"/>
      <c r="Q101" s="84" t="str">
        <f t="array" ref="Q101">IF(OR((Q$85&gt;=$AY$11:$AY$38)*(Q$48&lt;=$AZ$11:$AZ$38)&gt;0),$B101,"")</f>
        <v/>
      </c>
      <c r="R101" s="84" t="str">
        <f t="array" ref="R101">IF(OR((R$85&gt;=$AY$11:$AY$38)*(R$48&lt;=$AZ$11:$AZ$38)&gt;0),$B101,"")</f>
        <v/>
      </c>
      <c r="S101" s="84" t="str">
        <f t="array" ref="S101">IF(OR((S$85&gt;=$AY$11:$AY$38)*(S$48&lt;=$AZ$11:$AZ$38)&gt;0),$B101,"")</f>
        <v/>
      </c>
      <c r="T101" s="84" t="str">
        <f t="array" ref="T101">IF(OR((T$85&gt;=$AY$11:$AY$38)*(T$48&lt;=$AZ$11:$AZ$38)&gt;0),$B101,"")</f>
        <v/>
      </c>
      <c r="U101" s="84" t="str">
        <f t="array" ref="U101">IF(OR((U$85&gt;=$AY$11:$AY$38)*(U$48&lt;=$AZ$11:$AZ$38)&gt;0),$B101,"")</f>
        <v/>
      </c>
      <c r="V101" s="84" t="str">
        <f t="array" ref="V101">IF(OR((V$85&gt;=$AY$11:$AY$38)*(V$48&lt;=$AZ$11:$AZ$38)&gt;0),$B101,"")</f>
        <v/>
      </c>
      <c r="W101" s="84" t="str">
        <f t="array" ref="W101">IF(OR((W$85&gt;=$AY$11:$AY$38)*(W$48&lt;=$AZ$11:$AZ$38)&gt;0),$B101,"")</f>
        <v/>
      </c>
      <c r="X101" s="84" t="str">
        <f t="array" ref="X101">IF(OR((X$85&gt;=$AY$11:$AY$38)*(X$48&lt;=$AZ$11:$AZ$38)&gt;0),$B101,"")</f>
        <v/>
      </c>
      <c r="Y101" s="84" t="str">
        <f t="array" ref="Y101">IF(OR((Y$85&gt;=$AY$11:$AY$38)*(Y$48&lt;=$AZ$11:$AZ$38)&gt;0),$B101,"")</f>
        <v/>
      </c>
      <c r="Z101" s="84" t="str">
        <f t="array" ref="Z101">IF(OR((Z$85&gt;=$AY$11:$AY$38)*(Z$48&lt;=$AZ$11:$AZ$38)&gt;0),$B101,"")</f>
        <v/>
      </c>
      <c r="AA101" s="84" t="str">
        <f t="array" ref="AA101">IF(OR((AA$85&gt;=$AY$11:$AY$38)*(AA$48&lt;=$AZ$11:$AZ$38)&gt;0),$B101,"")</f>
        <v/>
      </c>
      <c r="AB101" s="84" t="str">
        <f t="array" ref="AB101">IF(OR((AB$85&gt;=$AY$11:$AY$38)*(AB$48&lt;=$AZ$11:$AZ$38)&gt;0),$B101,"")</f>
        <v/>
      </c>
      <c r="AC101" s="84" t="str">
        <f t="array" ref="AC101">IF(OR((AC$85&gt;=$AY$11:$AY$38)*(AC$48&lt;=$AZ$11:$AZ$38)&gt;0),$B101,"")</f>
        <v/>
      </c>
      <c r="AD101" s="84" t="str">
        <f t="array" ref="AD101">IF(OR((AD$85&gt;=$AY$11:$AY$38)*(AD$48&lt;=$AZ$11:$AZ$38)&gt;0),$B101,"")</f>
        <v/>
      </c>
      <c r="AE101" s="84" t="str">
        <f t="array" ref="AE101">IF(OR((AE$85&gt;=$AY$11:$AY$38)*(AE$48&lt;=$AZ$11:$AZ$38)&gt;0),$B101,"")</f>
        <v/>
      </c>
      <c r="AF101" s="84" t="str">
        <f t="array" ref="AF101">IF(OR((AF$85&gt;=$AY$11:$AY$38)*(AF$48&lt;=$AZ$11:$AZ$38)&gt;0),$B101,"")</f>
        <v/>
      </c>
      <c r="AG101" s="84" t="str">
        <f t="array" ref="AG101">IF(OR((AG$85&gt;=$AY$11:$AY$38)*(AG$48&lt;=$AZ$11:$AZ$38)&gt;0),$B101,"")</f>
        <v/>
      </c>
      <c r="AH101" s="84" t="str">
        <f t="array" ref="AH101">IF(OR((AH$85&gt;=$AY$11:$AY$38)*(AH$48&lt;=$AZ$11:$AZ$38)&gt;0),$B101,"")</f>
        <v/>
      </c>
      <c r="AI101" s="84" t="str">
        <f t="array" ref="AI101">IF(OR((AI$85&gt;=$AY$11:$AY$38)*(AI$48&lt;=$AZ$11:$AZ$38)&gt;0),$B101,"")</f>
        <v/>
      </c>
      <c r="AK101" s="75" t="s">
        <v>202</v>
      </c>
      <c r="AL101" s="16">
        <v>1188</v>
      </c>
      <c r="AM101" s="84" t="str">
        <f t="array" ref="AM101">IF(OR((AM$85&gt;=$AY$11:$AY$38)*(AM$48&lt;=$AZ$11:$AZ$38)&gt;0),$B101,"")</f>
        <v/>
      </c>
      <c r="AN101" s="84" t="str">
        <f t="array" ref="AN101">IF(OR((AN$85&gt;=$AY$11:$AY$38)*(AN$48&lt;=$AZ$11:$AZ$38)&gt;0),$B101,"")</f>
        <v/>
      </c>
      <c r="AO101" s="84" t="str">
        <f t="array" ref="AO101">IF(OR((AO$85&gt;=$AY$11:$AY$38)*(AO$48&lt;=$AZ$11:$AZ$38)&gt;0),$B101,"")</f>
        <v/>
      </c>
      <c r="AP101" s="84" t="str">
        <f t="array" ref="AP101">IF(OR((AP$85&gt;=$AY$11:$AY$38)*(AP$48&lt;=$AZ$11:$AZ$38)&gt;0),$B101,"")</f>
        <v/>
      </c>
      <c r="AQ101" s="84" t="str">
        <f t="array" ref="AQ101">IF(OR((AQ$85&gt;=$AY$11:$AY$38)*(AQ$48&lt;=$AZ$11:$AZ$38)&gt;0),$B101,"")</f>
        <v/>
      </c>
      <c r="AR101" s="84" t="str">
        <f t="array" ref="AR101">IF(OR((AR$85&gt;=$AY$11:$AY$38)*(AR$48&lt;=$AZ$11:$AZ$38)&gt;0),$B101,"")</f>
        <v/>
      </c>
      <c r="AS101" s="84" t="str">
        <f t="array" ref="AS101">IF(OR((AS$85&gt;=$AY$11:$AY$38)*(AS$48&lt;=$AZ$11:$AZ$38)&gt;0),$B101,"")</f>
        <v/>
      </c>
      <c r="AT101" s="84" t="str">
        <f t="array" ref="AT101">IF(OR((AT$85&gt;=$AY$11:$AY$38)*(AT$48&lt;=$AZ$11:$AZ$38)&gt;0),$B101,"")</f>
        <v/>
      </c>
      <c r="AU101" s="84" t="str">
        <f t="array" ref="AU101">IF(OR((AU$85&gt;=$AY$11:$AY$38)*(AU$48&lt;=$AZ$11:$AZ$38)&gt;0),$B101,"")</f>
        <v/>
      </c>
      <c r="AV101" s="84" t="str">
        <f t="array" ref="AV101">IF(OR((AV$85&gt;=$AY$11:$AY$38)*(AV$48&lt;=$AZ$11:$AZ$38)&gt;0),$B101,"")</f>
        <v/>
      </c>
      <c r="AW101" s="84" t="str">
        <f t="array" ref="AW101">IF(OR((AW$85&gt;=$AY$11:$AY$38)*(AW$48&lt;=$AZ$11:$AZ$38)&gt;0),$B101,"")</f>
        <v/>
      </c>
      <c r="AX101" s="84" t="str">
        <f t="array" ref="AX101">IF(OR((AX$85&gt;=$AY$11:$AY$38)*(AX$48&lt;=$AZ$11:$AZ$38)&gt;0),$B101,"")</f>
        <v/>
      </c>
      <c r="AY101" s="84"/>
      <c r="AZ101" s="84"/>
      <c r="BA101" s="84" t="str">
        <f t="array" ref="BA101">IF(OR((BA$85&gt;=$AY$11:$AY$38)*(BA$48&lt;=$AZ$11:$AZ$38)&gt;0),$B101,"")</f>
        <v/>
      </c>
      <c r="BB101" s="84" t="str">
        <f t="array" ref="BB101">IF(OR((BB$85&gt;=$AY$11:$AY$38)*(BB$48&lt;=$AZ$11:$AZ$38)&gt;0),$B101,"")</f>
        <v/>
      </c>
      <c r="BC101" s="84" t="str">
        <f t="array" ref="BC101">IF(OR((BC$85&gt;=$AY$11:$AY$38)*(BC$48&lt;=$AZ$11:$AZ$38)&gt;0),$B101,"")</f>
        <v/>
      </c>
      <c r="BD101" s="84" t="str">
        <f t="array" ref="BD101">IF(OR((BD$85&gt;=$AY$11:$AY$38)*(BD$48&lt;=$AZ$11:$AZ$38)&gt;0),$B101,"")</f>
        <v/>
      </c>
      <c r="BE101" s="84" t="str">
        <f t="array" ref="BE101">IF(OR((BE$85&gt;=$AY$11:$AY$38)*(BE$48&lt;=$AZ$11:$AZ$38)&gt;0),$B101,"")</f>
        <v/>
      </c>
      <c r="BF101" s="84" t="str">
        <f t="array" ref="BF101">IF(OR((BF$85&gt;=$AY$11:$AY$38)*(BF$48&lt;=$AZ$11:$AZ$38)&gt;0),$B101,"")</f>
        <v/>
      </c>
      <c r="BG101" s="84" t="str">
        <f t="array" ref="BG101">IF(OR((BG$85&gt;=$AY$11:$AY$38)*(BG$48&lt;=$AZ$11:$AZ$38)&gt;0),$B101,"")</f>
        <v/>
      </c>
      <c r="BH101" s="84" t="str">
        <f t="array" ref="BH101">IF(OR((BH$85&gt;=$AY$11:$AY$38)*(BH$48&lt;=$AZ$11:$AZ$38)&gt;0),$B101,"")</f>
        <v/>
      </c>
      <c r="BI101" s="84" t="str">
        <f t="array" ref="BI101">IF(OR((BI$85&gt;=$AY$11:$AY$38)*(BI$48&lt;=$AZ$11:$AZ$38)&gt;0),$B101,"")</f>
        <v/>
      </c>
      <c r="BJ101" s="84" t="str">
        <f t="array" ref="BJ101">IF(OR((BJ$85&gt;=$AY$11:$AY$38)*(BJ$48&lt;=$AZ$11:$AZ$38)&gt;0),$B101,"")</f>
        <v/>
      </c>
      <c r="BK101" s="84" t="str">
        <f t="array" ref="BK101">IF(OR((BK$85&gt;=$AY$11:$AY$38)*(BK$48&lt;=$AZ$11:$AZ$38)&gt;0),$B101,"")</f>
        <v/>
      </c>
      <c r="BL101" s="84" t="str">
        <f t="array" ref="BL101">IF(OR((BL$85&gt;=$AY$11:$AY$38)*(BL$48&lt;=$AZ$11:$AZ$38)&gt;0),$B101,"")</f>
        <v/>
      </c>
      <c r="BM101" s="84" t="str">
        <f t="array" ref="BM101">IF(OR((BM$85&gt;=$AY$11:$AY$38)*(BM$48&lt;=$AZ$11:$AZ$38)&gt;0),$B101,"")</f>
        <v/>
      </c>
      <c r="BN101" s="84" t="str">
        <f t="array" ref="BN101">IF(OR((BN$85&gt;=$AY$11:$AY$38)*(BN$48&lt;=$AZ$11:$AZ$38)&gt;0),$B101,"")</f>
        <v/>
      </c>
      <c r="BO101" s="84" t="str">
        <f t="array" ref="BO101">IF(OR((BO$85&gt;=$AY$11:$AY$38)*(BO$48&lt;=$AZ$11:$AZ$38)&gt;0),$B101,"")</f>
        <v/>
      </c>
      <c r="BP101" s="84" t="str">
        <f t="array" ref="BP101">IF(OR((BP$85&gt;=$AY$11:$AY$38)*(BP$48&lt;=$AZ$11:$AZ$38)&gt;0),$B101,"")</f>
        <v/>
      </c>
      <c r="BQ101" s="84" t="str">
        <f t="array" ref="BQ101">IF(OR((BQ$85&gt;=$AY$11:$AY$38)*(BQ$48&lt;=$AZ$11:$AZ$38)&gt;0),$B101,"")</f>
        <v/>
      </c>
      <c r="BR101" s="84" t="str">
        <f t="array" ref="BR101">IF(OR((BR$85&gt;=$AY$11:$AY$38)*(BR$48&lt;=$AZ$11:$AZ$38)&gt;0),$B101,"")</f>
        <v/>
      </c>
      <c r="BS101" s="84" t="str">
        <f t="array" ref="BS101">IF(OR((BS$85&gt;=$AY$11:$AY$38)*(BS$48&lt;=$AZ$11:$AZ$38)&gt;0),$B101,"")</f>
        <v/>
      </c>
      <c r="BU101" s="75" t="s">
        <v>202</v>
      </c>
      <c r="BV101" s="16">
        <v>1188</v>
      </c>
      <c r="BW101" s="84" t="str">
        <f t="array" ref="BW101">IF(OR((BW$85&gt;=$AY$11:$AY$38)*(BW$48&lt;=$AZ$11:$AZ$38)&gt;0),$B101,"")</f>
        <v/>
      </c>
      <c r="BX101" s="84" t="str">
        <f t="array" ref="BX101">IF(OR((BX$85&gt;=$AY$11:$AY$38)*(BX$48&lt;=$AZ$11:$AZ$38)&gt;0),$B101,"")</f>
        <v/>
      </c>
      <c r="BY101" s="84" t="str">
        <f t="array" ref="BY101">IF(OR((BY$85&gt;=$AY$11:$AY$38)*(BY$48&lt;=$AZ$11:$AZ$38)&gt;0),$B101,"")</f>
        <v/>
      </c>
      <c r="BZ101" s="84" t="str">
        <f t="array" ref="BZ101">IF(OR((BZ$85&gt;=$AY$11:$AY$38)*(BZ$48&lt;=$AZ$11:$AZ$38)&gt;0),$B101,"")</f>
        <v/>
      </c>
      <c r="CA101" s="84" t="str">
        <f t="array" ref="CA101">IF(OR((CA$85&gt;=$AY$11:$AY$38)*(CA$48&lt;=$AZ$11:$AZ$38)&gt;0),$B101,"")</f>
        <v/>
      </c>
      <c r="CB101" s="84" t="str">
        <f t="array" ref="CB101">IF(OR((CB$85&gt;=$AY$11:$AY$38)*(CB$48&lt;=$AZ$11:$AZ$38)&gt;0),$B101,"")</f>
        <v/>
      </c>
      <c r="CC101" s="84" t="str">
        <f t="array" ref="CC101">IF(OR((CC$85&gt;=$AY$11:$AY$38)*(CC$48&lt;=$AZ$11:$AZ$38)&gt;0),$B101,"")</f>
        <v/>
      </c>
      <c r="CD101" s="84" t="str">
        <f t="array" ref="CD101">IF(OR((CD$85&gt;=$AY$11:$AY$38)*(CD$48&lt;=$AZ$11:$AZ$38)&gt;0),$B101,"")</f>
        <v/>
      </c>
      <c r="CE101" s="84" t="str">
        <f t="array" ref="CE101">IF(OR((CE$85&gt;=$AY$11:$AY$38)*(CE$48&lt;=$AZ$11:$AZ$38)&gt;0),$B101,"")</f>
        <v/>
      </c>
      <c r="CF101" s="84" t="str">
        <f t="array" ref="CF101">IF(OR((CF$85&gt;=$AY$11:$AY$38)*(CF$48&lt;=$AZ$11:$AZ$38)&gt;0),$B101,"")</f>
        <v/>
      </c>
      <c r="CG101" s="84" t="str">
        <f t="array" ref="CG101">IF(OR((CG$85&gt;=$AY$11:$AY$38)*(CG$48&lt;=$AZ$11:$AZ$38)&gt;0),$B101,"")</f>
        <v/>
      </c>
      <c r="CH101" s="84" t="str">
        <f t="array" ref="CH101">IF(OR((CH$85&gt;=$AY$11:$AY$38)*(CH$48&lt;=$AZ$11:$AZ$38)&gt;0),$B101,"")</f>
        <v/>
      </c>
      <c r="CI101" s="84"/>
      <c r="CJ101" s="84"/>
      <c r="CK101" s="84" t="str">
        <f t="array" ref="CK101">IF(OR((CK$85&gt;=$AY$11:$AY$38)*(CK$48&lt;=$AZ$11:$AZ$38)&gt;0),$B101,"")</f>
        <v/>
      </c>
      <c r="CL101" s="84" t="str">
        <f t="array" ref="CL101">IF(OR((CL$85&gt;=$AY$11:$AY$38)*(CL$48&lt;=$AZ$11:$AZ$38)&gt;0),$B101,"")</f>
        <v/>
      </c>
      <c r="CM101" s="84" t="str">
        <f t="array" ref="CM101">IF(OR((CM$85&gt;=$AY$11:$AY$38)*(CM$48&lt;=$AZ$11:$AZ$38)&gt;0),$B101,"")</f>
        <v/>
      </c>
      <c r="CN101" s="84" t="str">
        <f t="array" ref="CN101">IF(OR((CN$85&gt;=$AY$11:$AY$38)*(CN$48&lt;=$AZ$11:$AZ$38)&gt;0),$B101,"")</f>
        <v/>
      </c>
      <c r="CO101" s="84" t="str">
        <f t="array" ref="CO101">IF(OR((CO$85&gt;=$AY$11:$AY$38)*(CO$48&lt;=$AZ$11:$AZ$38)&gt;0),$B101,"")</f>
        <v/>
      </c>
      <c r="CP101" s="84" t="str">
        <f t="array" ref="CP101">IF(OR((CP$85&gt;=$AY$11:$AY$38)*(CP$48&lt;=$AZ$11:$AZ$38)&gt;0),$B101,"")</f>
        <v/>
      </c>
      <c r="CQ101" s="84" t="str">
        <f t="array" ref="CQ101">IF(OR((CQ$85&gt;=$AY$11:$AY$38)*(CQ$48&lt;=$AZ$11:$AZ$38)&gt;0),$B101,"")</f>
        <v/>
      </c>
      <c r="CR101" s="84" t="str">
        <f t="array" ref="CR101">IF(OR((CR$85&gt;=$AY$11:$AY$38)*(CR$48&lt;=$AZ$11:$AZ$38)&gt;0),$B101,"")</f>
        <v/>
      </c>
      <c r="CS101" s="84" t="str">
        <f t="array" ref="CS101">IF(OR((CS$85&gt;=$AY$11:$AY$38)*(CS$48&lt;=$AZ$11:$AZ$38)&gt;0),$B101,"")</f>
        <v/>
      </c>
      <c r="CT101" s="84" t="str">
        <f t="array" ref="CT101">IF(OR((CT$85&gt;=$AY$11:$AY$38)*(CT$48&lt;=$AZ$11:$AZ$38)&gt;0),$B101,"")</f>
        <v/>
      </c>
      <c r="CU101" s="84" t="str">
        <f t="array" ref="CU101">IF(OR((CU$85&gt;=$AY$11:$AY$38)*(CU$48&lt;=$AZ$11:$AZ$38)&gt;0),$B101,"")</f>
        <v/>
      </c>
      <c r="CV101" s="84" t="str">
        <f t="array" ref="CV101">IF(OR((CV$85&gt;=$AY$11:$AY$38)*(CV$48&lt;=$AZ$11:$AZ$38)&gt;0),$B101,"")</f>
        <v/>
      </c>
      <c r="CW101" s="84" t="str">
        <f t="array" ref="CW101">IF(OR((CW$85&gt;=$AY$11:$AY$38)*(CW$48&lt;=$AZ$11:$AZ$38)&gt;0),$B101,"")</f>
        <v/>
      </c>
      <c r="CX101" s="84" t="str">
        <f t="array" ref="CX101">IF(OR((CX$85&gt;=$AY$11:$AY$38)*(CX$48&lt;=$AZ$11:$AZ$38)&gt;0),$B101,"")</f>
        <v/>
      </c>
      <c r="CY101" s="84" t="str">
        <f t="array" ref="CY101">IF(OR((CY$85&gt;=$AY$11:$AY$38)*(CY$48&lt;=$AZ$11:$AZ$38)&gt;0),$B101,"")</f>
        <v/>
      </c>
      <c r="CZ101" s="84" t="str">
        <f t="array" ref="CZ101">IF(OR((CZ$85&gt;=$AY$11:$AY$38)*(CZ$48&lt;=$AZ$11:$AZ$38)&gt;0),$B101,"")</f>
        <v/>
      </c>
      <c r="DA101" s="84" t="str">
        <f t="array" ref="DA101">IF(OR((DA$85&gt;=$AY$11:$AY$38)*(DA$48&lt;=$AZ$11:$AZ$38)&gt;0),$B101,"")</f>
        <v/>
      </c>
      <c r="DB101" s="84" t="str">
        <f t="array" ref="DB101">IF(OR((DB$85&gt;=$AY$11:$AY$38)*(DB$48&lt;=$AZ$11:$AZ$38)&gt;0),$B101,"")</f>
        <v/>
      </c>
      <c r="DC101" s="84" t="str">
        <f t="array" ref="DC101">IF(OR((DC$85&gt;=$AY$11:$AY$38)*(DC$48&lt;=$AZ$11:$AZ$38)&gt;0),$B101,"")</f>
        <v/>
      </c>
    </row>
    <row r="102" spans="1:107">
      <c r="A102" s="75" t="s">
        <v>203</v>
      </c>
      <c r="B102" s="16">
        <v>24</v>
      </c>
      <c r="C102" s="84" t="str">
        <f t="array" ref="C102">IF(OR((C$85&gt;=$AY$11:$AY$38)*(C$48&lt;=$AZ$11:$AZ$38)&gt;0),$B102,"")</f>
        <v/>
      </c>
      <c r="D102" s="84" t="str">
        <f t="array" ref="D102">IF(OR((D$85&gt;=$AY$11:$AY$38)*(D$48&lt;=$AZ$11:$AZ$38)&gt;0),$B102,"")</f>
        <v/>
      </c>
      <c r="E102" s="84" t="str">
        <f t="array" ref="E102">IF(OR((E$85&gt;=$AY$11:$AY$38)*(E$48&lt;=$AZ$11:$AZ$38)&gt;0),$B102,"")</f>
        <v/>
      </c>
      <c r="F102" s="84" t="str">
        <f t="array" ref="F102">IF(OR((F$85&gt;=$AY$11:$AY$38)*(F$48&lt;=$AZ$11:$AZ$38)&gt;0),$B102,"")</f>
        <v/>
      </c>
      <c r="G102" s="84" t="str">
        <f t="array" ref="G102">IF(OR((G$85&gt;=$AY$11:$AY$38)*(G$48&lt;=$AZ$11:$AZ$38)&gt;0),$B102,"")</f>
        <v/>
      </c>
      <c r="H102" s="84" t="str">
        <f t="array" ref="H102">IF(OR((H$85&gt;=$AY$11:$AY$38)*(H$48&lt;=$AZ$11:$AZ$38)&gt;0),$B102,"")</f>
        <v/>
      </c>
      <c r="I102" s="84" t="str">
        <f t="array" ref="I102">IF(OR((I$85&gt;=$AY$11:$AY$38)*(I$48&lt;=$AZ$11:$AZ$38)&gt;0),$B102,"")</f>
        <v/>
      </c>
      <c r="J102" s="84" t="str">
        <f t="array" ref="J102">IF(OR((J$85&gt;=$AY$11:$AY$38)*(J$48&lt;=$AZ$11:$AZ$38)&gt;0),$B102,"")</f>
        <v/>
      </c>
      <c r="K102" s="84" t="str">
        <f t="array" ref="K102">IF(OR((K$85&gt;=$AY$11:$AY$38)*(K$48&lt;=$AZ$11:$AZ$38)&gt;0),$B102,"")</f>
        <v/>
      </c>
      <c r="L102" s="84" t="str">
        <f t="array" ref="L102">IF(OR((L$85&gt;=$AY$11:$AY$38)*(L$48&lt;=$AZ$11:$AZ$38)&gt;0),$B102,"")</f>
        <v/>
      </c>
      <c r="M102" s="84" t="str">
        <f t="array" ref="M102">IF(OR((M$85&gt;=$AY$11:$AY$38)*(M$48&lt;=$AZ$11:$AZ$38)&gt;0),$B102,"")</f>
        <v/>
      </c>
      <c r="N102" s="84" t="str">
        <f t="array" ref="N102">IF(OR((N$85&gt;=$AY$11:$AY$38)*(N$48&lt;=$AZ$11:$AZ$38)&gt;0),$B102,"")</f>
        <v/>
      </c>
      <c r="O102" s="84"/>
      <c r="P102" s="84"/>
      <c r="Q102" s="84" t="str">
        <f t="array" ref="Q102">IF(OR((Q$85&gt;=$AY$11:$AY$38)*(Q$48&lt;=$AZ$11:$AZ$38)&gt;0),$B102,"")</f>
        <v/>
      </c>
      <c r="R102" s="84" t="str">
        <f t="array" ref="R102">IF(OR((R$85&gt;=$AY$11:$AY$38)*(R$48&lt;=$AZ$11:$AZ$38)&gt;0),$B102,"")</f>
        <v/>
      </c>
      <c r="S102" s="84" t="str">
        <f t="array" ref="S102">IF(OR((S$85&gt;=$AY$11:$AY$38)*(S$48&lt;=$AZ$11:$AZ$38)&gt;0),$B102,"")</f>
        <v/>
      </c>
      <c r="T102" s="84" t="str">
        <f t="array" ref="T102">IF(OR((T$85&gt;=$AY$11:$AY$38)*(T$48&lt;=$AZ$11:$AZ$38)&gt;0),$B102,"")</f>
        <v/>
      </c>
      <c r="U102" s="84" t="str">
        <f t="array" ref="U102">IF(OR((U$85&gt;=$AY$11:$AY$38)*(U$48&lt;=$AZ$11:$AZ$38)&gt;0),$B102,"")</f>
        <v/>
      </c>
      <c r="V102" s="84" t="str">
        <f t="array" ref="V102">IF(OR((V$85&gt;=$AY$11:$AY$38)*(V$48&lt;=$AZ$11:$AZ$38)&gt;0),$B102,"")</f>
        <v/>
      </c>
      <c r="W102" s="84" t="str">
        <f t="array" ref="W102">IF(OR((W$85&gt;=$AY$11:$AY$38)*(W$48&lt;=$AZ$11:$AZ$38)&gt;0),$B102,"")</f>
        <v/>
      </c>
      <c r="X102" s="84" t="str">
        <f t="array" ref="X102">IF(OR((X$85&gt;=$AY$11:$AY$38)*(X$48&lt;=$AZ$11:$AZ$38)&gt;0),$B102,"")</f>
        <v/>
      </c>
      <c r="Y102" s="84" t="str">
        <f t="array" ref="Y102">IF(OR((Y$85&gt;=$AY$11:$AY$38)*(Y$48&lt;=$AZ$11:$AZ$38)&gt;0),$B102,"")</f>
        <v/>
      </c>
      <c r="Z102" s="84" t="str">
        <f t="array" ref="Z102">IF(OR((Z$85&gt;=$AY$11:$AY$38)*(Z$48&lt;=$AZ$11:$AZ$38)&gt;0),$B102,"")</f>
        <v/>
      </c>
      <c r="AA102" s="84" t="str">
        <f t="array" ref="AA102">IF(OR((AA$85&gt;=$AY$11:$AY$38)*(AA$48&lt;=$AZ$11:$AZ$38)&gt;0),$B102,"")</f>
        <v/>
      </c>
      <c r="AB102" s="84" t="str">
        <f t="array" ref="AB102">IF(OR((AB$85&gt;=$AY$11:$AY$38)*(AB$48&lt;=$AZ$11:$AZ$38)&gt;0),$B102,"")</f>
        <v/>
      </c>
      <c r="AC102" s="84" t="str">
        <f t="array" ref="AC102">IF(OR((AC$85&gt;=$AY$11:$AY$38)*(AC$48&lt;=$AZ$11:$AZ$38)&gt;0),$B102,"")</f>
        <v/>
      </c>
      <c r="AD102" s="84" t="str">
        <f t="array" ref="AD102">IF(OR((AD$85&gt;=$AY$11:$AY$38)*(AD$48&lt;=$AZ$11:$AZ$38)&gt;0),$B102,"")</f>
        <v/>
      </c>
      <c r="AE102" s="84" t="str">
        <f t="array" ref="AE102">IF(OR((AE$85&gt;=$AY$11:$AY$38)*(AE$48&lt;=$AZ$11:$AZ$38)&gt;0),$B102,"")</f>
        <v/>
      </c>
      <c r="AF102" s="84" t="str">
        <f t="array" ref="AF102">IF(OR((AF$85&gt;=$AY$11:$AY$38)*(AF$48&lt;=$AZ$11:$AZ$38)&gt;0),$B102,"")</f>
        <v/>
      </c>
      <c r="AG102" s="84" t="str">
        <f t="array" ref="AG102">IF(OR((AG$85&gt;=$AY$11:$AY$38)*(AG$48&lt;=$AZ$11:$AZ$38)&gt;0),$B102,"")</f>
        <v/>
      </c>
      <c r="AH102" s="84" t="str">
        <f t="array" ref="AH102">IF(OR((AH$85&gt;=$AY$11:$AY$38)*(AH$48&lt;=$AZ$11:$AZ$38)&gt;0),$B102,"")</f>
        <v/>
      </c>
      <c r="AI102" s="84" t="str">
        <f t="array" ref="AI102">IF(OR((AI$85&gt;=$AY$11:$AY$38)*(AI$48&lt;=$AZ$11:$AZ$38)&gt;0),$B102,"")</f>
        <v/>
      </c>
      <c r="AK102" s="75" t="s">
        <v>203</v>
      </c>
      <c r="AL102" s="16">
        <v>24</v>
      </c>
      <c r="AM102" s="84" t="str">
        <f t="array" ref="AM102">IF(OR((AM$85&gt;=$AY$11:$AY$38)*(AM$48&lt;=$AZ$11:$AZ$38)&gt;0),$B102,"")</f>
        <v/>
      </c>
      <c r="AN102" s="84" t="str">
        <f t="array" ref="AN102">IF(OR((AN$85&gt;=$AY$11:$AY$38)*(AN$48&lt;=$AZ$11:$AZ$38)&gt;0),$B102,"")</f>
        <v/>
      </c>
      <c r="AO102" s="84" t="str">
        <f t="array" ref="AO102">IF(OR((AO$85&gt;=$AY$11:$AY$38)*(AO$48&lt;=$AZ$11:$AZ$38)&gt;0),$B102,"")</f>
        <v/>
      </c>
      <c r="AP102" s="84" t="str">
        <f t="array" ref="AP102">IF(OR((AP$85&gt;=$AY$11:$AY$38)*(AP$48&lt;=$AZ$11:$AZ$38)&gt;0),$B102,"")</f>
        <v/>
      </c>
      <c r="AQ102" s="84" t="str">
        <f t="array" ref="AQ102">IF(OR((AQ$85&gt;=$AY$11:$AY$38)*(AQ$48&lt;=$AZ$11:$AZ$38)&gt;0),$B102,"")</f>
        <v/>
      </c>
      <c r="AR102" s="84" t="str">
        <f t="array" ref="AR102">IF(OR((AR$85&gt;=$AY$11:$AY$38)*(AR$48&lt;=$AZ$11:$AZ$38)&gt;0),$B102,"")</f>
        <v/>
      </c>
      <c r="AS102" s="84" t="str">
        <f t="array" ref="AS102">IF(OR((AS$85&gt;=$AY$11:$AY$38)*(AS$48&lt;=$AZ$11:$AZ$38)&gt;0),$B102,"")</f>
        <v/>
      </c>
      <c r="AT102" s="84" t="str">
        <f t="array" ref="AT102">IF(OR((AT$85&gt;=$AY$11:$AY$38)*(AT$48&lt;=$AZ$11:$AZ$38)&gt;0),$B102,"")</f>
        <v/>
      </c>
      <c r="AU102" s="84" t="str">
        <f t="array" ref="AU102">IF(OR((AU$85&gt;=$AY$11:$AY$38)*(AU$48&lt;=$AZ$11:$AZ$38)&gt;0),$B102,"")</f>
        <v/>
      </c>
      <c r="AV102" s="84" t="str">
        <f t="array" ref="AV102">IF(OR((AV$85&gt;=$AY$11:$AY$38)*(AV$48&lt;=$AZ$11:$AZ$38)&gt;0),$B102,"")</f>
        <v/>
      </c>
      <c r="AW102" s="84" t="str">
        <f t="array" ref="AW102">IF(OR((AW$85&gt;=$AY$11:$AY$38)*(AW$48&lt;=$AZ$11:$AZ$38)&gt;0),$B102,"")</f>
        <v/>
      </c>
      <c r="AX102" s="84" t="str">
        <f t="array" ref="AX102">IF(OR((AX$85&gt;=$AY$11:$AY$38)*(AX$48&lt;=$AZ$11:$AZ$38)&gt;0),$B102,"")</f>
        <v/>
      </c>
      <c r="AY102" s="84"/>
      <c r="AZ102" s="84"/>
      <c r="BA102" s="84" t="str">
        <f t="array" ref="BA102">IF(OR((BA$85&gt;=$AY$11:$AY$38)*(BA$48&lt;=$AZ$11:$AZ$38)&gt;0),$B102,"")</f>
        <v/>
      </c>
      <c r="BB102" s="84" t="str">
        <f t="array" ref="BB102">IF(OR((BB$85&gt;=$AY$11:$AY$38)*(BB$48&lt;=$AZ$11:$AZ$38)&gt;0),$B102,"")</f>
        <v/>
      </c>
      <c r="BC102" s="84" t="str">
        <f t="array" ref="BC102">IF(OR((BC$85&gt;=$AY$11:$AY$38)*(BC$48&lt;=$AZ$11:$AZ$38)&gt;0),$B102,"")</f>
        <v/>
      </c>
      <c r="BD102" s="84" t="str">
        <f t="array" ref="BD102">IF(OR((BD$85&gt;=$AY$11:$AY$38)*(BD$48&lt;=$AZ$11:$AZ$38)&gt;0),$B102,"")</f>
        <v/>
      </c>
      <c r="BE102" s="84" t="str">
        <f t="array" ref="BE102">IF(OR((BE$85&gt;=$AY$11:$AY$38)*(BE$48&lt;=$AZ$11:$AZ$38)&gt;0),$B102,"")</f>
        <v/>
      </c>
      <c r="BF102" s="84" t="str">
        <f t="array" ref="BF102">IF(OR((BF$85&gt;=$AY$11:$AY$38)*(BF$48&lt;=$AZ$11:$AZ$38)&gt;0),$B102,"")</f>
        <v/>
      </c>
      <c r="BG102" s="84" t="str">
        <f t="array" ref="BG102">IF(OR((BG$85&gt;=$AY$11:$AY$38)*(BG$48&lt;=$AZ$11:$AZ$38)&gt;0),$B102,"")</f>
        <v/>
      </c>
      <c r="BH102" s="84" t="str">
        <f t="array" ref="BH102">IF(OR((BH$85&gt;=$AY$11:$AY$38)*(BH$48&lt;=$AZ$11:$AZ$38)&gt;0),$B102,"")</f>
        <v/>
      </c>
      <c r="BI102" s="84" t="str">
        <f t="array" ref="BI102">IF(OR((BI$85&gt;=$AY$11:$AY$38)*(BI$48&lt;=$AZ$11:$AZ$38)&gt;0),$B102,"")</f>
        <v/>
      </c>
      <c r="BJ102" s="84" t="str">
        <f t="array" ref="BJ102">IF(OR((BJ$85&gt;=$AY$11:$AY$38)*(BJ$48&lt;=$AZ$11:$AZ$38)&gt;0),$B102,"")</f>
        <v/>
      </c>
      <c r="BK102" s="84" t="str">
        <f t="array" ref="BK102">IF(OR((BK$85&gt;=$AY$11:$AY$38)*(BK$48&lt;=$AZ$11:$AZ$38)&gt;0),$B102,"")</f>
        <v/>
      </c>
      <c r="BL102" s="84" t="str">
        <f t="array" ref="BL102">IF(OR((BL$85&gt;=$AY$11:$AY$38)*(BL$48&lt;=$AZ$11:$AZ$38)&gt;0),$B102,"")</f>
        <v/>
      </c>
      <c r="BM102" s="84" t="str">
        <f t="array" ref="BM102">IF(OR((BM$85&gt;=$AY$11:$AY$38)*(BM$48&lt;=$AZ$11:$AZ$38)&gt;0),$B102,"")</f>
        <v/>
      </c>
      <c r="BN102" s="84" t="str">
        <f t="array" ref="BN102">IF(OR((BN$85&gt;=$AY$11:$AY$38)*(BN$48&lt;=$AZ$11:$AZ$38)&gt;0),$B102,"")</f>
        <v/>
      </c>
      <c r="BO102" s="84" t="str">
        <f t="array" ref="BO102">IF(OR((BO$85&gt;=$AY$11:$AY$38)*(BO$48&lt;=$AZ$11:$AZ$38)&gt;0),$B102,"")</f>
        <v/>
      </c>
      <c r="BP102" s="84" t="str">
        <f t="array" ref="BP102">IF(OR((BP$85&gt;=$AY$11:$AY$38)*(BP$48&lt;=$AZ$11:$AZ$38)&gt;0),$B102,"")</f>
        <v/>
      </c>
      <c r="BQ102" s="84" t="str">
        <f t="array" ref="BQ102">IF(OR((BQ$85&gt;=$AY$11:$AY$38)*(BQ$48&lt;=$AZ$11:$AZ$38)&gt;0),$B102,"")</f>
        <v/>
      </c>
      <c r="BR102" s="84" t="str">
        <f t="array" ref="BR102">IF(OR((BR$85&gt;=$AY$11:$AY$38)*(BR$48&lt;=$AZ$11:$AZ$38)&gt;0),$B102,"")</f>
        <v/>
      </c>
      <c r="BS102" s="84" t="str">
        <f t="array" ref="BS102">IF(OR((BS$85&gt;=$AY$11:$AY$38)*(BS$48&lt;=$AZ$11:$AZ$38)&gt;0),$B102,"")</f>
        <v/>
      </c>
      <c r="BU102" s="75" t="s">
        <v>203</v>
      </c>
      <c r="BV102" s="16">
        <v>24</v>
      </c>
      <c r="BW102" s="84" t="str">
        <f t="array" ref="BW102">IF(OR((BW$85&gt;=$AY$11:$AY$38)*(BW$48&lt;=$AZ$11:$AZ$38)&gt;0),$B102,"")</f>
        <v/>
      </c>
      <c r="BX102" s="84" t="str">
        <f t="array" ref="BX102">IF(OR((BX$85&gt;=$AY$11:$AY$38)*(BX$48&lt;=$AZ$11:$AZ$38)&gt;0),$B102,"")</f>
        <v/>
      </c>
      <c r="BY102" s="84" t="str">
        <f t="array" ref="BY102">IF(OR((BY$85&gt;=$AY$11:$AY$38)*(BY$48&lt;=$AZ$11:$AZ$38)&gt;0),$B102,"")</f>
        <v/>
      </c>
      <c r="BZ102" s="84" t="str">
        <f t="array" ref="BZ102">IF(OR((BZ$85&gt;=$AY$11:$AY$38)*(BZ$48&lt;=$AZ$11:$AZ$38)&gt;0),$B102,"")</f>
        <v/>
      </c>
      <c r="CA102" s="84" t="str">
        <f t="array" ref="CA102">IF(OR((CA$85&gt;=$AY$11:$AY$38)*(CA$48&lt;=$AZ$11:$AZ$38)&gt;0),$B102,"")</f>
        <v/>
      </c>
      <c r="CB102" s="84" t="str">
        <f t="array" ref="CB102">IF(OR((CB$85&gt;=$AY$11:$AY$38)*(CB$48&lt;=$AZ$11:$AZ$38)&gt;0),$B102,"")</f>
        <v/>
      </c>
      <c r="CC102" s="84" t="str">
        <f t="array" ref="CC102">IF(OR((CC$85&gt;=$AY$11:$AY$38)*(CC$48&lt;=$AZ$11:$AZ$38)&gt;0),$B102,"")</f>
        <v/>
      </c>
      <c r="CD102" s="84" t="str">
        <f t="array" ref="CD102">IF(OR((CD$85&gt;=$AY$11:$AY$38)*(CD$48&lt;=$AZ$11:$AZ$38)&gt;0),$B102,"")</f>
        <v/>
      </c>
      <c r="CE102" s="84" t="str">
        <f t="array" ref="CE102">IF(OR((CE$85&gt;=$AY$11:$AY$38)*(CE$48&lt;=$AZ$11:$AZ$38)&gt;0),$B102,"")</f>
        <v/>
      </c>
      <c r="CF102" s="84" t="str">
        <f t="array" ref="CF102">IF(OR((CF$85&gt;=$AY$11:$AY$38)*(CF$48&lt;=$AZ$11:$AZ$38)&gt;0),$B102,"")</f>
        <v/>
      </c>
      <c r="CG102" s="84" t="str">
        <f t="array" ref="CG102">IF(OR((CG$85&gt;=$AY$11:$AY$38)*(CG$48&lt;=$AZ$11:$AZ$38)&gt;0),$B102,"")</f>
        <v/>
      </c>
      <c r="CH102" s="84" t="str">
        <f t="array" ref="CH102">IF(OR((CH$85&gt;=$AY$11:$AY$38)*(CH$48&lt;=$AZ$11:$AZ$38)&gt;0),$B102,"")</f>
        <v/>
      </c>
      <c r="CI102" s="84"/>
      <c r="CJ102" s="84"/>
      <c r="CK102" s="84" t="str">
        <f t="array" ref="CK102">IF(OR((CK$85&gt;=$AY$11:$AY$38)*(CK$48&lt;=$AZ$11:$AZ$38)&gt;0),$B102,"")</f>
        <v/>
      </c>
      <c r="CL102" s="84" t="str">
        <f t="array" ref="CL102">IF(OR((CL$85&gt;=$AY$11:$AY$38)*(CL$48&lt;=$AZ$11:$AZ$38)&gt;0),$B102,"")</f>
        <v/>
      </c>
      <c r="CM102" s="84" t="str">
        <f t="array" ref="CM102">IF(OR((CM$85&gt;=$AY$11:$AY$38)*(CM$48&lt;=$AZ$11:$AZ$38)&gt;0),$B102,"")</f>
        <v/>
      </c>
      <c r="CN102" s="84" t="str">
        <f t="array" ref="CN102">IF(OR((CN$85&gt;=$AY$11:$AY$38)*(CN$48&lt;=$AZ$11:$AZ$38)&gt;0),$B102,"")</f>
        <v/>
      </c>
      <c r="CO102" s="84" t="str">
        <f t="array" ref="CO102">IF(OR((CO$85&gt;=$AY$11:$AY$38)*(CO$48&lt;=$AZ$11:$AZ$38)&gt;0),$B102,"")</f>
        <v/>
      </c>
      <c r="CP102" s="84" t="str">
        <f t="array" ref="CP102">IF(OR((CP$85&gt;=$AY$11:$AY$38)*(CP$48&lt;=$AZ$11:$AZ$38)&gt;0),$B102,"")</f>
        <v/>
      </c>
      <c r="CQ102" s="84" t="str">
        <f t="array" ref="CQ102">IF(OR((CQ$85&gt;=$AY$11:$AY$38)*(CQ$48&lt;=$AZ$11:$AZ$38)&gt;0),$B102,"")</f>
        <v/>
      </c>
      <c r="CR102" s="84" t="str">
        <f t="array" ref="CR102">IF(OR((CR$85&gt;=$AY$11:$AY$38)*(CR$48&lt;=$AZ$11:$AZ$38)&gt;0),$B102,"")</f>
        <v/>
      </c>
      <c r="CS102" s="84" t="str">
        <f t="array" ref="CS102">IF(OR((CS$85&gt;=$AY$11:$AY$38)*(CS$48&lt;=$AZ$11:$AZ$38)&gt;0),$B102,"")</f>
        <v/>
      </c>
      <c r="CT102" s="84" t="str">
        <f t="array" ref="CT102">IF(OR((CT$85&gt;=$AY$11:$AY$38)*(CT$48&lt;=$AZ$11:$AZ$38)&gt;0),$B102,"")</f>
        <v/>
      </c>
      <c r="CU102" s="84" t="str">
        <f t="array" ref="CU102">IF(OR((CU$85&gt;=$AY$11:$AY$38)*(CU$48&lt;=$AZ$11:$AZ$38)&gt;0),$B102,"")</f>
        <v/>
      </c>
      <c r="CV102" s="84" t="str">
        <f t="array" ref="CV102">IF(OR((CV$85&gt;=$AY$11:$AY$38)*(CV$48&lt;=$AZ$11:$AZ$38)&gt;0),$B102,"")</f>
        <v/>
      </c>
      <c r="CW102" s="84" t="str">
        <f t="array" ref="CW102">IF(OR((CW$85&gt;=$AY$11:$AY$38)*(CW$48&lt;=$AZ$11:$AZ$38)&gt;0),$B102,"")</f>
        <v/>
      </c>
      <c r="CX102" s="84" t="str">
        <f t="array" ref="CX102">IF(OR((CX$85&gt;=$AY$11:$AY$38)*(CX$48&lt;=$AZ$11:$AZ$38)&gt;0),$B102,"")</f>
        <v/>
      </c>
      <c r="CY102" s="84" t="str">
        <f t="array" ref="CY102">IF(OR((CY$85&gt;=$AY$11:$AY$38)*(CY$48&lt;=$AZ$11:$AZ$38)&gt;0),$B102,"")</f>
        <v/>
      </c>
      <c r="CZ102" s="84" t="str">
        <f t="array" ref="CZ102">IF(OR((CZ$85&gt;=$AY$11:$AY$38)*(CZ$48&lt;=$AZ$11:$AZ$38)&gt;0),$B102,"")</f>
        <v/>
      </c>
      <c r="DA102" s="84" t="str">
        <f t="array" ref="DA102">IF(OR((DA$85&gt;=$AY$11:$AY$38)*(DA$48&lt;=$AZ$11:$AZ$38)&gt;0),$B102,"")</f>
        <v/>
      </c>
      <c r="DB102" s="84" t="str">
        <f t="array" ref="DB102">IF(OR((DB$85&gt;=$AY$11:$AY$38)*(DB$48&lt;=$AZ$11:$AZ$38)&gt;0),$B102,"")</f>
        <v/>
      </c>
      <c r="DC102" s="84" t="str">
        <f t="array" ref="DC102">IF(OR((DC$85&gt;=$AY$11:$AY$38)*(DC$48&lt;=$AZ$11:$AZ$38)&gt;0),$B102,"")</f>
        <v/>
      </c>
    </row>
    <row r="103" spans="1:107">
      <c r="A103" s="75" t="s">
        <v>204</v>
      </c>
      <c r="B103" s="16">
        <v>1</v>
      </c>
      <c r="C103" s="84" t="str">
        <f t="array" ref="C103">IF(OR((C$85&gt;=$AY$11:$AY$38)*(C$48&lt;=$AZ$11:$AZ$38)&gt;0),$B103,"")</f>
        <v/>
      </c>
      <c r="D103" s="84" t="str">
        <f t="array" ref="D103">IF(OR((D$85&gt;=$AY$11:$AY$38)*(D$48&lt;=$AZ$11:$AZ$38)&gt;0),$B103,"")</f>
        <v/>
      </c>
      <c r="E103" s="84" t="str">
        <f t="array" ref="E103">IF(OR((E$85&gt;=$AY$11:$AY$38)*(E$48&lt;=$AZ$11:$AZ$38)&gt;0),$B103,"")</f>
        <v/>
      </c>
      <c r="F103" s="84" t="str">
        <f t="array" ref="F103">IF(OR((F$85&gt;=$AY$11:$AY$38)*(F$48&lt;=$AZ$11:$AZ$38)&gt;0),$B103,"")</f>
        <v/>
      </c>
      <c r="G103" s="84" t="str">
        <f t="array" ref="G103">IF(OR((G$85&gt;=$AY$11:$AY$38)*(G$48&lt;=$AZ$11:$AZ$38)&gt;0),$B103,"")</f>
        <v/>
      </c>
      <c r="H103" s="84" t="str">
        <f t="array" ref="H103">IF(OR((H$85&gt;=$AY$11:$AY$38)*(H$48&lt;=$AZ$11:$AZ$38)&gt;0),$B103,"")</f>
        <v/>
      </c>
      <c r="I103" s="84" t="str">
        <f t="array" ref="I103">IF(OR((I$85&gt;=$AY$11:$AY$38)*(I$48&lt;=$AZ$11:$AZ$38)&gt;0),$B103,"")</f>
        <v/>
      </c>
      <c r="J103" s="84" t="str">
        <f t="array" ref="J103">IF(OR((J$85&gt;=$AY$11:$AY$38)*(J$48&lt;=$AZ$11:$AZ$38)&gt;0),$B103,"")</f>
        <v/>
      </c>
      <c r="K103" s="84" t="str">
        <f t="array" ref="K103">IF(OR((K$85&gt;=$AY$11:$AY$38)*(K$48&lt;=$AZ$11:$AZ$38)&gt;0),$B103,"")</f>
        <v/>
      </c>
      <c r="L103" s="84" t="str">
        <f t="array" ref="L103">IF(OR((L$85&gt;=$AY$11:$AY$38)*(L$48&lt;=$AZ$11:$AZ$38)&gt;0),$B103,"")</f>
        <v/>
      </c>
      <c r="M103" s="84" t="str">
        <f t="array" ref="M103">IF(OR((M$85&gt;=$AY$11:$AY$38)*(M$48&lt;=$AZ$11:$AZ$38)&gt;0),$B103,"")</f>
        <v/>
      </c>
      <c r="N103" s="84" t="str">
        <f t="array" ref="N103">IF(OR((N$85&gt;=$AY$11:$AY$38)*(N$48&lt;=$AZ$11:$AZ$38)&gt;0),$B103,"")</f>
        <v/>
      </c>
      <c r="O103" s="84"/>
      <c r="P103" s="84"/>
      <c r="Q103" s="84" t="str">
        <f t="array" ref="Q103">IF(OR((Q$85&gt;=$AY$11:$AY$38)*(Q$48&lt;=$AZ$11:$AZ$38)&gt;0),$B103,"")</f>
        <v/>
      </c>
      <c r="R103" s="84" t="str">
        <f t="array" ref="R103">IF(OR((R$85&gt;=$AY$11:$AY$38)*(R$48&lt;=$AZ$11:$AZ$38)&gt;0),$B103,"")</f>
        <v/>
      </c>
      <c r="S103" s="84" t="str">
        <f t="array" ref="S103">IF(OR((S$85&gt;=$AY$11:$AY$38)*(S$48&lt;=$AZ$11:$AZ$38)&gt;0),$B103,"")</f>
        <v/>
      </c>
      <c r="T103" s="84" t="str">
        <f t="array" ref="T103">IF(OR((T$85&gt;=$AY$11:$AY$38)*(T$48&lt;=$AZ$11:$AZ$38)&gt;0),$B103,"")</f>
        <v/>
      </c>
      <c r="U103" s="84" t="str">
        <f t="array" ref="U103">IF(OR((U$85&gt;=$AY$11:$AY$38)*(U$48&lt;=$AZ$11:$AZ$38)&gt;0),$B103,"")</f>
        <v/>
      </c>
      <c r="V103" s="84" t="str">
        <f t="array" ref="V103">IF(OR((V$85&gt;=$AY$11:$AY$38)*(V$48&lt;=$AZ$11:$AZ$38)&gt;0),$B103,"")</f>
        <v/>
      </c>
      <c r="W103" s="84" t="str">
        <f t="array" ref="W103">IF(OR((W$85&gt;=$AY$11:$AY$38)*(W$48&lt;=$AZ$11:$AZ$38)&gt;0),$B103,"")</f>
        <v/>
      </c>
      <c r="X103" s="84" t="str">
        <f t="array" ref="X103">IF(OR((X$85&gt;=$AY$11:$AY$38)*(X$48&lt;=$AZ$11:$AZ$38)&gt;0),$B103,"")</f>
        <v/>
      </c>
      <c r="Y103" s="84" t="str">
        <f t="array" ref="Y103">IF(OR((Y$85&gt;=$AY$11:$AY$38)*(Y$48&lt;=$AZ$11:$AZ$38)&gt;0),$B103,"")</f>
        <v/>
      </c>
      <c r="Z103" s="84" t="str">
        <f t="array" ref="Z103">IF(OR((Z$85&gt;=$AY$11:$AY$38)*(Z$48&lt;=$AZ$11:$AZ$38)&gt;0),$B103,"")</f>
        <v/>
      </c>
      <c r="AA103" s="84" t="str">
        <f t="array" ref="AA103">IF(OR((AA$85&gt;=$AY$11:$AY$38)*(AA$48&lt;=$AZ$11:$AZ$38)&gt;0),$B103,"")</f>
        <v/>
      </c>
      <c r="AB103" s="84" t="str">
        <f t="array" ref="AB103">IF(OR((AB$85&gt;=$AY$11:$AY$38)*(AB$48&lt;=$AZ$11:$AZ$38)&gt;0),$B103,"")</f>
        <v/>
      </c>
      <c r="AC103" s="84" t="str">
        <f t="array" ref="AC103">IF(OR((AC$85&gt;=$AY$11:$AY$38)*(AC$48&lt;=$AZ$11:$AZ$38)&gt;0),$B103,"")</f>
        <v/>
      </c>
      <c r="AD103" s="84" t="str">
        <f t="array" ref="AD103">IF(OR((AD$85&gt;=$AY$11:$AY$38)*(AD$48&lt;=$AZ$11:$AZ$38)&gt;0),$B103,"")</f>
        <v/>
      </c>
      <c r="AE103" s="84" t="str">
        <f t="array" ref="AE103">IF(OR((AE$85&gt;=$AY$11:$AY$38)*(AE$48&lt;=$AZ$11:$AZ$38)&gt;0),$B103,"")</f>
        <v/>
      </c>
      <c r="AF103" s="84" t="str">
        <f t="array" ref="AF103">IF(OR((AF$85&gt;=$AY$11:$AY$38)*(AF$48&lt;=$AZ$11:$AZ$38)&gt;0),$B103,"")</f>
        <v/>
      </c>
      <c r="AG103" s="84" t="str">
        <f t="array" ref="AG103">IF(OR((AG$85&gt;=$AY$11:$AY$38)*(AG$48&lt;=$AZ$11:$AZ$38)&gt;0),$B103,"")</f>
        <v/>
      </c>
      <c r="AH103" s="84" t="str">
        <f t="array" ref="AH103">IF(OR((AH$85&gt;=$AY$11:$AY$38)*(AH$48&lt;=$AZ$11:$AZ$38)&gt;0),$B103,"")</f>
        <v/>
      </c>
      <c r="AI103" s="84" t="str">
        <f t="array" ref="AI103">IF(OR((AI$85&gt;=$AY$11:$AY$38)*(AI$48&lt;=$AZ$11:$AZ$38)&gt;0),$B103,"")</f>
        <v/>
      </c>
      <c r="AK103" s="75" t="s">
        <v>204</v>
      </c>
      <c r="AL103" s="16">
        <v>1</v>
      </c>
      <c r="AM103" s="84" t="str">
        <f t="array" ref="AM103">IF(OR((AM$85&gt;=$AY$11:$AY$38)*(AM$48&lt;=$AZ$11:$AZ$38)&gt;0),$B103,"")</f>
        <v/>
      </c>
      <c r="AN103" s="84" t="str">
        <f t="array" ref="AN103">IF(OR((AN$85&gt;=$AY$11:$AY$38)*(AN$48&lt;=$AZ$11:$AZ$38)&gt;0),$B103,"")</f>
        <v/>
      </c>
      <c r="AO103" s="84" t="str">
        <f t="array" ref="AO103">IF(OR((AO$85&gt;=$AY$11:$AY$38)*(AO$48&lt;=$AZ$11:$AZ$38)&gt;0),$B103,"")</f>
        <v/>
      </c>
      <c r="AP103" s="84" t="str">
        <f t="array" ref="AP103">IF(OR((AP$85&gt;=$AY$11:$AY$38)*(AP$48&lt;=$AZ$11:$AZ$38)&gt;0),$B103,"")</f>
        <v/>
      </c>
      <c r="AQ103" s="84" t="str">
        <f t="array" ref="AQ103">IF(OR((AQ$85&gt;=$AY$11:$AY$38)*(AQ$48&lt;=$AZ$11:$AZ$38)&gt;0),$B103,"")</f>
        <v/>
      </c>
      <c r="AR103" s="84" t="str">
        <f t="array" ref="AR103">IF(OR((AR$85&gt;=$AY$11:$AY$38)*(AR$48&lt;=$AZ$11:$AZ$38)&gt;0),$B103,"")</f>
        <v/>
      </c>
      <c r="AS103" s="84" t="str">
        <f t="array" ref="AS103">IF(OR((AS$85&gt;=$AY$11:$AY$38)*(AS$48&lt;=$AZ$11:$AZ$38)&gt;0),$B103,"")</f>
        <v/>
      </c>
      <c r="AT103" s="84" t="str">
        <f t="array" ref="AT103">IF(OR((AT$85&gt;=$AY$11:$AY$38)*(AT$48&lt;=$AZ$11:$AZ$38)&gt;0),$B103,"")</f>
        <v/>
      </c>
      <c r="AU103" s="84" t="str">
        <f t="array" ref="AU103">IF(OR((AU$85&gt;=$AY$11:$AY$38)*(AU$48&lt;=$AZ$11:$AZ$38)&gt;0),$B103,"")</f>
        <v/>
      </c>
      <c r="AV103" s="84" t="str">
        <f t="array" ref="AV103">IF(OR((AV$85&gt;=$AY$11:$AY$38)*(AV$48&lt;=$AZ$11:$AZ$38)&gt;0),$B103,"")</f>
        <v/>
      </c>
      <c r="AW103" s="84" t="str">
        <f t="array" ref="AW103">IF(OR((AW$85&gt;=$AY$11:$AY$38)*(AW$48&lt;=$AZ$11:$AZ$38)&gt;0),$B103,"")</f>
        <v/>
      </c>
      <c r="AX103" s="84" t="str">
        <f t="array" ref="AX103">IF(OR((AX$85&gt;=$AY$11:$AY$38)*(AX$48&lt;=$AZ$11:$AZ$38)&gt;0),$B103,"")</f>
        <v/>
      </c>
      <c r="AY103" s="84"/>
      <c r="AZ103" s="84"/>
      <c r="BA103" s="84" t="str">
        <f t="array" ref="BA103">IF(OR((BA$85&gt;=$AY$11:$AY$38)*(BA$48&lt;=$AZ$11:$AZ$38)&gt;0),$B103,"")</f>
        <v/>
      </c>
      <c r="BB103" s="84" t="str">
        <f t="array" ref="BB103">IF(OR((BB$85&gt;=$AY$11:$AY$38)*(BB$48&lt;=$AZ$11:$AZ$38)&gt;0),$B103,"")</f>
        <v/>
      </c>
      <c r="BC103" s="84" t="str">
        <f t="array" ref="BC103">IF(OR((BC$85&gt;=$AY$11:$AY$38)*(BC$48&lt;=$AZ$11:$AZ$38)&gt;0),$B103,"")</f>
        <v/>
      </c>
      <c r="BD103" s="84" t="str">
        <f t="array" ref="BD103">IF(OR((BD$85&gt;=$AY$11:$AY$38)*(BD$48&lt;=$AZ$11:$AZ$38)&gt;0),$B103,"")</f>
        <v/>
      </c>
      <c r="BE103" s="84" t="str">
        <f t="array" ref="BE103">IF(OR((BE$85&gt;=$AY$11:$AY$38)*(BE$48&lt;=$AZ$11:$AZ$38)&gt;0),$B103,"")</f>
        <v/>
      </c>
      <c r="BF103" s="84" t="str">
        <f t="array" ref="BF103">IF(OR((BF$85&gt;=$AY$11:$AY$38)*(BF$48&lt;=$AZ$11:$AZ$38)&gt;0),$B103,"")</f>
        <v/>
      </c>
      <c r="BG103" s="84" t="str">
        <f t="array" ref="BG103">IF(OR((BG$85&gt;=$AY$11:$AY$38)*(BG$48&lt;=$AZ$11:$AZ$38)&gt;0),$B103,"")</f>
        <v/>
      </c>
      <c r="BH103" s="84" t="str">
        <f t="array" ref="BH103">IF(OR((BH$85&gt;=$AY$11:$AY$38)*(BH$48&lt;=$AZ$11:$AZ$38)&gt;0),$B103,"")</f>
        <v/>
      </c>
      <c r="BI103" s="84" t="str">
        <f t="array" ref="BI103">IF(OR((BI$85&gt;=$AY$11:$AY$38)*(BI$48&lt;=$AZ$11:$AZ$38)&gt;0),$B103,"")</f>
        <v/>
      </c>
      <c r="BJ103" s="84" t="str">
        <f t="array" ref="BJ103">IF(OR((BJ$85&gt;=$AY$11:$AY$38)*(BJ$48&lt;=$AZ$11:$AZ$38)&gt;0),$B103,"")</f>
        <v/>
      </c>
      <c r="BK103" s="84" t="str">
        <f t="array" ref="BK103">IF(OR((BK$85&gt;=$AY$11:$AY$38)*(BK$48&lt;=$AZ$11:$AZ$38)&gt;0),$B103,"")</f>
        <v/>
      </c>
      <c r="BL103" s="84" t="str">
        <f t="array" ref="BL103">IF(OR((BL$85&gt;=$AY$11:$AY$38)*(BL$48&lt;=$AZ$11:$AZ$38)&gt;0),$B103,"")</f>
        <v/>
      </c>
      <c r="BM103" s="84" t="str">
        <f t="array" ref="BM103">IF(OR((BM$85&gt;=$AY$11:$AY$38)*(BM$48&lt;=$AZ$11:$AZ$38)&gt;0),$B103,"")</f>
        <v/>
      </c>
      <c r="BN103" s="84" t="str">
        <f t="array" ref="BN103">IF(OR((BN$85&gt;=$AY$11:$AY$38)*(BN$48&lt;=$AZ$11:$AZ$38)&gt;0),$B103,"")</f>
        <v/>
      </c>
      <c r="BO103" s="84" t="str">
        <f t="array" ref="BO103">IF(OR((BO$85&gt;=$AY$11:$AY$38)*(BO$48&lt;=$AZ$11:$AZ$38)&gt;0),$B103,"")</f>
        <v/>
      </c>
      <c r="BP103" s="84" t="str">
        <f t="array" ref="BP103">IF(OR((BP$85&gt;=$AY$11:$AY$38)*(BP$48&lt;=$AZ$11:$AZ$38)&gt;0),$B103,"")</f>
        <v/>
      </c>
      <c r="BQ103" s="84" t="str">
        <f t="array" ref="BQ103">IF(OR((BQ$85&gt;=$AY$11:$AY$38)*(BQ$48&lt;=$AZ$11:$AZ$38)&gt;0),$B103,"")</f>
        <v/>
      </c>
      <c r="BR103" s="84" t="str">
        <f t="array" ref="BR103">IF(OR((BR$85&gt;=$AY$11:$AY$38)*(BR$48&lt;=$AZ$11:$AZ$38)&gt;0),$B103,"")</f>
        <v/>
      </c>
      <c r="BS103" s="84" t="str">
        <f t="array" ref="BS103">IF(OR((BS$85&gt;=$AY$11:$AY$38)*(BS$48&lt;=$AZ$11:$AZ$38)&gt;0),$B103,"")</f>
        <v/>
      </c>
      <c r="BU103" s="75" t="s">
        <v>204</v>
      </c>
      <c r="BV103" s="16">
        <v>1</v>
      </c>
      <c r="BW103" s="84" t="str">
        <f t="array" ref="BW103">IF(OR((BW$85&gt;=$AY$11:$AY$38)*(BW$48&lt;=$AZ$11:$AZ$38)&gt;0),$B103,"")</f>
        <v/>
      </c>
      <c r="BX103" s="84" t="str">
        <f t="array" ref="BX103">IF(OR((BX$85&gt;=$AY$11:$AY$38)*(BX$48&lt;=$AZ$11:$AZ$38)&gt;0),$B103,"")</f>
        <v/>
      </c>
      <c r="BY103" s="84" t="str">
        <f t="array" ref="BY103">IF(OR((BY$85&gt;=$AY$11:$AY$38)*(BY$48&lt;=$AZ$11:$AZ$38)&gt;0),$B103,"")</f>
        <v/>
      </c>
      <c r="BZ103" s="84" t="str">
        <f t="array" ref="BZ103">IF(OR((BZ$85&gt;=$AY$11:$AY$38)*(BZ$48&lt;=$AZ$11:$AZ$38)&gt;0),$B103,"")</f>
        <v/>
      </c>
      <c r="CA103" s="84" t="str">
        <f t="array" ref="CA103">IF(OR((CA$85&gt;=$AY$11:$AY$38)*(CA$48&lt;=$AZ$11:$AZ$38)&gt;0),$B103,"")</f>
        <v/>
      </c>
      <c r="CB103" s="84" t="str">
        <f t="array" ref="CB103">IF(OR((CB$85&gt;=$AY$11:$AY$38)*(CB$48&lt;=$AZ$11:$AZ$38)&gt;0),$B103,"")</f>
        <v/>
      </c>
      <c r="CC103" s="84" t="str">
        <f t="array" ref="CC103">IF(OR((CC$85&gt;=$AY$11:$AY$38)*(CC$48&lt;=$AZ$11:$AZ$38)&gt;0),$B103,"")</f>
        <v/>
      </c>
      <c r="CD103" s="84" t="str">
        <f t="array" ref="CD103">IF(OR((CD$85&gt;=$AY$11:$AY$38)*(CD$48&lt;=$AZ$11:$AZ$38)&gt;0),$B103,"")</f>
        <v/>
      </c>
      <c r="CE103" s="84" t="str">
        <f t="array" ref="CE103">IF(OR((CE$85&gt;=$AY$11:$AY$38)*(CE$48&lt;=$AZ$11:$AZ$38)&gt;0),$B103,"")</f>
        <v/>
      </c>
      <c r="CF103" s="84" t="str">
        <f t="array" ref="CF103">IF(OR((CF$85&gt;=$AY$11:$AY$38)*(CF$48&lt;=$AZ$11:$AZ$38)&gt;0),$B103,"")</f>
        <v/>
      </c>
      <c r="CG103" s="84" t="str">
        <f t="array" ref="CG103">IF(OR((CG$85&gt;=$AY$11:$AY$38)*(CG$48&lt;=$AZ$11:$AZ$38)&gt;0),$B103,"")</f>
        <v/>
      </c>
      <c r="CH103" s="84" t="str">
        <f t="array" ref="CH103">IF(OR((CH$85&gt;=$AY$11:$AY$38)*(CH$48&lt;=$AZ$11:$AZ$38)&gt;0),$B103,"")</f>
        <v/>
      </c>
      <c r="CI103" s="84"/>
      <c r="CJ103" s="84"/>
      <c r="CK103" s="84" t="str">
        <f t="array" ref="CK103">IF(OR((CK$85&gt;=$AY$11:$AY$38)*(CK$48&lt;=$AZ$11:$AZ$38)&gt;0),$B103,"")</f>
        <v/>
      </c>
      <c r="CL103" s="84" t="str">
        <f t="array" ref="CL103">IF(OR((CL$85&gt;=$AY$11:$AY$38)*(CL$48&lt;=$AZ$11:$AZ$38)&gt;0),$B103,"")</f>
        <v/>
      </c>
      <c r="CM103" s="84" t="str">
        <f t="array" ref="CM103">IF(OR((CM$85&gt;=$AY$11:$AY$38)*(CM$48&lt;=$AZ$11:$AZ$38)&gt;0),$B103,"")</f>
        <v/>
      </c>
      <c r="CN103" s="84" t="str">
        <f t="array" ref="CN103">IF(OR((CN$85&gt;=$AY$11:$AY$38)*(CN$48&lt;=$AZ$11:$AZ$38)&gt;0),$B103,"")</f>
        <v/>
      </c>
      <c r="CO103" s="84" t="str">
        <f t="array" ref="CO103">IF(OR((CO$85&gt;=$AY$11:$AY$38)*(CO$48&lt;=$AZ$11:$AZ$38)&gt;0),$B103,"")</f>
        <v/>
      </c>
      <c r="CP103" s="84" t="str">
        <f t="array" ref="CP103">IF(OR((CP$85&gt;=$AY$11:$AY$38)*(CP$48&lt;=$AZ$11:$AZ$38)&gt;0),$B103,"")</f>
        <v/>
      </c>
      <c r="CQ103" s="84" t="str">
        <f t="array" ref="CQ103">IF(OR((CQ$85&gt;=$AY$11:$AY$38)*(CQ$48&lt;=$AZ$11:$AZ$38)&gt;0),$B103,"")</f>
        <v/>
      </c>
      <c r="CR103" s="84" t="str">
        <f t="array" ref="CR103">IF(OR((CR$85&gt;=$AY$11:$AY$38)*(CR$48&lt;=$AZ$11:$AZ$38)&gt;0),$B103,"")</f>
        <v/>
      </c>
      <c r="CS103" s="84" t="str">
        <f t="array" ref="CS103">IF(OR((CS$85&gt;=$AY$11:$AY$38)*(CS$48&lt;=$AZ$11:$AZ$38)&gt;0),$B103,"")</f>
        <v/>
      </c>
      <c r="CT103" s="84" t="str">
        <f t="array" ref="CT103">IF(OR((CT$85&gt;=$AY$11:$AY$38)*(CT$48&lt;=$AZ$11:$AZ$38)&gt;0),$B103,"")</f>
        <v/>
      </c>
      <c r="CU103" s="84" t="str">
        <f t="array" ref="CU103">IF(OR((CU$85&gt;=$AY$11:$AY$38)*(CU$48&lt;=$AZ$11:$AZ$38)&gt;0),$B103,"")</f>
        <v/>
      </c>
      <c r="CV103" s="84" t="str">
        <f t="array" ref="CV103">IF(OR((CV$85&gt;=$AY$11:$AY$38)*(CV$48&lt;=$AZ$11:$AZ$38)&gt;0),$B103,"")</f>
        <v/>
      </c>
      <c r="CW103" s="84" t="str">
        <f t="array" ref="CW103">IF(OR((CW$85&gt;=$AY$11:$AY$38)*(CW$48&lt;=$AZ$11:$AZ$38)&gt;0),$B103,"")</f>
        <v/>
      </c>
      <c r="CX103" s="84" t="str">
        <f t="array" ref="CX103">IF(OR((CX$85&gt;=$AY$11:$AY$38)*(CX$48&lt;=$AZ$11:$AZ$38)&gt;0),$B103,"")</f>
        <v/>
      </c>
      <c r="CY103" s="84" t="str">
        <f t="array" ref="CY103">IF(OR((CY$85&gt;=$AY$11:$AY$38)*(CY$48&lt;=$AZ$11:$AZ$38)&gt;0),$B103,"")</f>
        <v/>
      </c>
      <c r="CZ103" s="84" t="str">
        <f t="array" ref="CZ103">IF(OR((CZ$85&gt;=$AY$11:$AY$38)*(CZ$48&lt;=$AZ$11:$AZ$38)&gt;0),$B103,"")</f>
        <v/>
      </c>
      <c r="DA103" s="84" t="str">
        <f t="array" ref="DA103">IF(OR((DA$85&gt;=$AY$11:$AY$38)*(DA$48&lt;=$AZ$11:$AZ$38)&gt;0),$B103,"")</f>
        <v/>
      </c>
      <c r="DB103" s="84" t="str">
        <f t="array" ref="DB103">IF(OR((DB$85&gt;=$AY$11:$AY$38)*(DB$48&lt;=$AZ$11:$AZ$38)&gt;0),$B103,"")</f>
        <v/>
      </c>
      <c r="DC103" s="84" t="str">
        <f t="array" ref="DC103">IF(OR((DC$85&gt;=$AY$11:$AY$38)*(DC$48&lt;=$AZ$11:$AZ$38)&gt;0),$B103,"")</f>
        <v/>
      </c>
    </row>
    <row r="104" spans="1:107">
      <c r="A104" s="8"/>
      <c r="B104" s="12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K104" s="8"/>
      <c r="AL104" s="12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U104" s="8"/>
      <c r="BV104" s="12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</row>
    <row r="105" spans="1:107">
      <c r="A105" s="7" t="s">
        <v>205</v>
      </c>
      <c r="B105" s="10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K105" s="7" t="s">
        <v>205</v>
      </c>
      <c r="AL105" s="10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U105" s="7" t="s">
        <v>205</v>
      </c>
      <c r="BV105" s="10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</row>
    <row r="106" spans="1:107">
      <c r="A106" s="75"/>
      <c r="B106" s="11" t="s">
        <v>154</v>
      </c>
      <c r="C106" s="112">
        <f>EOMONTH($A$1,-1)</f>
        <v>46265</v>
      </c>
      <c r="D106" s="112">
        <f t="shared" ref="D106:AI106" si="390">C106+1</f>
        <v>46266</v>
      </c>
      <c r="E106" s="112">
        <f t="shared" si="390"/>
        <v>46267</v>
      </c>
      <c r="F106" s="112">
        <f t="shared" si="390"/>
        <v>46268</v>
      </c>
      <c r="G106" s="112">
        <f t="shared" si="390"/>
        <v>46269</v>
      </c>
      <c r="H106" s="112">
        <f t="shared" si="390"/>
        <v>46270</v>
      </c>
      <c r="I106" s="112">
        <f t="shared" si="390"/>
        <v>46271</v>
      </c>
      <c r="J106" s="112">
        <f t="shared" si="390"/>
        <v>46272</v>
      </c>
      <c r="K106" s="112">
        <f t="shared" si="390"/>
        <v>46273</v>
      </c>
      <c r="L106" s="112">
        <f t="shared" si="390"/>
        <v>46274</v>
      </c>
      <c r="M106" s="112">
        <f t="shared" si="390"/>
        <v>46275</v>
      </c>
      <c r="N106" s="112">
        <f t="shared" si="390"/>
        <v>46276</v>
      </c>
      <c r="O106" s="112">
        <f t="shared" si="390"/>
        <v>46277</v>
      </c>
      <c r="P106" s="112">
        <f t="shared" si="390"/>
        <v>46278</v>
      </c>
      <c r="Q106" s="112">
        <f t="shared" si="390"/>
        <v>46279</v>
      </c>
      <c r="R106" s="112">
        <f t="shared" si="390"/>
        <v>46280</v>
      </c>
      <c r="S106" s="112">
        <f t="shared" si="390"/>
        <v>46281</v>
      </c>
      <c r="T106" s="112">
        <f t="shared" si="390"/>
        <v>46282</v>
      </c>
      <c r="U106" s="112">
        <f t="shared" si="390"/>
        <v>46283</v>
      </c>
      <c r="V106" s="112">
        <f t="shared" si="390"/>
        <v>46284</v>
      </c>
      <c r="W106" s="112">
        <f t="shared" si="390"/>
        <v>46285</v>
      </c>
      <c r="X106" s="112">
        <f t="shared" si="390"/>
        <v>46286</v>
      </c>
      <c r="Y106" s="112">
        <f t="shared" si="390"/>
        <v>46287</v>
      </c>
      <c r="Z106" s="112">
        <f t="shared" si="390"/>
        <v>46288</v>
      </c>
      <c r="AA106" s="112">
        <f t="shared" si="390"/>
        <v>46289</v>
      </c>
      <c r="AB106" s="112">
        <f t="shared" si="390"/>
        <v>46290</v>
      </c>
      <c r="AC106" s="112">
        <f t="shared" si="390"/>
        <v>46291</v>
      </c>
      <c r="AD106" s="112">
        <f t="shared" si="390"/>
        <v>46292</v>
      </c>
      <c r="AE106" s="112">
        <f t="shared" si="390"/>
        <v>46293</v>
      </c>
      <c r="AF106" s="112">
        <f t="shared" si="390"/>
        <v>46294</v>
      </c>
      <c r="AG106" s="112">
        <f t="shared" si="390"/>
        <v>46295</v>
      </c>
      <c r="AH106" s="112">
        <f t="shared" si="390"/>
        <v>46296</v>
      </c>
      <c r="AI106" s="112">
        <f t="shared" si="390"/>
        <v>46297</v>
      </c>
      <c r="AK106" s="75"/>
      <c r="AL106" s="11" t="s">
        <v>154</v>
      </c>
      <c r="AM106" s="112">
        <f>EOMONTH($A$1,-1)</f>
        <v>46265</v>
      </c>
      <c r="AN106" s="112">
        <f t="shared" ref="AN106" si="391">AM106+1</f>
        <v>46266</v>
      </c>
      <c r="AO106" s="112">
        <f t="shared" ref="AO106" si="392">AN106+1</f>
        <v>46267</v>
      </c>
      <c r="AP106" s="112">
        <f t="shared" ref="AP106" si="393">AO106+1</f>
        <v>46268</v>
      </c>
      <c r="AQ106" s="112">
        <f t="shared" ref="AQ106" si="394">AP106+1</f>
        <v>46269</v>
      </c>
      <c r="AR106" s="112">
        <f t="shared" ref="AR106" si="395">AQ106+1</f>
        <v>46270</v>
      </c>
      <c r="AS106" s="112">
        <f t="shared" ref="AS106" si="396">AR106+1</f>
        <v>46271</v>
      </c>
      <c r="AT106" s="112">
        <f t="shared" ref="AT106" si="397">AS106+1</f>
        <v>46272</v>
      </c>
      <c r="AU106" s="112">
        <f t="shared" ref="AU106" si="398">AT106+1</f>
        <v>46273</v>
      </c>
      <c r="AV106" s="112">
        <f t="shared" ref="AV106" si="399">AU106+1</f>
        <v>46274</v>
      </c>
      <c r="AW106" s="112">
        <f t="shared" ref="AW106" si="400">AV106+1</f>
        <v>46275</v>
      </c>
      <c r="AX106" s="112">
        <f t="shared" ref="AX106" si="401">AW106+1</f>
        <v>46276</v>
      </c>
      <c r="AY106" s="112">
        <f t="shared" ref="AY106" si="402">AX106+1</f>
        <v>46277</v>
      </c>
      <c r="AZ106" s="112">
        <f t="shared" ref="AZ106" si="403">AY106+1</f>
        <v>46278</v>
      </c>
      <c r="BA106" s="112">
        <f t="shared" ref="BA106" si="404">AZ106+1</f>
        <v>46279</v>
      </c>
      <c r="BB106" s="112">
        <f t="shared" ref="BB106" si="405">BA106+1</f>
        <v>46280</v>
      </c>
      <c r="BC106" s="112">
        <f t="shared" ref="BC106" si="406">BB106+1</f>
        <v>46281</v>
      </c>
      <c r="BD106" s="112">
        <f t="shared" ref="BD106" si="407">BC106+1</f>
        <v>46282</v>
      </c>
      <c r="BE106" s="112">
        <f t="shared" ref="BE106" si="408">BD106+1</f>
        <v>46283</v>
      </c>
      <c r="BF106" s="112">
        <f t="shared" ref="BF106" si="409">BE106+1</f>
        <v>46284</v>
      </c>
      <c r="BG106" s="112">
        <f t="shared" ref="BG106" si="410">BF106+1</f>
        <v>46285</v>
      </c>
      <c r="BH106" s="112">
        <f t="shared" ref="BH106" si="411">BG106+1</f>
        <v>46286</v>
      </c>
      <c r="BI106" s="112">
        <f t="shared" ref="BI106" si="412">BH106+1</f>
        <v>46287</v>
      </c>
      <c r="BJ106" s="112">
        <f t="shared" ref="BJ106" si="413">BI106+1</f>
        <v>46288</v>
      </c>
      <c r="BK106" s="112">
        <f t="shared" ref="BK106" si="414">BJ106+1</f>
        <v>46289</v>
      </c>
      <c r="BL106" s="112">
        <f t="shared" ref="BL106" si="415">BK106+1</f>
        <v>46290</v>
      </c>
      <c r="BM106" s="112">
        <f t="shared" ref="BM106" si="416">BL106+1</f>
        <v>46291</v>
      </c>
      <c r="BN106" s="112">
        <f t="shared" ref="BN106" si="417">BM106+1</f>
        <v>46292</v>
      </c>
      <c r="BO106" s="112">
        <f t="shared" ref="BO106" si="418">BN106+1</f>
        <v>46293</v>
      </c>
      <c r="BP106" s="112">
        <f t="shared" ref="BP106" si="419">BO106+1</f>
        <v>46294</v>
      </c>
      <c r="BQ106" s="112">
        <f t="shared" ref="BQ106" si="420">BP106+1</f>
        <v>46295</v>
      </c>
      <c r="BR106" s="112">
        <f t="shared" ref="BR106" si="421">BQ106+1</f>
        <v>46296</v>
      </c>
      <c r="BS106" s="112">
        <f t="shared" ref="BS106" si="422">BR106+1</f>
        <v>46297</v>
      </c>
      <c r="BU106" s="75"/>
      <c r="BV106" s="11" t="s">
        <v>154</v>
      </c>
      <c r="BW106" s="112">
        <f>EOMONTH($A$1,-1)</f>
        <v>46265</v>
      </c>
      <c r="BX106" s="112">
        <f t="shared" ref="BX106" si="423">BW106+1</f>
        <v>46266</v>
      </c>
      <c r="BY106" s="112">
        <f t="shared" ref="BY106" si="424">BX106+1</f>
        <v>46267</v>
      </c>
      <c r="BZ106" s="112">
        <f t="shared" ref="BZ106" si="425">BY106+1</f>
        <v>46268</v>
      </c>
      <c r="CA106" s="112">
        <f t="shared" ref="CA106" si="426">BZ106+1</f>
        <v>46269</v>
      </c>
      <c r="CB106" s="112">
        <f t="shared" ref="CB106" si="427">CA106+1</f>
        <v>46270</v>
      </c>
      <c r="CC106" s="112">
        <f t="shared" ref="CC106" si="428">CB106+1</f>
        <v>46271</v>
      </c>
      <c r="CD106" s="112">
        <f t="shared" ref="CD106" si="429">CC106+1</f>
        <v>46272</v>
      </c>
      <c r="CE106" s="112">
        <f t="shared" ref="CE106" si="430">CD106+1</f>
        <v>46273</v>
      </c>
      <c r="CF106" s="112">
        <f t="shared" ref="CF106" si="431">CE106+1</f>
        <v>46274</v>
      </c>
      <c r="CG106" s="112">
        <f t="shared" ref="CG106" si="432">CF106+1</f>
        <v>46275</v>
      </c>
      <c r="CH106" s="112">
        <f t="shared" ref="CH106" si="433">CG106+1</f>
        <v>46276</v>
      </c>
      <c r="CI106" s="112">
        <f t="shared" ref="CI106" si="434">CH106+1</f>
        <v>46277</v>
      </c>
      <c r="CJ106" s="112">
        <f t="shared" ref="CJ106" si="435">CI106+1</f>
        <v>46278</v>
      </c>
      <c r="CK106" s="112">
        <f t="shared" ref="CK106" si="436">CJ106+1</f>
        <v>46279</v>
      </c>
      <c r="CL106" s="112">
        <f t="shared" ref="CL106" si="437">CK106+1</f>
        <v>46280</v>
      </c>
      <c r="CM106" s="112">
        <f t="shared" ref="CM106" si="438">CL106+1</f>
        <v>46281</v>
      </c>
      <c r="CN106" s="112">
        <f t="shared" ref="CN106" si="439">CM106+1</f>
        <v>46282</v>
      </c>
      <c r="CO106" s="112">
        <f t="shared" ref="CO106" si="440">CN106+1</f>
        <v>46283</v>
      </c>
      <c r="CP106" s="112">
        <f t="shared" ref="CP106" si="441">CO106+1</f>
        <v>46284</v>
      </c>
      <c r="CQ106" s="112">
        <f t="shared" ref="CQ106" si="442">CP106+1</f>
        <v>46285</v>
      </c>
      <c r="CR106" s="112">
        <f t="shared" ref="CR106" si="443">CQ106+1</f>
        <v>46286</v>
      </c>
      <c r="CS106" s="112">
        <f t="shared" ref="CS106" si="444">CR106+1</f>
        <v>46287</v>
      </c>
      <c r="CT106" s="112">
        <f t="shared" ref="CT106" si="445">CS106+1</f>
        <v>46288</v>
      </c>
      <c r="CU106" s="112">
        <f t="shared" ref="CU106" si="446">CT106+1</f>
        <v>46289</v>
      </c>
      <c r="CV106" s="112">
        <f t="shared" ref="CV106" si="447">CU106+1</f>
        <v>46290</v>
      </c>
      <c r="CW106" s="112">
        <f t="shared" ref="CW106" si="448">CV106+1</f>
        <v>46291</v>
      </c>
      <c r="CX106" s="112">
        <f t="shared" ref="CX106" si="449">CW106+1</f>
        <v>46292</v>
      </c>
      <c r="CY106" s="112">
        <f t="shared" ref="CY106" si="450">CX106+1</f>
        <v>46293</v>
      </c>
      <c r="CZ106" s="112">
        <f t="shared" ref="CZ106" si="451">CY106+1</f>
        <v>46294</v>
      </c>
      <c r="DA106" s="112">
        <f t="shared" ref="DA106" si="452">CZ106+1</f>
        <v>46295</v>
      </c>
      <c r="DB106" s="112">
        <f t="shared" ref="DB106" si="453">DA106+1</f>
        <v>46296</v>
      </c>
      <c r="DC106" s="112">
        <f t="shared" ref="DC106" si="454">DB106+1</f>
        <v>46297</v>
      </c>
    </row>
    <row r="107" spans="1:107">
      <c r="A107" s="75" t="s">
        <v>206</v>
      </c>
      <c r="B107" s="16">
        <f>'[1](Fill In) SIAO'!C3</f>
        <v>57</v>
      </c>
      <c r="C107" s="84" t="str">
        <f t="array" ref="C107">IF(OR((C$106&gt;=$BA$11:$BA$38)*(C$48&lt;=$BB$11:$BB$38)&gt;0),$B107,"")</f>
        <v/>
      </c>
      <c r="D107" s="84" t="str">
        <f t="array" ref="D107">IF(OR((D$106&gt;=$BA$11:$BA$38)*(D$48&lt;=$BB$11:$BB$38)&gt;0),$B107,"")</f>
        <v/>
      </c>
      <c r="E107" s="84" t="str">
        <f t="array" ref="E107">IF(OR((E$106&gt;=$BA$11:$BA$38)*(E$48&lt;=$BB$11:$BB$38)&gt;0),$B107,"")</f>
        <v/>
      </c>
      <c r="F107" s="84" t="str">
        <f t="array" ref="F107">IF(OR((F$106&gt;=$BA$11:$BA$38)*(F$48&lt;=$BB$11:$BB$38)&gt;0),$B107,"")</f>
        <v/>
      </c>
      <c r="G107" s="84" t="str">
        <f t="array" ref="G107">IF(OR((G$106&gt;=$BA$11:$BA$38)*(G$48&lt;=$BB$11:$BB$38)&gt;0),$B107,"")</f>
        <v/>
      </c>
      <c r="H107" s="84" t="str">
        <f t="array" ref="H107">IF(OR((H$106&gt;=$BA$11:$BA$38)*(H$48&lt;=$BB$11:$BB$38)&gt;0),$B107,"")</f>
        <v/>
      </c>
      <c r="I107" s="84" t="str">
        <f t="array" ref="I107">IF(OR((I$106&gt;=$BA$11:$BA$38)*(I$48&lt;=$BB$11:$BB$38)&gt;0),$B107,"")</f>
        <v/>
      </c>
      <c r="J107" s="84" t="str">
        <f t="array" ref="J107">IF(OR((J$106&gt;=$BA$11:$BA$38)*(J$48&lt;=$BB$11:$BB$38)&gt;0),$B107,"")</f>
        <v/>
      </c>
      <c r="K107" s="84" t="str">
        <f t="array" ref="K107">IF(OR((K$106&gt;=$BA$11:$BA$38)*(K$48&lt;=$BB$11:$BB$38)&gt;0),$B107,"")</f>
        <v/>
      </c>
      <c r="L107" s="84" t="str">
        <f t="array" ref="L107">IF(OR((L$106&gt;=$BA$11:$BA$38)*(L$48&lt;=$BB$11:$BB$38)&gt;0),$B107,"")</f>
        <v/>
      </c>
      <c r="M107" s="84" t="str">
        <f t="array" ref="M107">IF(OR((M$106&gt;=$BA$11:$BA$38)*(M$48&lt;=$BB$11:$BB$38)&gt;0),$B107,"")</f>
        <v/>
      </c>
      <c r="N107" s="84" t="str">
        <f t="array" ref="N107">IF(OR((N$106&gt;=$BA$11:$BA$38)*(N$48&lt;=$BB$11:$BB$38)&gt;0),$B107,"")</f>
        <v/>
      </c>
      <c r="O107" s="84" t="str">
        <f t="array" ref="O107">IF(OR((O$106&gt;=$BA$11:$BA$38)*(O$48&lt;=$BB$11:$BB$38)&gt;0),$B107,"")</f>
        <v/>
      </c>
      <c r="P107" s="84" t="str">
        <f t="array" ref="P107">IF(OR((P$106&gt;=$BA$11:$BA$38)*(P$48&lt;=$BB$11:$BB$38)&gt;0),$B107,"")</f>
        <v/>
      </c>
      <c r="Q107" s="84"/>
      <c r="R107" s="84"/>
      <c r="S107" s="84" t="str">
        <f t="array" ref="S107">IF(OR((S$106&gt;=$BA$11:$BA$38)*(S$48&lt;=$BB$11:$BB$38)&gt;0),$B107,"")</f>
        <v/>
      </c>
      <c r="T107" s="84" t="str">
        <f t="array" ref="T107">IF(OR((T$106&gt;=$BA$11:$BA$38)*(T$48&lt;=$BB$11:$BB$38)&gt;0),$B107,"")</f>
        <v/>
      </c>
      <c r="U107" s="84" t="str">
        <f t="array" ref="U107">IF(OR((U$106&gt;=$BA$11:$BA$38)*(U$48&lt;=$BB$11:$BB$38)&gt;0),$B107,"")</f>
        <v/>
      </c>
      <c r="V107" s="84" t="str">
        <f t="array" ref="V107">IF(OR((V$106&gt;=$BA$11:$BA$38)*(V$48&lt;=$BB$11:$BB$38)&gt;0),$B107,"")</f>
        <v/>
      </c>
      <c r="W107" s="84" t="str">
        <f t="array" ref="W107">IF(OR((W$106&gt;=$BA$11:$BA$38)*(W$48&lt;=$BB$11:$BB$38)&gt;0),$B107,"")</f>
        <v/>
      </c>
      <c r="X107" s="84" t="str">
        <f t="array" ref="X107">IF(OR((X$106&gt;=$BA$11:$BA$38)*(X$48&lt;=$BB$11:$BB$38)&gt;0),$B107,"")</f>
        <v/>
      </c>
      <c r="Y107" s="84" t="str">
        <f t="array" ref="Y107">IF(OR((Y$106&gt;=$BA$11:$BA$38)*(Y$48&lt;=$BB$11:$BB$38)&gt;0),$B107,"")</f>
        <v/>
      </c>
      <c r="Z107" s="84" t="str">
        <f t="array" ref="Z107">IF(OR((Z$106&gt;=$BA$11:$BA$38)*(Z$48&lt;=$BB$11:$BB$38)&gt;0),$B107,"")</f>
        <v/>
      </c>
      <c r="AA107" s="84" t="str">
        <f t="array" ref="AA107">IF(OR((AA$106&gt;=$BA$11:$BA$38)*(AA$48&lt;=$BB$11:$BB$38)&gt;0),$B107,"")</f>
        <v/>
      </c>
      <c r="AB107" s="84" t="str">
        <f t="array" ref="AB107">IF(OR((AB$106&gt;=$BA$11:$BA$38)*(AB$48&lt;=$BB$11:$BB$38)&gt;0),$B107,"")</f>
        <v/>
      </c>
      <c r="AC107" s="84" t="str">
        <f t="array" ref="AC107">IF(OR((AC$106&gt;=$BA$11:$BA$38)*(AC$48&lt;=$BB$11:$BB$38)&gt;0),$B107,"")</f>
        <v/>
      </c>
      <c r="AD107" s="84" t="str">
        <f t="array" ref="AD107">IF(OR((AD$106&gt;=$BA$11:$BA$38)*(AD$48&lt;=$BB$11:$BB$38)&gt;0),$B107,"")</f>
        <v/>
      </c>
      <c r="AE107" s="84" t="str">
        <f t="array" ref="AE107">IF(OR((AE$106&gt;=$BA$11:$BA$38)*(AE$48&lt;=$BB$11:$BB$38)&gt;0),$B107,"")</f>
        <v/>
      </c>
      <c r="AF107" s="84" t="str">
        <f t="array" ref="AF107">IF(OR((AF$106&gt;=$BA$11:$BA$38)*(AF$48&lt;=$BB$11:$BB$38)&gt;0),$B107,"")</f>
        <v/>
      </c>
      <c r="AG107" s="84" t="str">
        <f t="array" ref="AG107">IF(OR((AG$106&gt;=$BA$11:$BA$38)*(AG$48&lt;=$BB$11:$BB$38)&gt;0),$B107,"")</f>
        <v/>
      </c>
      <c r="AH107" s="84" t="str">
        <f t="array" ref="AH107">IF(OR((AH$106&gt;=$BA$11:$BA$38)*(AH$48&lt;=$BB$11:$BB$38)&gt;0),$B107,"")</f>
        <v/>
      </c>
      <c r="AI107" s="84" t="str">
        <f t="array" ref="AI107">IF(OR((AI$106&gt;=$BA$11:$BA$38)*(AI$48&lt;=$BB$11:$BB$38)&gt;0),$B107,"")</f>
        <v/>
      </c>
      <c r="AK107" s="75" t="s">
        <v>206</v>
      </c>
      <c r="AL107" s="16">
        <f>'[1](Fill In) SIAO'!AM3</f>
        <v>0</v>
      </c>
      <c r="AM107" s="84" t="str">
        <f t="array" ref="AM107">IF(OR((AM$106&gt;=$BA$11:$BA$38)*(AM$48&lt;=$BB$11:$BB$38)&gt;0),$B107,"")</f>
        <v/>
      </c>
      <c r="AN107" s="84" t="str">
        <f t="array" ref="AN107">IF(OR((AN$106&gt;=$BA$11:$BA$38)*(AN$48&lt;=$BB$11:$BB$38)&gt;0),$B107,"")</f>
        <v/>
      </c>
      <c r="AO107" s="84" t="str">
        <f t="array" ref="AO107">IF(OR((AO$106&gt;=$BA$11:$BA$38)*(AO$48&lt;=$BB$11:$BB$38)&gt;0),$B107,"")</f>
        <v/>
      </c>
      <c r="AP107" s="84" t="str">
        <f t="array" ref="AP107">IF(OR((AP$106&gt;=$BA$11:$BA$38)*(AP$48&lt;=$BB$11:$BB$38)&gt;0),$B107,"")</f>
        <v/>
      </c>
      <c r="AQ107" s="84" t="str">
        <f t="array" ref="AQ107">IF(OR((AQ$106&gt;=$BA$11:$BA$38)*(AQ$48&lt;=$BB$11:$BB$38)&gt;0),$B107,"")</f>
        <v/>
      </c>
      <c r="AR107" s="84" t="str">
        <f t="array" ref="AR107">IF(OR((AR$106&gt;=$BA$11:$BA$38)*(AR$48&lt;=$BB$11:$BB$38)&gt;0),$B107,"")</f>
        <v/>
      </c>
      <c r="AS107" s="84" t="str">
        <f t="array" ref="AS107">IF(OR((AS$106&gt;=$BA$11:$BA$38)*(AS$48&lt;=$BB$11:$BB$38)&gt;0),$B107,"")</f>
        <v/>
      </c>
      <c r="AT107" s="84" t="str">
        <f t="array" ref="AT107">IF(OR((AT$106&gt;=$BA$11:$BA$38)*(AT$48&lt;=$BB$11:$BB$38)&gt;0),$B107,"")</f>
        <v/>
      </c>
      <c r="AU107" s="84" t="str">
        <f t="array" ref="AU107">IF(OR((AU$106&gt;=$BA$11:$BA$38)*(AU$48&lt;=$BB$11:$BB$38)&gt;0),$B107,"")</f>
        <v/>
      </c>
      <c r="AV107" s="84" t="str">
        <f t="array" ref="AV107">IF(OR((AV$106&gt;=$BA$11:$BA$38)*(AV$48&lt;=$BB$11:$BB$38)&gt;0),$B107,"")</f>
        <v/>
      </c>
      <c r="AW107" s="84" t="str">
        <f t="array" ref="AW107">IF(OR((AW$106&gt;=$BA$11:$BA$38)*(AW$48&lt;=$BB$11:$BB$38)&gt;0),$B107,"")</f>
        <v/>
      </c>
      <c r="AX107" s="84" t="str">
        <f t="array" ref="AX107">IF(OR((AX$106&gt;=$BA$11:$BA$38)*(AX$48&lt;=$BB$11:$BB$38)&gt;0),$B107,"")</f>
        <v/>
      </c>
      <c r="AY107" s="84" t="str">
        <f t="array" ref="AY107">IF(OR((AY$106&gt;=$BA$11:$BA$38)*(AY$48&lt;=$BB$11:$BB$38)&gt;0),$B107,"")</f>
        <v/>
      </c>
      <c r="AZ107" s="84" t="str">
        <f t="array" ref="AZ107">IF(OR((AZ$106&gt;=$BA$11:$BA$38)*(AZ$48&lt;=$BB$11:$BB$38)&gt;0),$B107,"")</f>
        <v/>
      </c>
      <c r="BA107" s="84"/>
      <c r="BB107" s="84"/>
      <c r="BC107" s="84" t="str">
        <f t="array" ref="BC107">IF(OR((BC$106&gt;=$BA$11:$BA$38)*(BC$48&lt;=$BB$11:$BB$38)&gt;0),$B107,"")</f>
        <v/>
      </c>
      <c r="BD107" s="84" t="str">
        <f t="array" ref="BD107">IF(OR((BD$106&gt;=$BA$11:$BA$38)*(BD$48&lt;=$BB$11:$BB$38)&gt;0),$B107,"")</f>
        <v/>
      </c>
      <c r="BE107" s="84" t="str">
        <f t="array" ref="BE107">IF(OR((BE$106&gt;=$BA$11:$BA$38)*(BE$48&lt;=$BB$11:$BB$38)&gt;0),$B107,"")</f>
        <v/>
      </c>
      <c r="BF107" s="84" t="str">
        <f t="array" ref="BF107">IF(OR((BF$106&gt;=$BA$11:$BA$38)*(BF$48&lt;=$BB$11:$BB$38)&gt;0),$B107,"")</f>
        <v/>
      </c>
      <c r="BG107" s="84" t="str">
        <f t="array" ref="BG107">IF(OR((BG$106&gt;=$BA$11:$BA$38)*(BG$48&lt;=$BB$11:$BB$38)&gt;0),$B107,"")</f>
        <v/>
      </c>
      <c r="BH107" s="84" t="str">
        <f t="array" ref="BH107">IF(OR((BH$106&gt;=$BA$11:$BA$38)*(BH$48&lt;=$BB$11:$BB$38)&gt;0),$B107,"")</f>
        <v/>
      </c>
      <c r="BI107" s="84" t="str">
        <f t="array" ref="BI107">IF(OR((BI$106&gt;=$BA$11:$BA$38)*(BI$48&lt;=$BB$11:$BB$38)&gt;0),$B107,"")</f>
        <v/>
      </c>
      <c r="BJ107" s="84" t="str">
        <f t="array" ref="BJ107">IF(OR((BJ$106&gt;=$BA$11:$BA$38)*(BJ$48&lt;=$BB$11:$BB$38)&gt;0),$B107,"")</f>
        <v/>
      </c>
      <c r="BK107" s="84" t="str">
        <f t="array" ref="BK107">IF(OR((BK$106&gt;=$BA$11:$BA$38)*(BK$48&lt;=$BB$11:$BB$38)&gt;0),$B107,"")</f>
        <v/>
      </c>
      <c r="BL107" s="84" t="str">
        <f t="array" ref="BL107">IF(OR((BL$106&gt;=$BA$11:$BA$38)*(BL$48&lt;=$BB$11:$BB$38)&gt;0),$B107,"")</f>
        <v/>
      </c>
      <c r="BM107" s="84" t="str">
        <f t="array" ref="BM107">IF(OR((BM$106&gt;=$BA$11:$BA$38)*(BM$48&lt;=$BB$11:$BB$38)&gt;0),$B107,"")</f>
        <v/>
      </c>
      <c r="BN107" s="84" t="str">
        <f t="array" ref="BN107">IF(OR((BN$106&gt;=$BA$11:$BA$38)*(BN$48&lt;=$BB$11:$BB$38)&gt;0),$B107,"")</f>
        <v/>
      </c>
      <c r="BO107" s="84" t="str">
        <f t="array" ref="BO107">IF(OR((BO$106&gt;=$BA$11:$BA$38)*(BO$48&lt;=$BB$11:$BB$38)&gt;0),$B107,"")</f>
        <v/>
      </c>
      <c r="BP107" s="84" t="str">
        <f t="array" ref="BP107">IF(OR((BP$106&gt;=$BA$11:$BA$38)*(BP$48&lt;=$BB$11:$BB$38)&gt;0),$B107,"")</f>
        <v/>
      </c>
      <c r="BQ107" s="84" t="str">
        <f t="array" ref="BQ107">IF(OR((BQ$106&gt;=$BA$11:$BA$38)*(BQ$48&lt;=$BB$11:$BB$38)&gt;0),$B107,"")</f>
        <v/>
      </c>
      <c r="BR107" s="84" t="str">
        <f t="array" ref="BR107">IF(OR((BR$106&gt;=$BA$11:$BA$38)*(BR$48&lt;=$BB$11:$BB$38)&gt;0),$B107,"")</f>
        <v/>
      </c>
      <c r="BS107" s="84" t="str">
        <f t="array" ref="BS107">IF(OR((BS$106&gt;=$BA$11:$BA$38)*(BS$48&lt;=$BB$11:$BB$38)&gt;0),$B107,"")</f>
        <v/>
      </c>
      <c r="BU107" s="75" t="s">
        <v>206</v>
      </c>
      <c r="BV107" s="16">
        <f>'[1](Fill In) SIAO'!BW3</f>
        <v>0</v>
      </c>
      <c r="BW107" s="84" t="str">
        <f t="array" ref="BW107">IF(OR((BW$106&gt;=$BA$11:$BA$38)*(BW$48&lt;=$BB$11:$BB$38)&gt;0),$B107,"")</f>
        <v/>
      </c>
      <c r="BX107" s="84" t="str">
        <f t="array" ref="BX107">IF(OR((BX$106&gt;=$BA$11:$BA$38)*(BX$48&lt;=$BB$11:$BB$38)&gt;0),$B107,"")</f>
        <v/>
      </c>
      <c r="BY107" s="84" t="str">
        <f t="array" ref="BY107">IF(OR((BY$106&gt;=$BA$11:$BA$38)*(BY$48&lt;=$BB$11:$BB$38)&gt;0),$B107,"")</f>
        <v/>
      </c>
      <c r="BZ107" s="84" t="str">
        <f t="array" ref="BZ107">IF(OR((BZ$106&gt;=$BA$11:$BA$38)*(BZ$48&lt;=$BB$11:$BB$38)&gt;0),$B107,"")</f>
        <v/>
      </c>
      <c r="CA107" s="84" t="str">
        <f t="array" ref="CA107">IF(OR((CA$106&gt;=$BA$11:$BA$38)*(CA$48&lt;=$BB$11:$BB$38)&gt;0),$B107,"")</f>
        <v/>
      </c>
      <c r="CB107" s="84" t="str">
        <f t="array" ref="CB107">IF(OR((CB$106&gt;=$BA$11:$BA$38)*(CB$48&lt;=$BB$11:$BB$38)&gt;0),$B107,"")</f>
        <v/>
      </c>
      <c r="CC107" s="84" t="str">
        <f t="array" ref="CC107">IF(OR((CC$106&gt;=$BA$11:$BA$38)*(CC$48&lt;=$BB$11:$BB$38)&gt;0),$B107,"")</f>
        <v/>
      </c>
      <c r="CD107" s="84" t="str">
        <f t="array" ref="CD107">IF(OR((CD$106&gt;=$BA$11:$BA$38)*(CD$48&lt;=$BB$11:$BB$38)&gt;0),$B107,"")</f>
        <v/>
      </c>
      <c r="CE107" s="84" t="str">
        <f t="array" ref="CE107">IF(OR((CE$106&gt;=$BA$11:$BA$38)*(CE$48&lt;=$BB$11:$BB$38)&gt;0),$B107,"")</f>
        <v/>
      </c>
      <c r="CF107" s="84" t="str">
        <f t="array" ref="CF107">IF(OR((CF$106&gt;=$BA$11:$BA$38)*(CF$48&lt;=$BB$11:$BB$38)&gt;0),$B107,"")</f>
        <v/>
      </c>
      <c r="CG107" s="84" t="str">
        <f t="array" ref="CG107">IF(OR((CG$106&gt;=$BA$11:$BA$38)*(CG$48&lt;=$BB$11:$BB$38)&gt;0),$B107,"")</f>
        <v/>
      </c>
      <c r="CH107" s="84" t="str">
        <f t="array" ref="CH107">IF(OR((CH$106&gt;=$BA$11:$BA$38)*(CH$48&lt;=$BB$11:$BB$38)&gt;0),$B107,"")</f>
        <v/>
      </c>
      <c r="CI107" s="84" t="str">
        <f t="array" ref="CI107">IF(OR((CI$106&gt;=$BA$11:$BA$38)*(CI$48&lt;=$BB$11:$BB$38)&gt;0),$B107,"")</f>
        <v/>
      </c>
      <c r="CJ107" s="84" t="str">
        <f t="array" ref="CJ107">IF(OR((CJ$106&gt;=$BA$11:$BA$38)*(CJ$48&lt;=$BB$11:$BB$38)&gt;0),$B107,"")</f>
        <v/>
      </c>
      <c r="CK107" s="84"/>
      <c r="CL107" s="84"/>
      <c r="CM107" s="84" t="str">
        <f t="array" ref="CM107">IF(OR((CM$106&gt;=$BA$11:$BA$38)*(CM$48&lt;=$BB$11:$BB$38)&gt;0),$B107,"")</f>
        <v/>
      </c>
      <c r="CN107" s="84" t="str">
        <f t="array" ref="CN107">IF(OR((CN$106&gt;=$BA$11:$BA$38)*(CN$48&lt;=$BB$11:$BB$38)&gt;0),$B107,"")</f>
        <v/>
      </c>
      <c r="CO107" s="84" t="str">
        <f t="array" ref="CO107">IF(OR((CO$106&gt;=$BA$11:$BA$38)*(CO$48&lt;=$BB$11:$BB$38)&gt;0),$B107,"")</f>
        <v/>
      </c>
      <c r="CP107" s="84" t="str">
        <f t="array" ref="CP107">IF(OR((CP$106&gt;=$BA$11:$BA$38)*(CP$48&lt;=$BB$11:$BB$38)&gt;0),$B107,"")</f>
        <v/>
      </c>
      <c r="CQ107" s="84" t="str">
        <f t="array" ref="CQ107">IF(OR((CQ$106&gt;=$BA$11:$BA$38)*(CQ$48&lt;=$BB$11:$BB$38)&gt;0),$B107,"")</f>
        <v/>
      </c>
      <c r="CR107" s="84" t="str">
        <f t="array" ref="CR107">IF(OR((CR$106&gt;=$BA$11:$BA$38)*(CR$48&lt;=$BB$11:$BB$38)&gt;0),$B107,"")</f>
        <v/>
      </c>
      <c r="CS107" s="84" t="str">
        <f t="array" ref="CS107">IF(OR((CS$106&gt;=$BA$11:$BA$38)*(CS$48&lt;=$BB$11:$BB$38)&gt;0),$B107,"")</f>
        <v/>
      </c>
      <c r="CT107" s="84" t="str">
        <f t="array" ref="CT107">IF(OR((CT$106&gt;=$BA$11:$BA$38)*(CT$48&lt;=$BB$11:$BB$38)&gt;0),$B107,"")</f>
        <v/>
      </c>
      <c r="CU107" s="84" t="str">
        <f t="array" ref="CU107">IF(OR((CU$106&gt;=$BA$11:$BA$38)*(CU$48&lt;=$BB$11:$BB$38)&gt;0),$B107,"")</f>
        <v/>
      </c>
      <c r="CV107" s="84" t="str">
        <f t="array" ref="CV107">IF(OR((CV$106&gt;=$BA$11:$BA$38)*(CV$48&lt;=$BB$11:$BB$38)&gt;0),$B107,"")</f>
        <v/>
      </c>
      <c r="CW107" s="84" t="str">
        <f t="array" ref="CW107">IF(OR((CW$106&gt;=$BA$11:$BA$38)*(CW$48&lt;=$BB$11:$BB$38)&gt;0),$B107,"")</f>
        <v/>
      </c>
      <c r="CX107" s="84" t="str">
        <f t="array" ref="CX107">IF(OR((CX$106&gt;=$BA$11:$BA$38)*(CX$48&lt;=$BB$11:$BB$38)&gt;0),$B107,"")</f>
        <v/>
      </c>
      <c r="CY107" s="84" t="str">
        <f t="array" ref="CY107">IF(OR((CY$106&gt;=$BA$11:$BA$38)*(CY$48&lt;=$BB$11:$BB$38)&gt;0),$B107,"")</f>
        <v/>
      </c>
      <c r="CZ107" s="84" t="str">
        <f t="array" ref="CZ107">IF(OR((CZ$106&gt;=$BA$11:$BA$38)*(CZ$48&lt;=$BB$11:$BB$38)&gt;0),$B107,"")</f>
        <v/>
      </c>
      <c r="DA107" s="84" t="str">
        <f t="array" ref="DA107">IF(OR((DA$106&gt;=$BA$11:$BA$38)*(DA$48&lt;=$BB$11:$BB$38)&gt;0),$B107,"")</f>
        <v/>
      </c>
      <c r="DB107" s="84" t="str">
        <f t="array" ref="DB107">IF(OR((DB$106&gt;=$BA$11:$BA$38)*(DB$48&lt;=$BB$11:$BB$38)&gt;0),$B107,"")</f>
        <v/>
      </c>
      <c r="DC107" s="84" t="str">
        <f t="array" ref="DC107">IF(OR((DC$106&gt;=$BA$11:$BA$38)*(DC$48&lt;=$BB$11:$BB$38)&gt;0),$B107,"")</f>
        <v/>
      </c>
    </row>
    <row r="108" spans="1:107">
      <c r="A108" s="8"/>
      <c r="B108" s="12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K108" s="8"/>
      <c r="AL108" s="12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U108" s="8"/>
      <c r="BV108" s="12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</row>
    <row r="109" spans="1:107">
      <c r="A109" s="7" t="s">
        <v>150</v>
      </c>
      <c r="B109" s="10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K109" s="7" t="s">
        <v>150</v>
      </c>
      <c r="AL109" s="10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U109" s="7" t="s">
        <v>150</v>
      </c>
      <c r="BV109" s="10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</row>
    <row r="110" spans="1:107">
      <c r="A110" s="75"/>
      <c r="B110" s="11" t="s">
        <v>154</v>
      </c>
      <c r="C110" s="112">
        <f>EOMONTH($A$1,-1)</f>
        <v>46265</v>
      </c>
      <c r="D110" s="112">
        <f t="shared" ref="D110:AI110" si="455">C110+1</f>
        <v>46266</v>
      </c>
      <c r="E110" s="112">
        <f t="shared" si="455"/>
        <v>46267</v>
      </c>
      <c r="F110" s="112">
        <f t="shared" si="455"/>
        <v>46268</v>
      </c>
      <c r="G110" s="112">
        <f t="shared" si="455"/>
        <v>46269</v>
      </c>
      <c r="H110" s="112">
        <f t="shared" si="455"/>
        <v>46270</v>
      </c>
      <c r="I110" s="112">
        <f t="shared" si="455"/>
        <v>46271</v>
      </c>
      <c r="J110" s="112">
        <f t="shared" si="455"/>
        <v>46272</v>
      </c>
      <c r="K110" s="112">
        <f t="shared" si="455"/>
        <v>46273</v>
      </c>
      <c r="L110" s="112">
        <f t="shared" si="455"/>
        <v>46274</v>
      </c>
      <c r="M110" s="112">
        <f t="shared" si="455"/>
        <v>46275</v>
      </c>
      <c r="N110" s="112">
        <f t="shared" si="455"/>
        <v>46276</v>
      </c>
      <c r="O110" s="112">
        <f t="shared" si="455"/>
        <v>46277</v>
      </c>
      <c r="P110" s="112">
        <f t="shared" si="455"/>
        <v>46278</v>
      </c>
      <c r="Q110" s="112">
        <f t="shared" si="455"/>
        <v>46279</v>
      </c>
      <c r="R110" s="112">
        <f t="shared" si="455"/>
        <v>46280</v>
      </c>
      <c r="S110" s="112">
        <f t="shared" si="455"/>
        <v>46281</v>
      </c>
      <c r="T110" s="112">
        <f t="shared" si="455"/>
        <v>46282</v>
      </c>
      <c r="U110" s="112">
        <f t="shared" si="455"/>
        <v>46283</v>
      </c>
      <c r="V110" s="112">
        <f t="shared" si="455"/>
        <v>46284</v>
      </c>
      <c r="W110" s="112">
        <f t="shared" si="455"/>
        <v>46285</v>
      </c>
      <c r="X110" s="112">
        <f t="shared" si="455"/>
        <v>46286</v>
      </c>
      <c r="Y110" s="112">
        <f t="shared" si="455"/>
        <v>46287</v>
      </c>
      <c r="Z110" s="112">
        <f t="shared" si="455"/>
        <v>46288</v>
      </c>
      <c r="AA110" s="112">
        <f t="shared" si="455"/>
        <v>46289</v>
      </c>
      <c r="AB110" s="112">
        <f t="shared" si="455"/>
        <v>46290</v>
      </c>
      <c r="AC110" s="112">
        <f t="shared" si="455"/>
        <v>46291</v>
      </c>
      <c r="AD110" s="112">
        <f t="shared" si="455"/>
        <v>46292</v>
      </c>
      <c r="AE110" s="112">
        <f t="shared" si="455"/>
        <v>46293</v>
      </c>
      <c r="AF110" s="112">
        <f t="shared" si="455"/>
        <v>46294</v>
      </c>
      <c r="AG110" s="112">
        <f t="shared" si="455"/>
        <v>46295</v>
      </c>
      <c r="AH110" s="112">
        <f t="shared" si="455"/>
        <v>46296</v>
      </c>
      <c r="AI110" s="112">
        <f t="shared" si="455"/>
        <v>46297</v>
      </c>
      <c r="AK110" s="75"/>
      <c r="AL110" s="11" t="s">
        <v>154</v>
      </c>
      <c r="AM110" s="112">
        <f>EOMONTH($A$1,-1)</f>
        <v>46265</v>
      </c>
      <c r="AN110" s="112">
        <f t="shared" ref="AN110" si="456">AM110+1</f>
        <v>46266</v>
      </c>
      <c r="AO110" s="112">
        <f t="shared" ref="AO110" si="457">AN110+1</f>
        <v>46267</v>
      </c>
      <c r="AP110" s="112">
        <f t="shared" ref="AP110" si="458">AO110+1</f>
        <v>46268</v>
      </c>
      <c r="AQ110" s="112">
        <f t="shared" ref="AQ110" si="459">AP110+1</f>
        <v>46269</v>
      </c>
      <c r="AR110" s="112">
        <f t="shared" ref="AR110" si="460">AQ110+1</f>
        <v>46270</v>
      </c>
      <c r="AS110" s="112">
        <f t="shared" ref="AS110" si="461">AR110+1</f>
        <v>46271</v>
      </c>
      <c r="AT110" s="112">
        <f t="shared" ref="AT110" si="462">AS110+1</f>
        <v>46272</v>
      </c>
      <c r="AU110" s="112">
        <f t="shared" ref="AU110" si="463">AT110+1</f>
        <v>46273</v>
      </c>
      <c r="AV110" s="112">
        <f t="shared" ref="AV110" si="464">AU110+1</f>
        <v>46274</v>
      </c>
      <c r="AW110" s="112">
        <f t="shared" ref="AW110" si="465">AV110+1</f>
        <v>46275</v>
      </c>
      <c r="AX110" s="112">
        <f t="shared" ref="AX110" si="466">AW110+1</f>
        <v>46276</v>
      </c>
      <c r="AY110" s="112">
        <f t="shared" ref="AY110" si="467">AX110+1</f>
        <v>46277</v>
      </c>
      <c r="AZ110" s="112">
        <f t="shared" ref="AZ110" si="468">AY110+1</f>
        <v>46278</v>
      </c>
      <c r="BA110" s="112">
        <f t="shared" ref="BA110" si="469">AZ110+1</f>
        <v>46279</v>
      </c>
      <c r="BB110" s="112">
        <f t="shared" ref="BB110" si="470">BA110+1</f>
        <v>46280</v>
      </c>
      <c r="BC110" s="112">
        <f t="shared" ref="BC110" si="471">BB110+1</f>
        <v>46281</v>
      </c>
      <c r="BD110" s="112">
        <f t="shared" ref="BD110" si="472">BC110+1</f>
        <v>46282</v>
      </c>
      <c r="BE110" s="112">
        <f t="shared" ref="BE110" si="473">BD110+1</f>
        <v>46283</v>
      </c>
      <c r="BF110" s="112">
        <f t="shared" ref="BF110" si="474">BE110+1</f>
        <v>46284</v>
      </c>
      <c r="BG110" s="112">
        <f t="shared" ref="BG110" si="475">BF110+1</f>
        <v>46285</v>
      </c>
      <c r="BH110" s="112">
        <f t="shared" ref="BH110" si="476">BG110+1</f>
        <v>46286</v>
      </c>
      <c r="BI110" s="112">
        <f t="shared" ref="BI110" si="477">BH110+1</f>
        <v>46287</v>
      </c>
      <c r="BJ110" s="112">
        <f t="shared" ref="BJ110" si="478">BI110+1</f>
        <v>46288</v>
      </c>
      <c r="BK110" s="112">
        <f t="shared" ref="BK110" si="479">BJ110+1</f>
        <v>46289</v>
      </c>
      <c r="BL110" s="112">
        <f t="shared" ref="BL110" si="480">BK110+1</f>
        <v>46290</v>
      </c>
      <c r="BM110" s="112">
        <f t="shared" ref="BM110" si="481">BL110+1</f>
        <v>46291</v>
      </c>
      <c r="BN110" s="112">
        <f t="shared" ref="BN110" si="482">BM110+1</f>
        <v>46292</v>
      </c>
      <c r="BO110" s="112">
        <f t="shared" ref="BO110" si="483">BN110+1</f>
        <v>46293</v>
      </c>
      <c r="BP110" s="112">
        <f t="shared" ref="BP110" si="484">BO110+1</f>
        <v>46294</v>
      </c>
      <c r="BQ110" s="112">
        <f t="shared" ref="BQ110" si="485">BP110+1</f>
        <v>46295</v>
      </c>
      <c r="BR110" s="112">
        <f t="shared" ref="BR110" si="486">BQ110+1</f>
        <v>46296</v>
      </c>
      <c r="BS110" s="112">
        <f t="shared" ref="BS110" si="487">BR110+1</f>
        <v>46297</v>
      </c>
      <c r="BU110" s="75"/>
      <c r="BV110" s="11" t="s">
        <v>154</v>
      </c>
      <c r="BW110" s="112">
        <f>EOMONTH($A$1,-1)</f>
        <v>46265</v>
      </c>
      <c r="BX110" s="112">
        <f t="shared" ref="BX110" si="488">BW110+1</f>
        <v>46266</v>
      </c>
      <c r="BY110" s="112">
        <f t="shared" ref="BY110" si="489">BX110+1</f>
        <v>46267</v>
      </c>
      <c r="BZ110" s="112">
        <f t="shared" ref="BZ110" si="490">BY110+1</f>
        <v>46268</v>
      </c>
      <c r="CA110" s="112">
        <f t="shared" ref="CA110" si="491">BZ110+1</f>
        <v>46269</v>
      </c>
      <c r="CB110" s="112">
        <f t="shared" ref="CB110" si="492">CA110+1</f>
        <v>46270</v>
      </c>
      <c r="CC110" s="112">
        <f t="shared" ref="CC110" si="493">CB110+1</f>
        <v>46271</v>
      </c>
      <c r="CD110" s="112">
        <f t="shared" ref="CD110" si="494">CC110+1</f>
        <v>46272</v>
      </c>
      <c r="CE110" s="112">
        <f t="shared" ref="CE110" si="495">CD110+1</f>
        <v>46273</v>
      </c>
      <c r="CF110" s="112">
        <f t="shared" ref="CF110" si="496">CE110+1</f>
        <v>46274</v>
      </c>
      <c r="CG110" s="112">
        <f t="shared" ref="CG110" si="497">CF110+1</f>
        <v>46275</v>
      </c>
      <c r="CH110" s="112">
        <f t="shared" ref="CH110" si="498">CG110+1</f>
        <v>46276</v>
      </c>
      <c r="CI110" s="112">
        <f t="shared" ref="CI110" si="499">CH110+1</f>
        <v>46277</v>
      </c>
      <c r="CJ110" s="112">
        <f t="shared" ref="CJ110" si="500">CI110+1</f>
        <v>46278</v>
      </c>
      <c r="CK110" s="112">
        <f t="shared" ref="CK110" si="501">CJ110+1</f>
        <v>46279</v>
      </c>
      <c r="CL110" s="112">
        <f t="shared" ref="CL110" si="502">CK110+1</f>
        <v>46280</v>
      </c>
      <c r="CM110" s="112">
        <f t="shared" ref="CM110" si="503">CL110+1</f>
        <v>46281</v>
      </c>
      <c r="CN110" s="112">
        <f t="shared" ref="CN110" si="504">CM110+1</f>
        <v>46282</v>
      </c>
      <c r="CO110" s="112">
        <f t="shared" ref="CO110" si="505">CN110+1</f>
        <v>46283</v>
      </c>
      <c r="CP110" s="112">
        <f t="shared" ref="CP110" si="506">CO110+1</f>
        <v>46284</v>
      </c>
      <c r="CQ110" s="112">
        <f t="shared" ref="CQ110" si="507">CP110+1</f>
        <v>46285</v>
      </c>
      <c r="CR110" s="112">
        <f t="shared" ref="CR110" si="508">CQ110+1</f>
        <v>46286</v>
      </c>
      <c r="CS110" s="112">
        <f t="shared" ref="CS110" si="509">CR110+1</f>
        <v>46287</v>
      </c>
      <c r="CT110" s="112">
        <f t="shared" ref="CT110" si="510">CS110+1</f>
        <v>46288</v>
      </c>
      <c r="CU110" s="112">
        <f t="shared" ref="CU110" si="511">CT110+1</f>
        <v>46289</v>
      </c>
      <c r="CV110" s="112">
        <f t="shared" ref="CV110" si="512">CU110+1</f>
        <v>46290</v>
      </c>
      <c r="CW110" s="112">
        <f t="shared" ref="CW110" si="513">CV110+1</f>
        <v>46291</v>
      </c>
      <c r="CX110" s="112">
        <f t="shared" ref="CX110" si="514">CW110+1</f>
        <v>46292</v>
      </c>
      <c r="CY110" s="112">
        <f t="shared" ref="CY110" si="515">CX110+1</f>
        <v>46293</v>
      </c>
      <c r="CZ110" s="112">
        <f t="shared" ref="CZ110" si="516">CY110+1</f>
        <v>46294</v>
      </c>
      <c r="DA110" s="112">
        <f t="shared" ref="DA110" si="517">CZ110+1</f>
        <v>46295</v>
      </c>
      <c r="DB110" s="112">
        <f t="shared" ref="DB110" si="518">DA110+1</f>
        <v>46296</v>
      </c>
      <c r="DC110" s="112">
        <f t="shared" ref="DC110" si="519">DB110+1</f>
        <v>46297</v>
      </c>
    </row>
    <row r="111" spans="1:107">
      <c r="A111" s="75" t="s">
        <v>207</v>
      </c>
      <c r="B111" s="16">
        <f>'[1](Fill In) SIAO'!C3</f>
        <v>57</v>
      </c>
      <c r="C111" s="84" t="str">
        <f t="array" ref="C111">IF(OR((C$110&gt;=$BC$11:$BC$38)*(C$48&lt;=$BD$11:$BD$38)&gt;0),$B111,"")</f>
        <v/>
      </c>
      <c r="D111" s="84" t="str">
        <f t="array" ref="D111">IF(OR((D$110&gt;=$BC$11:$BC$38)*(D$48&lt;=$BD$11:$BD$38)&gt;0),$B111,"")</f>
        <v/>
      </c>
      <c r="E111" s="84" t="str">
        <f t="array" ref="E111">IF(OR((E$110&gt;=$BC$11:$BC$38)*(E$48&lt;=$BD$11:$BD$38)&gt;0),$B111,"")</f>
        <v/>
      </c>
      <c r="F111" s="84" t="str">
        <f t="array" ref="F111">IF(OR((F$110&gt;=$BC$11:$BC$38)*(F$48&lt;=$BD$11:$BD$38)&gt;0),$B111,"")</f>
        <v/>
      </c>
      <c r="G111" s="84" t="str">
        <f t="array" ref="G111">IF(OR((G$110&gt;=$BC$11:$BC$38)*(G$48&lt;=$BD$11:$BD$38)&gt;0),$B111,"")</f>
        <v/>
      </c>
      <c r="H111" s="84" t="str">
        <f t="array" ref="H111">IF(OR((H$110&gt;=$BC$11:$BC$38)*(H$48&lt;=$BD$11:$BD$38)&gt;0),$B111,"")</f>
        <v/>
      </c>
      <c r="I111" s="84" t="str">
        <f t="array" ref="I111">IF(OR((I$110&gt;=$BC$11:$BC$38)*(I$48&lt;=$BD$11:$BD$38)&gt;0),$B111,"")</f>
        <v/>
      </c>
      <c r="J111" s="84" t="str">
        <f t="array" ref="J111">IF(OR((J$110&gt;=$BC$11:$BC$38)*(J$48&lt;=$BD$11:$BD$38)&gt;0),$B111,"")</f>
        <v/>
      </c>
      <c r="K111" s="84" t="str">
        <f t="array" ref="K111">IF(OR((K$110&gt;=$BC$11:$BC$38)*(K$48&lt;=$BD$11:$BD$38)&gt;0),$B111,"")</f>
        <v/>
      </c>
      <c r="L111" s="84" t="str">
        <f t="array" ref="L111">IF(OR((L$110&gt;=$BC$11:$BC$38)*(L$48&lt;=$BD$11:$BD$38)&gt;0),$B111,"")</f>
        <v/>
      </c>
      <c r="M111" s="84" t="str">
        <f t="array" ref="M111">IF(OR((M$110&gt;=$BC$11:$BC$38)*(M$48&lt;=$BD$11:$BD$38)&gt;0),$B111,"")</f>
        <v/>
      </c>
      <c r="N111" s="84" t="str">
        <f t="array" ref="N111">IF(OR((N$110&gt;=$BC$11:$BC$38)*(N$48&lt;=$BD$11:$BD$38)&gt;0),$B111,"")</f>
        <v/>
      </c>
      <c r="O111" s="84" t="str">
        <f t="array" ref="O111">IF(OR((O$110&gt;=$BC$11:$BC$38)*(O$48&lt;=$BD$11:$BD$38)&gt;0),$B111,"")</f>
        <v/>
      </c>
      <c r="P111" s="84" t="str">
        <f t="array" ref="P111">IF(OR((P$110&gt;=$BC$11:$BC$38)*(P$48&lt;=$BD$11:$BD$38)&gt;0),$B111,"")</f>
        <v/>
      </c>
      <c r="Q111" s="84" t="str">
        <f t="array" ref="Q111">IF(OR((Q$110&gt;=$BC$11:$BC$38)*(Q$48&lt;=$BD$11:$BD$38)&gt;0),$B111,"")</f>
        <v/>
      </c>
      <c r="R111" s="84" t="str">
        <f t="array" ref="R111">IF(OR((R$110&gt;=$BC$11:$BC$38)*(R$48&lt;=$BD$11:$BD$38)&gt;0),$B111,"")</f>
        <v/>
      </c>
      <c r="S111" s="84"/>
      <c r="T111" s="84"/>
      <c r="U111" s="84" t="str">
        <f t="array" ref="U111">IF(OR((U$110&gt;=$BC$11:$BC$38)*(U$48&lt;=$BD$11:$BD$38)&gt;0),$B111,"")</f>
        <v/>
      </c>
      <c r="V111" s="84" t="str">
        <f t="array" ref="V111">IF(OR((V$110&gt;=$BC$11:$BC$38)*(V$48&lt;=$BD$11:$BD$38)&gt;0),$B111,"")</f>
        <v/>
      </c>
      <c r="W111" s="84" t="str">
        <f t="array" ref="W111">IF(OR((W$110&gt;=$BC$11:$BC$38)*(W$48&lt;=$BD$11:$BD$38)&gt;0),$B111,"")</f>
        <v/>
      </c>
      <c r="X111" s="84" t="str">
        <f t="array" ref="X111">IF(OR((X$110&gt;=$BC$11:$BC$38)*(X$48&lt;=$BD$11:$BD$38)&gt;0),$B111,"")</f>
        <v/>
      </c>
      <c r="Y111" s="84" t="str">
        <f t="array" ref="Y111">IF(OR((Y$110&gt;=$BC$11:$BC$38)*(Y$48&lt;=$BD$11:$BD$38)&gt;0),$B111,"")</f>
        <v/>
      </c>
      <c r="Z111" s="84" t="str">
        <f t="array" ref="Z111">IF(OR((Z$110&gt;=$BC$11:$BC$38)*(Z$48&lt;=$BD$11:$BD$38)&gt;0),$B111,"")</f>
        <v/>
      </c>
      <c r="AA111" s="84" t="str">
        <f t="array" ref="AA111">IF(OR((AA$110&gt;=$BC$11:$BC$38)*(AA$48&lt;=$BD$11:$BD$38)&gt;0),$B111,"")</f>
        <v/>
      </c>
      <c r="AB111" s="84" t="str">
        <f t="array" ref="AB111">IF(OR((AB$110&gt;=$BC$11:$BC$38)*(AB$48&lt;=$BD$11:$BD$38)&gt;0),$B111,"")</f>
        <v/>
      </c>
      <c r="AC111" s="84" t="str">
        <f t="array" ref="AC111">IF(OR((AC$110&gt;=$BC$11:$BC$38)*(AC$48&lt;=$BD$11:$BD$38)&gt;0),$B111,"")</f>
        <v/>
      </c>
      <c r="AD111" s="84" t="str">
        <f t="array" ref="AD111">IF(OR((AD$110&gt;=$BC$11:$BC$38)*(AD$48&lt;=$BD$11:$BD$38)&gt;0),$B111,"")</f>
        <v/>
      </c>
      <c r="AE111" s="84" t="str">
        <f t="array" ref="AE111">IF(OR((AE$110&gt;=$BC$11:$BC$38)*(AE$48&lt;=$BD$11:$BD$38)&gt;0),$B111,"")</f>
        <v/>
      </c>
      <c r="AF111" s="84" t="str">
        <f t="array" ref="AF111">IF(OR((AF$110&gt;=$BC$11:$BC$38)*(AF$48&lt;=$BD$11:$BD$38)&gt;0),$B111,"")</f>
        <v/>
      </c>
      <c r="AG111" s="84" t="str">
        <f t="array" ref="AG111">IF(OR((AG$110&gt;=$BC$11:$BC$38)*(AG$48&lt;=$BD$11:$BD$38)&gt;0),$B111,"")</f>
        <v/>
      </c>
      <c r="AH111" s="84" t="str">
        <f t="array" ref="AH111">IF(OR((AH$110&gt;=$BC$11:$BC$38)*(AH$48&lt;=$BD$11:$BD$38)&gt;0),$B111,"")</f>
        <v/>
      </c>
      <c r="AI111" s="84" t="str">
        <f t="array" ref="AI111">IF(OR((AI$110&gt;=$BC$11:$BC$38)*(AI$48&lt;=$BD$11:$BD$38)&gt;0),$B111,"")</f>
        <v/>
      </c>
      <c r="AK111" s="75" t="s">
        <v>207</v>
      </c>
      <c r="AL111" s="16">
        <f>'[1](Fill In) SIAO'!AM3</f>
        <v>0</v>
      </c>
      <c r="AM111" s="84" t="str">
        <f t="array" ref="AM111">IF(OR((AM$110&gt;=$BC$11:$BC$38)*(AM$48&lt;=$BD$11:$BD$38)&gt;0),$B111,"")</f>
        <v/>
      </c>
      <c r="AN111" s="84" t="str">
        <f t="array" ref="AN111">IF(OR((AN$110&gt;=$BC$11:$BC$38)*(AN$48&lt;=$BD$11:$BD$38)&gt;0),$B111,"")</f>
        <v/>
      </c>
      <c r="AO111" s="84" t="str">
        <f t="array" ref="AO111">IF(OR((AO$110&gt;=$BC$11:$BC$38)*(AO$48&lt;=$BD$11:$BD$38)&gt;0),$B111,"")</f>
        <v/>
      </c>
      <c r="AP111" s="84" t="str">
        <f t="array" ref="AP111">IF(OR((AP$110&gt;=$BC$11:$BC$38)*(AP$48&lt;=$BD$11:$BD$38)&gt;0),$B111,"")</f>
        <v/>
      </c>
      <c r="AQ111" s="84" t="str">
        <f t="array" ref="AQ111">IF(OR((AQ$110&gt;=$BC$11:$BC$38)*(AQ$48&lt;=$BD$11:$BD$38)&gt;0),$B111,"")</f>
        <v/>
      </c>
      <c r="AR111" s="84" t="str">
        <f t="array" ref="AR111">IF(OR((AR$110&gt;=$BC$11:$BC$38)*(AR$48&lt;=$BD$11:$BD$38)&gt;0),$B111,"")</f>
        <v/>
      </c>
      <c r="AS111" s="84" t="str">
        <f t="array" ref="AS111">IF(OR((AS$110&gt;=$BC$11:$BC$38)*(AS$48&lt;=$BD$11:$BD$38)&gt;0),$B111,"")</f>
        <v/>
      </c>
      <c r="AT111" s="84" t="str">
        <f t="array" ref="AT111">IF(OR((AT$110&gt;=$BC$11:$BC$38)*(AT$48&lt;=$BD$11:$BD$38)&gt;0),$B111,"")</f>
        <v/>
      </c>
      <c r="AU111" s="84" t="str">
        <f t="array" ref="AU111">IF(OR((AU$110&gt;=$BC$11:$BC$38)*(AU$48&lt;=$BD$11:$BD$38)&gt;0),$B111,"")</f>
        <v/>
      </c>
      <c r="AV111" s="84" t="str">
        <f t="array" ref="AV111">IF(OR((AV$110&gt;=$BC$11:$BC$38)*(AV$48&lt;=$BD$11:$BD$38)&gt;0),$B111,"")</f>
        <v/>
      </c>
      <c r="AW111" s="84" t="str">
        <f t="array" ref="AW111">IF(OR((AW$110&gt;=$BC$11:$BC$38)*(AW$48&lt;=$BD$11:$BD$38)&gt;0),$B111,"")</f>
        <v/>
      </c>
      <c r="AX111" s="84" t="str">
        <f t="array" ref="AX111">IF(OR((AX$110&gt;=$BC$11:$BC$38)*(AX$48&lt;=$BD$11:$BD$38)&gt;0),$B111,"")</f>
        <v/>
      </c>
      <c r="AY111" s="84" t="str">
        <f t="array" ref="AY111">IF(OR((AY$110&gt;=$BC$11:$BC$38)*(AY$48&lt;=$BD$11:$BD$38)&gt;0),$B111,"")</f>
        <v/>
      </c>
      <c r="AZ111" s="84" t="str">
        <f t="array" ref="AZ111">IF(OR((AZ$110&gt;=$BC$11:$BC$38)*(AZ$48&lt;=$BD$11:$BD$38)&gt;0),$B111,"")</f>
        <v/>
      </c>
      <c r="BA111" s="84" t="str">
        <f t="array" ref="BA111">IF(OR((BA$110&gt;=$BC$11:$BC$38)*(BA$48&lt;=$BD$11:$BD$38)&gt;0),$B111,"")</f>
        <v/>
      </c>
      <c r="BB111" s="84" t="str">
        <f t="array" ref="BB111">IF(OR((BB$110&gt;=$BC$11:$BC$38)*(BB$48&lt;=$BD$11:$BD$38)&gt;0),$B111,"")</f>
        <v/>
      </c>
      <c r="BC111" s="84"/>
      <c r="BD111" s="84"/>
      <c r="BE111" s="84" t="str">
        <f t="array" ref="BE111">IF(OR((BE$110&gt;=$BC$11:$BC$38)*(BE$48&lt;=$BD$11:$BD$38)&gt;0),$B111,"")</f>
        <v/>
      </c>
      <c r="BF111" s="84" t="str">
        <f t="array" ref="BF111">IF(OR((BF$110&gt;=$BC$11:$BC$38)*(BF$48&lt;=$BD$11:$BD$38)&gt;0),$B111,"")</f>
        <v/>
      </c>
      <c r="BG111" s="84" t="str">
        <f t="array" ref="BG111">IF(OR((BG$110&gt;=$BC$11:$BC$38)*(BG$48&lt;=$BD$11:$BD$38)&gt;0),$B111,"")</f>
        <v/>
      </c>
      <c r="BH111" s="84" t="str">
        <f t="array" ref="BH111">IF(OR((BH$110&gt;=$BC$11:$BC$38)*(BH$48&lt;=$BD$11:$BD$38)&gt;0),$B111,"")</f>
        <v/>
      </c>
      <c r="BI111" s="84" t="str">
        <f t="array" ref="BI111">IF(OR((BI$110&gt;=$BC$11:$BC$38)*(BI$48&lt;=$BD$11:$BD$38)&gt;0),$B111,"")</f>
        <v/>
      </c>
      <c r="BJ111" s="84" t="str">
        <f t="array" ref="BJ111">IF(OR((BJ$110&gt;=$BC$11:$BC$38)*(BJ$48&lt;=$BD$11:$BD$38)&gt;0),$B111,"")</f>
        <v/>
      </c>
      <c r="BK111" s="84" t="str">
        <f t="array" ref="BK111">IF(OR((BK$110&gt;=$BC$11:$BC$38)*(BK$48&lt;=$BD$11:$BD$38)&gt;0),$B111,"")</f>
        <v/>
      </c>
      <c r="BL111" s="84" t="str">
        <f t="array" ref="BL111">IF(OR((BL$110&gt;=$BC$11:$BC$38)*(BL$48&lt;=$BD$11:$BD$38)&gt;0),$B111,"")</f>
        <v/>
      </c>
      <c r="BM111" s="84" t="str">
        <f t="array" ref="BM111">IF(OR((BM$110&gt;=$BC$11:$BC$38)*(BM$48&lt;=$BD$11:$BD$38)&gt;0),$B111,"")</f>
        <v/>
      </c>
      <c r="BN111" s="84" t="str">
        <f t="array" ref="BN111">IF(OR((BN$110&gt;=$BC$11:$BC$38)*(BN$48&lt;=$BD$11:$BD$38)&gt;0),$B111,"")</f>
        <v/>
      </c>
      <c r="BO111" s="84" t="str">
        <f t="array" ref="BO111">IF(OR((BO$110&gt;=$BC$11:$BC$38)*(BO$48&lt;=$BD$11:$BD$38)&gt;0),$B111,"")</f>
        <v/>
      </c>
      <c r="BP111" s="84" t="str">
        <f t="array" ref="BP111">IF(OR((BP$110&gt;=$BC$11:$BC$38)*(BP$48&lt;=$BD$11:$BD$38)&gt;0),$B111,"")</f>
        <v/>
      </c>
      <c r="BQ111" s="84" t="str">
        <f t="array" ref="BQ111">IF(OR((BQ$110&gt;=$BC$11:$BC$38)*(BQ$48&lt;=$BD$11:$BD$38)&gt;0),$B111,"")</f>
        <v/>
      </c>
      <c r="BR111" s="84" t="str">
        <f t="array" ref="BR111">IF(OR((BR$110&gt;=$BC$11:$BC$38)*(BR$48&lt;=$BD$11:$BD$38)&gt;0),$B111,"")</f>
        <v/>
      </c>
      <c r="BS111" s="84" t="str">
        <f t="array" ref="BS111">IF(OR((BS$110&gt;=$BC$11:$BC$38)*(BS$48&lt;=$BD$11:$BD$38)&gt;0),$B111,"")</f>
        <v/>
      </c>
      <c r="BU111" s="75" t="s">
        <v>207</v>
      </c>
      <c r="BV111" s="16">
        <f>'[1](Fill In) SIAO'!BW3</f>
        <v>0</v>
      </c>
      <c r="BW111" s="84" t="str">
        <f t="array" ref="BW111">IF(OR((BW$110&gt;=$BC$11:$BC$38)*(BW$48&lt;=$BD$11:$BD$38)&gt;0),$B111,"")</f>
        <v/>
      </c>
      <c r="BX111" s="84" t="str">
        <f t="array" ref="BX111">IF(OR((BX$110&gt;=$BC$11:$BC$38)*(BX$48&lt;=$BD$11:$BD$38)&gt;0),$B111,"")</f>
        <v/>
      </c>
      <c r="BY111" s="84" t="str">
        <f t="array" ref="BY111">IF(OR((BY$110&gt;=$BC$11:$BC$38)*(BY$48&lt;=$BD$11:$BD$38)&gt;0),$B111,"")</f>
        <v/>
      </c>
      <c r="BZ111" s="84" t="str">
        <f t="array" ref="BZ111">IF(OR((BZ$110&gt;=$BC$11:$BC$38)*(BZ$48&lt;=$BD$11:$BD$38)&gt;0),$B111,"")</f>
        <v/>
      </c>
      <c r="CA111" s="84" t="str">
        <f t="array" ref="CA111">IF(OR((CA$110&gt;=$BC$11:$BC$38)*(CA$48&lt;=$BD$11:$BD$38)&gt;0),$B111,"")</f>
        <v/>
      </c>
      <c r="CB111" s="84" t="str">
        <f t="array" ref="CB111">IF(OR((CB$110&gt;=$BC$11:$BC$38)*(CB$48&lt;=$BD$11:$BD$38)&gt;0),$B111,"")</f>
        <v/>
      </c>
      <c r="CC111" s="84" t="str">
        <f t="array" ref="CC111">IF(OR((CC$110&gt;=$BC$11:$BC$38)*(CC$48&lt;=$BD$11:$BD$38)&gt;0),$B111,"")</f>
        <v/>
      </c>
      <c r="CD111" s="84" t="str">
        <f t="array" ref="CD111">IF(OR((CD$110&gt;=$BC$11:$BC$38)*(CD$48&lt;=$BD$11:$BD$38)&gt;0),$B111,"")</f>
        <v/>
      </c>
      <c r="CE111" s="84" t="str">
        <f t="array" ref="CE111">IF(OR((CE$110&gt;=$BC$11:$BC$38)*(CE$48&lt;=$BD$11:$BD$38)&gt;0),$B111,"")</f>
        <v/>
      </c>
      <c r="CF111" s="84" t="str">
        <f t="array" ref="CF111">IF(OR((CF$110&gt;=$BC$11:$BC$38)*(CF$48&lt;=$BD$11:$BD$38)&gt;0),$B111,"")</f>
        <v/>
      </c>
      <c r="CG111" s="84" t="str">
        <f t="array" ref="CG111">IF(OR((CG$110&gt;=$BC$11:$BC$38)*(CG$48&lt;=$BD$11:$BD$38)&gt;0),$B111,"")</f>
        <v/>
      </c>
      <c r="CH111" s="84" t="str">
        <f t="array" ref="CH111">IF(OR((CH$110&gt;=$BC$11:$BC$38)*(CH$48&lt;=$BD$11:$BD$38)&gt;0),$B111,"")</f>
        <v/>
      </c>
      <c r="CI111" s="84" t="str">
        <f t="array" ref="CI111">IF(OR((CI$110&gt;=$BC$11:$BC$38)*(CI$48&lt;=$BD$11:$BD$38)&gt;0),$B111,"")</f>
        <v/>
      </c>
      <c r="CJ111" s="84" t="str">
        <f t="array" ref="CJ111">IF(OR((CJ$110&gt;=$BC$11:$BC$38)*(CJ$48&lt;=$BD$11:$BD$38)&gt;0),$B111,"")</f>
        <v/>
      </c>
      <c r="CK111" s="84" t="str">
        <f t="array" ref="CK111">IF(OR((CK$110&gt;=$BC$11:$BC$38)*(CK$48&lt;=$BD$11:$BD$38)&gt;0),$B111,"")</f>
        <v/>
      </c>
      <c r="CL111" s="84" t="str">
        <f t="array" ref="CL111">IF(OR((CL$110&gt;=$BC$11:$BC$38)*(CL$48&lt;=$BD$11:$BD$38)&gt;0),$B111,"")</f>
        <v/>
      </c>
      <c r="CM111" s="84"/>
      <c r="CN111" s="84"/>
      <c r="CO111" s="84"/>
      <c r="CP111" s="84"/>
      <c r="CQ111" s="84"/>
      <c r="CR111" s="84"/>
      <c r="CS111" s="84"/>
      <c r="CT111" s="84"/>
      <c r="CU111" s="84"/>
      <c r="CV111" s="84"/>
      <c r="CW111" s="84"/>
      <c r="CX111" s="84"/>
      <c r="CY111" s="84"/>
      <c r="CZ111" s="84"/>
      <c r="DA111" s="84"/>
      <c r="DB111" s="84"/>
      <c r="DC111" s="84"/>
    </row>
    <row r="112" spans="1:107">
      <c r="A112" s="75" t="s">
        <v>208</v>
      </c>
      <c r="B112" s="16">
        <f>'[1](Fill In) SIAO'!C3</f>
        <v>57</v>
      </c>
      <c r="C112" s="84" t="str">
        <f t="array" ref="C112">IF(OR((C$110&gt;=$BC$11:$BC$38)*(C$48&lt;=$BD$11:$BD$38)&gt;0),$B112,"")</f>
        <v/>
      </c>
      <c r="D112" s="84" t="str">
        <f t="array" ref="D112">IF(OR((D$110&gt;=$BC$11:$BC$38)*(D$48&lt;=$BD$11:$BD$38)&gt;0),$B112,"")</f>
        <v/>
      </c>
      <c r="E112" s="84" t="str">
        <f t="array" ref="E112">IF(OR((E$110&gt;=$BC$11:$BC$38)*(E$48&lt;=$BD$11:$BD$38)&gt;0),$B112,"")</f>
        <v/>
      </c>
      <c r="F112" s="84" t="str">
        <f t="array" ref="F112">IF(OR((F$110&gt;=$BC$11:$BC$38)*(F$48&lt;=$BD$11:$BD$38)&gt;0),$B112,"")</f>
        <v/>
      </c>
      <c r="G112" s="84" t="str">
        <f t="array" ref="G112">IF(OR((G$110&gt;=$BC$11:$BC$38)*(G$48&lt;=$BD$11:$BD$38)&gt;0),$B112,"")</f>
        <v/>
      </c>
      <c r="H112" s="84" t="str">
        <f t="array" ref="H112">IF(OR((H$110&gt;=$BC$11:$BC$38)*(H$48&lt;=$BD$11:$BD$38)&gt;0),$B112,"")</f>
        <v/>
      </c>
      <c r="I112" s="84" t="str">
        <f t="array" ref="I112">IF(OR((I$110&gt;=$BC$11:$BC$38)*(I$48&lt;=$BD$11:$BD$38)&gt;0),$B112,"")</f>
        <v/>
      </c>
      <c r="J112" s="84" t="str">
        <f t="array" ref="J112">IF(OR((J$110&gt;=$BC$11:$BC$38)*(J$48&lt;=$BD$11:$BD$38)&gt;0),$B112,"")</f>
        <v/>
      </c>
      <c r="K112" s="84" t="str">
        <f t="array" ref="K112">IF(OR((K$110&gt;=$BC$11:$BC$38)*(K$48&lt;=$BD$11:$BD$38)&gt;0),$B112,"")</f>
        <v/>
      </c>
      <c r="L112" s="84" t="str">
        <f t="array" ref="L112">IF(OR((L$110&gt;=$BC$11:$BC$38)*(L$48&lt;=$BD$11:$BD$38)&gt;0),$B112,"")</f>
        <v/>
      </c>
      <c r="M112" s="84" t="str">
        <f t="array" ref="M112">IF(OR((M$110&gt;=$BC$11:$BC$38)*(M$48&lt;=$BD$11:$BD$38)&gt;0),$B112,"")</f>
        <v/>
      </c>
      <c r="N112" s="84" t="str">
        <f t="array" ref="N112">IF(OR((N$110&gt;=$BC$11:$BC$38)*(N$48&lt;=$BD$11:$BD$38)&gt;0),$B112,"")</f>
        <v/>
      </c>
      <c r="O112" s="84" t="str">
        <f t="array" ref="O112">IF(OR((O$110&gt;=$BC$11:$BC$38)*(O$48&lt;=$BD$11:$BD$38)&gt;0),$B112,"")</f>
        <v/>
      </c>
      <c r="P112" s="84" t="str">
        <f t="array" ref="P112">IF(OR((P$110&gt;=$BC$11:$BC$38)*(P$48&lt;=$BD$11:$BD$38)&gt;0),$B112,"")</f>
        <v/>
      </c>
      <c r="Q112" s="84" t="str">
        <f t="array" ref="Q112">IF(OR((Q$110&gt;=$BC$11:$BC$38)*(Q$48&lt;=$BD$11:$BD$38)&gt;0),$B112,"")</f>
        <v/>
      </c>
      <c r="R112" s="84" t="str">
        <f t="array" ref="R112">IF(OR((R$110&gt;=$BC$11:$BC$38)*(R$48&lt;=$BD$11:$BD$38)&gt;0),$B112,"")</f>
        <v/>
      </c>
      <c r="S112" s="84"/>
      <c r="T112" s="84"/>
      <c r="U112" s="84" t="str">
        <f t="array" ref="U112">IF(OR((U$110&gt;=$BC$11:$BC$38)*(U$48&lt;=$BD$11:$BD$38)&gt;0),$B112,"")</f>
        <v/>
      </c>
      <c r="V112" s="84" t="str">
        <f t="array" ref="V112">IF(OR((V$110&gt;=$BC$11:$BC$38)*(V$48&lt;=$BD$11:$BD$38)&gt;0),$B112,"")</f>
        <v/>
      </c>
      <c r="W112" s="84" t="str">
        <f t="array" ref="W112">IF(OR((W$110&gt;=$BC$11:$BC$38)*(W$48&lt;=$BD$11:$BD$38)&gt;0),$B112,"")</f>
        <v/>
      </c>
      <c r="X112" s="84" t="str">
        <f t="array" ref="X112">IF(OR((X$110&gt;=$BC$11:$BC$38)*(X$48&lt;=$BD$11:$BD$38)&gt;0),$B112,"")</f>
        <v/>
      </c>
      <c r="Y112" s="84" t="str">
        <f t="array" ref="Y112">IF(OR((Y$110&gt;=$BC$11:$BC$38)*(Y$48&lt;=$BD$11:$BD$38)&gt;0),$B112,"")</f>
        <v/>
      </c>
      <c r="Z112" s="84" t="str">
        <f t="array" ref="Z112">IF(OR((Z$110&gt;=$BC$11:$BC$38)*(Z$48&lt;=$BD$11:$BD$38)&gt;0),$B112,"")</f>
        <v/>
      </c>
      <c r="AA112" s="84" t="str">
        <f t="array" ref="AA112">IF(OR((AA$110&gt;=$BC$11:$BC$38)*(AA$48&lt;=$BD$11:$BD$38)&gt;0),$B112,"")</f>
        <v/>
      </c>
      <c r="AB112" s="84" t="str">
        <f t="array" ref="AB112">IF(OR((AB$110&gt;=$BC$11:$BC$38)*(AB$48&lt;=$BD$11:$BD$38)&gt;0),$B112,"")</f>
        <v/>
      </c>
      <c r="AC112" s="84" t="str">
        <f t="array" ref="AC112">IF(OR((AC$110&gt;=$BC$11:$BC$38)*(AC$48&lt;=$BD$11:$BD$38)&gt;0),$B112,"")</f>
        <v/>
      </c>
      <c r="AD112" s="84" t="str">
        <f t="array" ref="AD112">IF(OR((AD$110&gt;=$BC$11:$BC$38)*(AD$48&lt;=$BD$11:$BD$38)&gt;0),$B112,"")</f>
        <v/>
      </c>
      <c r="AE112" s="84" t="str">
        <f t="array" ref="AE112">IF(OR((AE$110&gt;=$BC$11:$BC$38)*(AE$48&lt;=$BD$11:$BD$38)&gt;0),$B112,"")</f>
        <v/>
      </c>
      <c r="AF112" s="84" t="str">
        <f t="array" ref="AF112">IF(OR((AF$110&gt;=$BC$11:$BC$38)*(AF$48&lt;=$BD$11:$BD$38)&gt;0),$B112,"")</f>
        <v/>
      </c>
      <c r="AG112" s="84" t="str">
        <f t="array" ref="AG112">IF(OR((AG$110&gt;=$BC$11:$BC$38)*(AG$48&lt;=$BD$11:$BD$38)&gt;0),$B112,"")</f>
        <v/>
      </c>
      <c r="AH112" s="84" t="str">
        <f t="array" ref="AH112">IF(OR((AH$110&gt;=$BC$11:$BC$38)*(AH$48&lt;=$BD$11:$BD$38)&gt;0),$B112,"")</f>
        <v/>
      </c>
      <c r="AI112" s="84" t="str">
        <f t="array" ref="AI112">IF(OR((AI$110&gt;=$BC$11:$BC$38)*(AI$48&lt;=$BD$11:$BD$38)&gt;0),$B112,"")</f>
        <v/>
      </c>
      <c r="AK112" s="75" t="s">
        <v>208</v>
      </c>
      <c r="AL112" s="16">
        <f>'[1](Fill In) SIAO'!AM3</f>
        <v>0</v>
      </c>
      <c r="AM112" s="84" t="str">
        <f t="array" ref="AM112">IF(OR((AM$110&gt;=$BC$11:$BC$38)*(AM$48&lt;=$BD$11:$BD$38)&gt;0),$B112,"")</f>
        <v/>
      </c>
      <c r="AN112" s="84" t="str">
        <f t="array" ref="AN112">IF(OR((AN$110&gt;=$BC$11:$BC$38)*(AN$48&lt;=$BD$11:$BD$38)&gt;0),$B112,"")</f>
        <v/>
      </c>
      <c r="AO112" s="84" t="str">
        <f t="array" ref="AO112">IF(OR((AO$110&gt;=$BC$11:$BC$38)*(AO$48&lt;=$BD$11:$BD$38)&gt;0),$B112,"")</f>
        <v/>
      </c>
      <c r="AP112" s="84" t="str">
        <f t="array" ref="AP112">IF(OR((AP$110&gt;=$BC$11:$BC$38)*(AP$48&lt;=$BD$11:$BD$38)&gt;0),$B112,"")</f>
        <v/>
      </c>
      <c r="AQ112" s="84" t="str">
        <f t="array" ref="AQ112">IF(OR((AQ$110&gt;=$BC$11:$BC$38)*(AQ$48&lt;=$BD$11:$BD$38)&gt;0),$B112,"")</f>
        <v/>
      </c>
      <c r="AR112" s="84" t="str">
        <f t="array" ref="AR112">IF(OR((AR$110&gt;=$BC$11:$BC$38)*(AR$48&lt;=$BD$11:$BD$38)&gt;0),$B112,"")</f>
        <v/>
      </c>
      <c r="AS112" s="84" t="str">
        <f t="array" ref="AS112">IF(OR((AS$110&gt;=$BC$11:$BC$38)*(AS$48&lt;=$BD$11:$BD$38)&gt;0),$B112,"")</f>
        <v/>
      </c>
      <c r="AT112" s="84" t="str">
        <f t="array" ref="AT112">IF(OR((AT$110&gt;=$BC$11:$BC$38)*(AT$48&lt;=$BD$11:$BD$38)&gt;0),$B112,"")</f>
        <v/>
      </c>
      <c r="AU112" s="84" t="str">
        <f t="array" ref="AU112">IF(OR((AU$110&gt;=$BC$11:$BC$38)*(AU$48&lt;=$BD$11:$BD$38)&gt;0),$B112,"")</f>
        <v/>
      </c>
      <c r="AV112" s="84" t="str">
        <f t="array" ref="AV112">IF(OR((AV$110&gt;=$BC$11:$BC$38)*(AV$48&lt;=$BD$11:$BD$38)&gt;0),$B112,"")</f>
        <v/>
      </c>
      <c r="AW112" s="84" t="str">
        <f t="array" ref="AW112">IF(OR((AW$110&gt;=$BC$11:$BC$38)*(AW$48&lt;=$BD$11:$BD$38)&gt;0),$B112,"")</f>
        <v/>
      </c>
      <c r="AX112" s="84" t="str">
        <f t="array" ref="AX112">IF(OR((AX$110&gt;=$BC$11:$BC$38)*(AX$48&lt;=$BD$11:$BD$38)&gt;0),$B112,"")</f>
        <v/>
      </c>
      <c r="AY112" s="84" t="str">
        <f t="array" ref="AY112">IF(OR((AY$110&gt;=$BC$11:$BC$38)*(AY$48&lt;=$BD$11:$BD$38)&gt;0),$B112,"")</f>
        <v/>
      </c>
      <c r="AZ112" s="84" t="str">
        <f t="array" ref="AZ112">IF(OR((AZ$110&gt;=$BC$11:$BC$38)*(AZ$48&lt;=$BD$11:$BD$38)&gt;0),$B112,"")</f>
        <v/>
      </c>
      <c r="BA112" s="84" t="str">
        <f t="array" ref="BA112">IF(OR((BA$110&gt;=$BC$11:$BC$38)*(BA$48&lt;=$BD$11:$BD$38)&gt;0),$B112,"")</f>
        <v/>
      </c>
      <c r="BB112" s="84" t="str">
        <f t="array" ref="BB112">IF(OR((BB$110&gt;=$BC$11:$BC$38)*(BB$48&lt;=$BD$11:$BD$38)&gt;0),$B112,"")</f>
        <v/>
      </c>
      <c r="BC112" s="84"/>
      <c r="BD112" s="84"/>
      <c r="BE112" s="84" t="str">
        <f t="array" ref="BE112">IF(OR((BE$110&gt;=$BC$11:$BC$38)*(BE$48&lt;=$BD$11:$BD$38)&gt;0),$B112,"")</f>
        <v/>
      </c>
      <c r="BF112" s="84" t="str">
        <f t="array" ref="BF112">IF(OR((BF$110&gt;=$BC$11:$BC$38)*(BF$48&lt;=$BD$11:$BD$38)&gt;0),$B112,"")</f>
        <v/>
      </c>
      <c r="BG112" s="84" t="str">
        <f t="array" ref="BG112">IF(OR((BG$110&gt;=$BC$11:$BC$38)*(BG$48&lt;=$BD$11:$BD$38)&gt;0),$B112,"")</f>
        <v/>
      </c>
      <c r="BH112" s="84" t="str">
        <f t="array" ref="BH112">IF(OR((BH$110&gt;=$BC$11:$BC$38)*(BH$48&lt;=$BD$11:$BD$38)&gt;0),$B112,"")</f>
        <v/>
      </c>
      <c r="BI112" s="84" t="str">
        <f t="array" ref="BI112">IF(OR((BI$110&gt;=$BC$11:$BC$38)*(BI$48&lt;=$BD$11:$BD$38)&gt;0),$B112,"")</f>
        <v/>
      </c>
      <c r="BJ112" s="84" t="str">
        <f t="array" ref="BJ112">IF(OR((BJ$110&gt;=$BC$11:$BC$38)*(BJ$48&lt;=$BD$11:$BD$38)&gt;0),$B112,"")</f>
        <v/>
      </c>
      <c r="BK112" s="84" t="str">
        <f t="array" ref="BK112">IF(OR((BK$110&gt;=$BC$11:$BC$38)*(BK$48&lt;=$BD$11:$BD$38)&gt;0),$B112,"")</f>
        <v/>
      </c>
      <c r="BL112" s="84" t="str">
        <f t="array" ref="BL112">IF(OR((BL$110&gt;=$BC$11:$BC$38)*(BL$48&lt;=$BD$11:$BD$38)&gt;0),$B112,"")</f>
        <v/>
      </c>
      <c r="BM112" s="84" t="str">
        <f t="array" ref="BM112">IF(OR((BM$110&gt;=$BC$11:$BC$38)*(BM$48&lt;=$BD$11:$BD$38)&gt;0),$B112,"")</f>
        <v/>
      </c>
      <c r="BN112" s="84" t="str">
        <f t="array" ref="BN112">IF(OR((BN$110&gt;=$BC$11:$BC$38)*(BN$48&lt;=$BD$11:$BD$38)&gt;0),$B112,"")</f>
        <v/>
      </c>
      <c r="BO112" s="84" t="str">
        <f t="array" ref="BO112">IF(OR((BO$110&gt;=$BC$11:$BC$38)*(BO$48&lt;=$BD$11:$BD$38)&gt;0),$B112,"")</f>
        <v/>
      </c>
      <c r="BP112" s="84" t="str">
        <f t="array" ref="BP112">IF(OR((BP$110&gt;=$BC$11:$BC$38)*(BP$48&lt;=$BD$11:$BD$38)&gt;0),$B112,"")</f>
        <v/>
      </c>
      <c r="BQ112" s="84" t="str">
        <f t="array" ref="BQ112">IF(OR((BQ$110&gt;=$BC$11:$BC$38)*(BQ$48&lt;=$BD$11:$BD$38)&gt;0),$B112,"")</f>
        <v/>
      </c>
      <c r="BR112" s="84" t="str">
        <f t="array" ref="BR112">IF(OR((BR$110&gt;=$BC$11:$BC$38)*(BR$48&lt;=$BD$11:$BD$38)&gt;0),$B112,"")</f>
        <v/>
      </c>
      <c r="BS112" s="84" t="str">
        <f t="array" ref="BS112">IF(OR((BS$110&gt;=$BC$11:$BC$38)*(BS$48&lt;=$BD$11:$BD$38)&gt;0),$B112,"")</f>
        <v/>
      </c>
      <c r="BU112" s="75" t="s">
        <v>208</v>
      </c>
      <c r="BV112" s="16">
        <f>'[1](Fill In) SIAO'!BW3</f>
        <v>0</v>
      </c>
      <c r="BW112" s="84" t="str">
        <f t="array" ref="BW112">IF(OR((BW$110&gt;=$BC$11:$BC$38)*(BW$48&lt;=$BD$11:$BD$38)&gt;0),$B112,"")</f>
        <v/>
      </c>
      <c r="BX112" s="84" t="str">
        <f t="array" ref="BX112">IF(OR((BX$110&gt;=$BC$11:$BC$38)*(BX$48&lt;=$BD$11:$BD$38)&gt;0),$B112,"")</f>
        <v/>
      </c>
      <c r="BY112" s="84" t="str">
        <f t="array" ref="BY112">IF(OR((BY$110&gt;=$BC$11:$BC$38)*(BY$48&lt;=$BD$11:$BD$38)&gt;0),$B112,"")</f>
        <v/>
      </c>
      <c r="BZ112" s="84" t="str">
        <f t="array" ref="BZ112">IF(OR((BZ$110&gt;=$BC$11:$BC$38)*(BZ$48&lt;=$BD$11:$BD$38)&gt;0),$B112,"")</f>
        <v/>
      </c>
      <c r="CA112" s="84" t="str">
        <f t="array" ref="CA112">IF(OR((CA$110&gt;=$BC$11:$BC$38)*(CA$48&lt;=$BD$11:$BD$38)&gt;0),$B112,"")</f>
        <v/>
      </c>
      <c r="CB112" s="84" t="str">
        <f t="array" ref="CB112">IF(OR((CB$110&gt;=$BC$11:$BC$38)*(CB$48&lt;=$BD$11:$BD$38)&gt;0),$B112,"")</f>
        <v/>
      </c>
      <c r="CC112" s="84" t="str">
        <f t="array" ref="CC112">IF(OR((CC$110&gt;=$BC$11:$BC$38)*(CC$48&lt;=$BD$11:$BD$38)&gt;0),$B112,"")</f>
        <v/>
      </c>
      <c r="CD112" s="84" t="str">
        <f t="array" ref="CD112">IF(OR((CD$110&gt;=$BC$11:$BC$38)*(CD$48&lt;=$BD$11:$BD$38)&gt;0),$B112,"")</f>
        <v/>
      </c>
      <c r="CE112" s="84" t="str">
        <f t="array" ref="CE112">IF(OR((CE$110&gt;=$BC$11:$BC$38)*(CE$48&lt;=$BD$11:$BD$38)&gt;0),$B112,"")</f>
        <v/>
      </c>
      <c r="CF112" s="84" t="str">
        <f t="array" ref="CF112">IF(OR((CF$110&gt;=$BC$11:$BC$38)*(CF$48&lt;=$BD$11:$BD$38)&gt;0),$B112,"")</f>
        <v/>
      </c>
      <c r="CG112" s="84" t="str">
        <f t="array" ref="CG112">IF(OR((CG$110&gt;=$BC$11:$BC$38)*(CG$48&lt;=$BD$11:$BD$38)&gt;0),$B112,"")</f>
        <v/>
      </c>
      <c r="CH112" s="84" t="str">
        <f t="array" ref="CH112">IF(OR((CH$110&gt;=$BC$11:$BC$38)*(CH$48&lt;=$BD$11:$BD$38)&gt;0),$B112,"")</f>
        <v/>
      </c>
      <c r="CI112" s="84" t="str">
        <f t="array" ref="CI112">IF(OR((CI$110&gt;=$BC$11:$BC$38)*(CI$48&lt;=$BD$11:$BD$38)&gt;0),$B112,"")</f>
        <v/>
      </c>
      <c r="CJ112" s="84" t="str">
        <f t="array" ref="CJ112">IF(OR((CJ$110&gt;=$BC$11:$BC$38)*(CJ$48&lt;=$BD$11:$BD$38)&gt;0),$B112,"")</f>
        <v/>
      </c>
      <c r="CK112" s="84" t="str">
        <f t="array" ref="CK112">IF(OR((CK$110&gt;=$BC$11:$BC$38)*(CK$48&lt;=$BD$11:$BD$38)&gt;0),$B112,"")</f>
        <v/>
      </c>
      <c r="CL112" s="84" t="str">
        <f t="array" ref="CL112">IF(OR((CL$110&gt;=$BC$11:$BC$38)*(CL$48&lt;=$BD$11:$BD$38)&gt;0),$B112,"")</f>
        <v/>
      </c>
      <c r="CM112" s="84"/>
      <c r="CN112" s="84"/>
      <c r="CO112" s="84"/>
      <c r="CP112" s="84"/>
      <c r="CQ112" s="84"/>
      <c r="CR112" s="84"/>
      <c r="CS112" s="84"/>
      <c r="CT112" s="84"/>
      <c r="CU112" s="84"/>
      <c r="CV112" s="84"/>
      <c r="CW112" s="84"/>
      <c r="CX112" s="84"/>
      <c r="CY112" s="84"/>
      <c r="CZ112" s="84"/>
      <c r="DA112" s="84"/>
      <c r="DB112" s="84"/>
      <c r="DC112" s="84"/>
    </row>
    <row r="113" spans="1:107">
      <c r="A113" s="8"/>
      <c r="B113" s="12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K113" s="8"/>
      <c r="AL113" s="12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U113" s="8"/>
      <c r="BV113" s="12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</row>
    <row r="114" spans="1:107">
      <c r="A114" s="7" t="s">
        <v>96</v>
      </c>
      <c r="B114" s="10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K114" s="7" t="s">
        <v>96</v>
      </c>
      <c r="AL114" s="10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U114" s="7" t="s">
        <v>96</v>
      </c>
      <c r="BV114" s="10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</row>
    <row r="115" spans="1:107">
      <c r="A115" s="75"/>
      <c r="B115" s="11" t="s">
        <v>154</v>
      </c>
      <c r="C115" s="112">
        <f>EOMONTH($A$1,-1)</f>
        <v>46265</v>
      </c>
      <c r="D115" s="112">
        <f t="shared" ref="D115:AI115" si="520">C115+1</f>
        <v>46266</v>
      </c>
      <c r="E115" s="112">
        <f t="shared" si="520"/>
        <v>46267</v>
      </c>
      <c r="F115" s="112">
        <f t="shared" si="520"/>
        <v>46268</v>
      </c>
      <c r="G115" s="112">
        <f t="shared" si="520"/>
        <v>46269</v>
      </c>
      <c r="H115" s="112">
        <f t="shared" si="520"/>
        <v>46270</v>
      </c>
      <c r="I115" s="112">
        <f t="shared" si="520"/>
        <v>46271</v>
      </c>
      <c r="J115" s="112">
        <f t="shared" si="520"/>
        <v>46272</v>
      </c>
      <c r="K115" s="112">
        <f t="shared" si="520"/>
        <v>46273</v>
      </c>
      <c r="L115" s="112">
        <f t="shared" si="520"/>
        <v>46274</v>
      </c>
      <c r="M115" s="112">
        <f t="shared" si="520"/>
        <v>46275</v>
      </c>
      <c r="N115" s="112">
        <f t="shared" si="520"/>
        <v>46276</v>
      </c>
      <c r="O115" s="112">
        <f t="shared" si="520"/>
        <v>46277</v>
      </c>
      <c r="P115" s="112">
        <f t="shared" si="520"/>
        <v>46278</v>
      </c>
      <c r="Q115" s="112">
        <f t="shared" si="520"/>
        <v>46279</v>
      </c>
      <c r="R115" s="112">
        <f t="shared" si="520"/>
        <v>46280</v>
      </c>
      <c r="S115" s="112">
        <f t="shared" si="520"/>
        <v>46281</v>
      </c>
      <c r="T115" s="112">
        <f t="shared" si="520"/>
        <v>46282</v>
      </c>
      <c r="U115" s="112">
        <f t="shared" si="520"/>
        <v>46283</v>
      </c>
      <c r="V115" s="112">
        <f t="shared" si="520"/>
        <v>46284</v>
      </c>
      <c r="W115" s="112">
        <f t="shared" si="520"/>
        <v>46285</v>
      </c>
      <c r="X115" s="112">
        <f t="shared" si="520"/>
        <v>46286</v>
      </c>
      <c r="Y115" s="112">
        <f t="shared" si="520"/>
        <v>46287</v>
      </c>
      <c r="Z115" s="112">
        <f t="shared" si="520"/>
        <v>46288</v>
      </c>
      <c r="AA115" s="112">
        <f t="shared" si="520"/>
        <v>46289</v>
      </c>
      <c r="AB115" s="112">
        <f t="shared" si="520"/>
        <v>46290</v>
      </c>
      <c r="AC115" s="112">
        <f t="shared" si="520"/>
        <v>46291</v>
      </c>
      <c r="AD115" s="112">
        <f t="shared" si="520"/>
        <v>46292</v>
      </c>
      <c r="AE115" s="112">
        <f t="shared" si="520"/>
        <v>46293</v>
      </c>
      <c r="AF115" s="112">
        <f t="shared" si="520"/>
        <v>46294</v>
      </c>
      <c r="AG115" s="112">
        <f t="shared" si="520"/>
        <v>46295</v>
      </c>
      <c r="AH115" s="112">
        <f t="shared" si="520"/>
        <v>46296</v>
      </c>
      <c r="AI115" s="112">
        <f t="shared" si="520"/>
        <v>46297</v>
      </c>
      <c r="AK115" s="75"/>
      <c r="AL115" s="11" t="s">
        <v>154</v>
      </c>
      <c r="AM115" s="112">
        <f>EOMONTH($A$1,-1)</f>
        <v>46265</v>
      </c>
      <c r="AN115" s="112">
        <f t="shared" ref="AN115" si="521">AM115+1</f>
        <v>46266</v>
      </c>
      <c r="AO115" s="112">
        <f t="shared" ref="AO115" si="522">AN115+1</f>
        <v>46267</v>
      </c>
      <c r="AP115" s="112">
        <f t="shared" ref="AP115" si="523">AO115+1</f>
        <v>46268</v>
      </c>
      <c r="AQ115" s="112">
        <f t="shared" ref="AQ115" si="524">AP115+1</f>
        <v>46269</v>
      </c>
      <c r="AR115" s="112">
        <f t="shared" ref="AR115" si="525">AQ115+1</f>
        <v>46270</v>
      </c>
      <c r="AS115" s="112">
        <f t="shared" ref="AS115" si="526">AR115+1</f>
        <v>46271</v>
      </c>
      <c r="AT115" s="112">
        <f t="shared" ref="AT115" si="527">AS115+1</f>
        <v>46272</v>
      </c>
      <c r="AU115" s="112">
        <f t="shared" ref="AU115" si="528">AT115+1</f>
        <v>46273</v>
      </c>
      <c r="AV115" s="112">
        <f t="shared" ref="AV115" si="529">AU115+1</f>
        <v>46274</v>
      </c>
      <c r="AW115" s="112">
        <f t="shared" ref="AW115" si="530">AV115+1</f>
        <v>46275</v>
      </c>
      <c r="AX115" s="112">
        <f t="shared" ref="AX115" si="531">AW115+1</f>
        <v>46276</v>
      </c>
      <c r="AY115" s="112">
        <f t="shared" ref="AY115" si="532">AX115+1</f>
        <v>46277</v>
      </c>
      <c r="AZ115" s="112">
        <f t="shared" ref="AZ115" si="533">AY115+1</f>
        <v>46278</v>
      </c>
      <c r="BA115" s="112">
        <f t="shared" ref="BA115" si="534">AZ115+1</f>
        <v>46279</v>
      </c>
      <c r="BB115" s="112">
        <f t="shared" ref="BB115" si="535">BA115+1</f>
        <v>46280</v>
      </c>
      <c r="BC115" s="112">
        <f t="shared" ref="BC115" si="536">BB115+1</f>
        <v>46281</v>
      </c>
      <c r="BD115" s="112">
        <f t="shared" ref="BD115" si="537">BC115+1</f>
        <v>46282</v>
      </c>
      <c r="BE115" s="112">
        <f t="shared" ref="BE115" si="538">BD115+1</f>
        <v>46283</v>
      </c>
      <c r="BF115" s="112">
        <f t="shared" ref="BF115" si="539">BE115+1</f>
        <v>46284</v>
      </c>
      <c r="BG115" s="112">
        <f t="shared" ref="BG115" si="540">BF115+1</f>
        <v>46285</v>
      </c>
      <c r="BH115" s="112">
        <f t="shared" ref="BH115" si="541">BG115+1</f>
        <v>46286</v>
      </c>
      <c r="BI115" s="112">
        <f t="shared" ref="BI115" si="542">BH115+1</f>
        <v>46287</v>
      </c>
      <c r="BJ115" s="112">
        <f t="shared" ref="BJ115" si="543">BI115+1</f>
        <v>46288</v>
      </c>
      <c r="BK115" s="112">
        <f t="shared" ref="BK115" si="544">BJ115+1</f>
        <v>46289</v>
      </c>
      <c r="BL115" s="112">
        <f t="shared" ref="BL115" si="545">BK115+1</f>
        <v>46290</v>
      </c>
      <c r="BM115" s="112">
        <f t="shared" ref="BM115" si="546">BL115+1</f>
        <v>46291</v>
      </c>
      <c r="BN115" s="112">
        <f t="shared" ref="BN115" si="547">BM115+1</f>
        <v>46292</v>
      </c>
      <c r="BO115" s="112">
        <f t="shared" ref="BO115" si="548">BN115+1</f>
        <v>46293</v>
      </c>
      <c r="BP115" s="112">
        <f t="shared" ref="BP115" si="549">BO115+1</f>
        <v>46294</v>
      </c>
      <c r="BQ115" s="112">
        <f t="shared" ref="BQ115" si="550">BP115+1</f>
        <v>46295</v>
      </c>
      <c r="BR115" s="112">
        <f t="shared" ref="BR115" si="551">BQ115+1</f>
        <v>46296</v>
      </c>
      <c r="BS115" s="112">
        <f t="shared" ref="BS115" si="552">BR115+1</f>
        <v>46297</v>
      </c>
      <c r="BU115" s="75"/>
      <c r="BV115" s="11" t="s">
        <v>154</v>
      </c>
      <c r="BW115" s="112">
        <f>EOMONTH($A$1,-1)</f>
        <v>46265</v>
      </c>
      <c r="BX115" s="112">
        <f t="shared" ref="BX115" si="553">BW115+1</f>
        <v>46266</v>
      </c>
      <c r="BY115" s="112">
        <f t="shared" ref="BY115" si="554">BX115+1</f>
        <v>46267</v>
      </c>
      <c r="BZ115" s="112">
        <f t="shared" ref="BZ115" si="555">BY115+1</f>
        <v>46268</v>
      </c>
      <c r="CA115" s="112">
        <f t="shared" ref="CA115" si="556">BZ115+1</f>
        <v>46269</v>
      </c>
      <c r="CB115" s="112">
        <f t="shared" ref="CB115" si="557">CA115+1</f>
        <v>46270</v>
      </c>
      <c r="CC115" s="112">
        <f t="shared" ref="CC115" si="558">CB115+1</f>
        <v>46271</v>
      </c>
      <c r="CD115" s="112">
        <f t="shared" ref="CD115" si="559">CC115+1</f>
        <v>46272</v>
      </c>
      <c r="CE115" s="112">
        <f t="shared" ref="CE115" si="560">CD115+1</f>
        <v>46273</v>
      </c>
      <c r="CF115" s="112">
        <f t="shared" ref="CF115" si="561">CE115+1</f>
        <v>46274</v>
      </c>
      <c r="CG115" s="112">
        <f t="shared" ref="CG115" si="562">CF115+1</f>
        <v>46275</v>
      </c>
      <c r="CH115" s="112">
        <f t="shared" ref="CH115" si="563">CG115+1</f>
        <v>46276</v>
      </c>
      <c r="CI115" s="112">
        <f t="shared" ref="CI115" si="564">CH115+1</f>
        <v>46277</v>
      </c>
      <c r="CJ115" s="112">
        <f t="shared" ref="CJ115" si="565">CI115+1</f>
        <v>46278</v>
      </c>
      <c r="CK115" s="112">
        <f t="shared" ref="CK115" si="566">CJ115+1</f>
        <v>46279</v>
      </c>
      <c r="CL115" s="112">
        <f t="shared" ref="CL115" si="567">CK115+1</f>
        <v>46280</v>
      </c>
      <c r="CM115" s="112">
        <f t="shared" ref="CM115" si="568">CL115+1</f>
        <v>46281</v>
      </c>
      <c r="CN115" s="112">
        <f t="shared" ref="CN115" si="569">CM115+1</f>
        <v>46282</v>
      </c>
      <c r="CO115" s="112">
        <f t="shared" ref="CO115" si="570">CN115+1</f>
        <v>46283</v>
      </c>
      <c r="CP115" s="112">
        <f t="shared" ref="CP115" si="571">CO115+1</f>
        <v>46284</v>
      </c>
      <c r="CQ115" s="112">
        <f t="shared" ref="CQ115" si="572">CP115+1</f>
        <v>46285</v>
      </c>
      <c r="CR115" s="112">
        <f t="shared" ref="CR115" si="573">CQ115+1</f>
        <v>46286</v>
      </c>
      <c r="CS115" s="112">
        <f t="shared" ref="CS115" si="574">CR115+1</f>
        <v>46287</v>
      </c>
      <c r="CT115" s="112">
        <f t="shared" ref="CT115" si="575">CS115+1</f>
        <v>46288</v>
      </c>
      <c r="CU115" s="112">
        <f t="shared" ref="CU115" si="576">CT115+1</f>
        <v>46289</v>
      </c>
      <c r="CV115" s="112">
        <f t="shared" ref="CV115" si="577">CU115+1</f>
        <v>46290</v>
      </c>
      <c r="CW115" s="112">
        <f t="shared" ref="CW115" si="578">CV115+1</f>
        <v>46291</v>
      </c>
      <c r="CX115" s="112">
        <f t="shared" ref="CX115" si="579">CW115+1</f>
        <v>46292</v>
      </c>
      <c r="CY115" s="112">
        <f t="shared" ref="CY115" si="580">CX115+1</f>
        <v>46293</v>
      </c>
      <c r="CZ115" s="112">
        <f t="shared" ref="CZ115" si="581">CY115+1</f>
        <v>46294</v>
      </c>
      <c r="DA115" s="112">
        <f t="shared" ref="DA115" si="582">CZ115+1</f>
        <v>46295</v>
      </c>
      <c r="DB115" s="112">
        <f t="shared" ref="DB115" si="583">DA115+1</f>
        <v>46296</v>
      </c>
      <c r="DC115" s="112">
        <f t="shared" ref="DC115" si="584">DB115+1</f>
        <v>46297</v>
      </c>
    </row>
    <row r="116" spans="1:107">
      <c r="A116" s="75" t="s">
        <v>209</v>
      </c>
      <c r="B116" s="16" t="s">
        <v>210</v>
      </c>
      <c r="C116" s="84" t="str">
        <f t="array" ref="C116">IF(OR((C$115&gt;=$BE$11:$BE$38)*(C$48&lt;=$BF$11:$BF$38)&gt;0),$B116,"")</f>
        <v/>
      </c>
      <c r="D116" s="84" t="str">
        <f t="array" ref="D116">IF(OR((D$115&gt;=$BE$11:$BE$38)*(D$48&lt;=$BF$11:$BF$38)&gt;0),$B116,"")</f>
        <v/>
      </c>
      <c r="E116" s="84" t="str">
        <f t="array" ref="E116">IF(OR((E$115&gt;=$BE$11:$BE$38)*(E$48&lt;=$BF$11:$BF$38)&gt;0),$B116,"")</f>
        <v/>
      </c>
      <c r="F116" s="84" t="str">
        <f t="array" ref="F116">IF(OR((F$115&gt;=$BE$11:$BE$38)*(F$48&lt;=$BF$11:$BF$38)&gt;0),$B116,"")</f>
        <v/>
      </c>
      <c r="G116" s="84" t="str">
        <f t="array" ref="G116">IF(OR((G$115&gt;=$BE$11:$BE$38)*(G$48&lt;=$BF$11:$BF$38)&gt;0),$B116,"")</f>
        <v/>
      </c>
      <c r="H116" s="84" t="str">
        <f t="array" ref="H116">IF(OR((H$115&gt;=$BE$11:$BE$38)*(H$48&lt;=$BF$11:$BF$38)&gt;0),$B116,"")</f>
        <v/>
      </c>
      <c r="I116" s="84" t="str">
        <f t="array" ref="I116">IF(OR((I$115&gt;=$BE$11:$BE$38)*(I$48&lt;=$BF$11:$BF$38)&gt;0),$B116,"")</f>
        <v/>
      </c>
      <c r="J116" s="84" t="str">
        <f t="array" ref="J116">IF(OR((J$115&gt;=$BE$11:$BE$38)*(J$48&lt;=$BF$11:$BF$38)&gt;0),$B116,"")</f>
        <v/>
      </c>
      <c r="K116" s="84" t="str">
        <f t="array" ref="K116">IF(OR((K$115&gt;=$BE$11:$BE$38)*(K$48&lt;=$BF$11:$BF$38)&gt;0),$B116,"")</f>
        <v/>
      </c>
      <c r="L116" s="84" t="str">
        <f t="array" ref="L116">IF(OR((L$115&gt;=$BE$11:$BE$38)*(L$48&lt;=$BF$11:$BF$38)&gt;0),$B116,"")</f>
        <v/>
      </c>
      <c r="M116" s="84" t="str">
        <f t="array" ref="M116">IF(OR((M$115&gt;=$BE$11:$BE$38)*(M$48&lt;=$BF$11:$BF$38)&gt;0),$B116,"")</f>
        <v/>
      </c>
      <c r="N116" s="84" t="str">
        <f t="array" ref="N116">IF(OR((N$115&gt;=$BE$11:$BE$38)*(N$48&lt;=$BF$11:$BF$38)&gt;0),$B116,"")</f>
        <v/>
      </c>
      <c r="O116" s="84" t="str">
        <f t="array" ref="O116">IF(OR((O$115&gt;=$BE$11:$BE$38)*(O$48&lt;=$BF$11:$BF$38)&gt;0),$B116,"")</f>
        <v/>
      </c>
      <c r="P116" s="84" t="str">
        <f t="array" ref="P116">IF(OR((P$115&gt;=$BE$11:$BE$38)*(P$48&lt;=$BF$11:$BF$38)&gt;0),$B116,"")</f>
        <v/>
      </c>
      <c r="Q116" s="84" t="str">
        <f t="array" ref="Q116">IF(OR((Q$115&gt;=$BE$11:$BE$38)*(Q$48&lt;=$BF$11:$BF$38)&gt;0),$B116,"")</f>
        <v/>
      </c>
      <c r="R116" s="84" t="str">
        <f t="array" ref="R116">IF(OR((R$115&gt;=$BE$11:$BE$38)*(R$48&lt;=$BF$11:$BF$38)&gt;0),$B116,"")</f>
        <v/>
      </c>
      <c r="S116" s="84" t="str">
        <f t="array" ref="S116">IF(OR((S$115&gt;=$BE$11:$BE$38)*(S$48&lt;=$BF$11:$BF$38)&gt;0),$B116,"")</f>
        <v/>
      </c>
      <c r="T116" s="84" t="str">
        <f t="array" ref="T116">IF(OR((T$115&gt;=$BE$11:$BE$38)*(T$48&lt;=$BF$11:$BF$38)&gt;0),$B116,"")</f>
        <v/>
      </c>
      <c r="U116" s="84"/>
      <c r="V116" s="84"/>
      <c r="W116" s="84" t="str">
        <f t="array" ref="W116">IF(OR((W$115&gt;=$BE$11:$BE$38)*(W$48&lt;=$BF$11:$BF$38)&gt;0),$B116,"")</f>
        <v/>
      </c>
      <c r="X116" s="84" t="str">
        <f t="array" ref="X116">IF(OR((X$115&gt;=$BE$11:$BE$38)*(X$48&lt;=$BF$11:$BF$38)&gt;0),$B116,"")</f>
        <v/>
      </c>
      <c r="Y116" s="84" t="str">
        <f t="array" ref="Y116">IF(OR((Y$115&gt;=$BE$11:$BE$38)*(Y$48&lt;=$BF$11:$BF$38)&gt;0),$B116,"")</f>
        <v/>
      </c>
      <c r="Z116" s="84" t="str">
        <f t="array" ref="Z116">IF(OR((Z$115&gt;=$BE$11:$BE$38)*(Z$48&lt;=$BF$11:$BF$38)&gt;0),$B116,"")</f>
        <v/>
      </c>
      <c r="AA116" s="84" t="str">
        <f t="array" ref="AA116">IF(OR((AA$115&gt;=$BE$11:$BE$38)*(AA$48&lt;=$BF$11:$BF$38)&gt;0),$B116,"")</f>
        <v/>
      </c>
      <c r="AB116" s="84" t="str">
        <f t="array" ref="AB116">IF(OR((AB$115&gt;=$BE$11:$BE$38)*(AB$48&lt;=$BF$11:$BF$38)&gt;0),$B116,"")</f>
        <v/>
      </c>
      <c r="AC116" s="84" t="str">
        <f t="array" ref="AC116">IF(OR((AC$115&gt;=$BE$11:$BE$38)*(AC$48&lt;=$BF$11:$BF$38)&gt;0),$B116,"")</f>
        <v/>
      </c>
      <c r="AD116" s="84" t="str">
        <f t="array" ref="AD116">IF(OR((AD$115&gt;=$BE$11:$BE$38)*(AD$48&lt;=$BF$11:$BF$38)&gt;0),$B116,"")</f>
        <v/>
      </c>
      <c r="AE116" s="84" t="str">
        <f t="array" ref="AE116">IF(OR((AE$115&gt;=$BE$11:$BE$38)*(AE$48&lt;=$BF$11:$BF$38)&gt;0),$B116,"")</f>
        <v/>
      </c>
      <c r="AF116" s="84" t="str">
        <f t="array" ref="AF116">IF(OR((AF$115&gt;=$BE$11:$BE$38)*(AF$48&lt;=$BF$11:$BF$38)&gt;0),$B116,"")</f>
        <v/>
      </c>
      <c r="AG116" s="84" t="str">
        <f t="array" ref="AG116">IF(OR((AG$115&gt;=$BE$11:$BE$38)*(AG$48&lt;=$BF$11:$BF$38)&gt;0),$B116,"")</f>
        <v/>
      </c>
      <c r="AH116" s="84" t="str">
        <f t="array" ref="AH116">IF(OR((AH$115&gt;=$BE$11:$BE$38)*(AH$48&lt;=$BF$11:$BF$38)&gt;0),$B116,"")</f>
        <v/>
      </c>
      <c r="AI116" s="84" t="str">
        <f t="array" ref="AI116">IF(OR((AI$115&gt;=$BE$11:$BE$38)*(AI$48&lt;=$BF$11:$BF$38)&gt;0),$B116,"")</f>
        <v/>
      </c>
      <c r="AK116" s="75" t="s">
        <v>209</v>
      </c>
      <c r="AL116" s="16" t="s">
        <v>210</v>
      </c>
      <c r="AM116" s="84" t="str">
        <f t="array" ref="AM116">IF(OR((AM$115&gt;=$BE$11:$BE$38)*(AM$48&lt;=$BF$11:$BF$38)&gt;0),$B116,"")</f>
        <v/>
      </c>
      <c r="AN116" s="84" t="str">
        <f t="array" ref="AN116">IF(OR((AN$115&gt;=$BE$11:$BE$38)*(AN$48&lt;=$BF$11:$BF$38)&gt;0),$B116,"")</f>
        <v/>
      </c>
      <c r="AO116" s="84" t="str">
        <f t="array" ref="AO116">IF(OR((AO$115&gt;=$BE$11:$BE$38)*(AO$48&lt;=$BF$11:$BF$38)&gt;0),$B116,"")</f>
        <v/>
      </c>
      <c r="AP116" s="84" t="str">
        <f t="array" ref="AP116">IF(OR((AP$115&gt;=$BE$11:$BE$38)*(AP$48&lt;=$BF$11:$BF$38)&gt;0),$B116,"")</f>
        <v/>
      </c>
      <c r="AQ116" s="84" t="str">
        <f t="array" ref="AQ116">IF(OR((AQ$115&gt;=$BE$11:$BE$38)*(AQ$48&lt;=$BF$11:$BF$38)&gt;0),$B116,"")</f>
        <v/>
      </c>
      <c r="AR116" s="84" t="str">
        <f t="array" ref="AR116">IF(OR((AR$115&gt;=$BE$11:$BE$38)*(AR$48&lt;=$BF$11:$BF$38)&gt;0),$B116,"")</f>
        <v/>
      </c>
      <c r="AS116" s="84" t="str">
        <f t="array" ref="AS116">IF(OR((AS$115&gt;=$BE$11:$BE$38)*(AS$48&lt;=$BF$11:$BF$38)&gt;0),$B116,"")</f>
        <v/>
      </c>
      <c r="AT116" s="84" t="str">
        <f t="array" ref="AT116">IF(OR((AT$115&gt;=$BE$11:$BE$38)*(AT$48&lt;=$BF$11:$BF$38)&gt;0),$B116,"")</f>
        <v/>
      </c>
      <c r="AU116" s="84" t="str">
        <f t="array" ref="AU116">IF(OR((AU$115&gt;=$BE$11:$BE$38)*(AU$48&lt;=$BF$11:$BF$38)&gt;0),$B116,"")</f>
        <v/>
      </c>
      <c r="AV116" s="84" t="str">
        <f t="array" ref="AV116">IF(OR((AV$115&gt;=$BE$11:$BE$38)*(AV$48&lt;=$BF$11:$BF$38)&gt;0),$B116,"")</f>
        <v/>
      </c>
      <c r="AW116" s="84" t="str">
        <f t="array" ref="AW116">IF(OR((AW$115&gt;=$BE$11:$BE$38)*(AW$48&lt;=$BF$11:$BF$38)&gt;0),$B116,"")</f>
        <v/>
      </c>
      <c r="AX116" s="84" t="str">
        <f t="array" ref="AX116">IF(OR((AX$115&gt;=$BE$11:$BE$38)*(AX$48&lt;=$BF$11:$BF$38)&gt;0),$B116,"")</f>
        <v/>
      </c>
      <c r="AY116" s="84" t="str">
        <f t="array" ref="AY116">IF(OR((AY$115&gt;=$BE$11:$BE$38)*(AY$48&lt;=$BF$11:$BF$38)&gt;0),$B116,"")</f>
        <v/>
      </c>
      <c r="AZ116" s="84" t="str">
        <f t="array" ref="AZ116">IF(OR((AZ$115&gt;=$BE$11:$BE$38)*(AZ$48&lt;=$BF$11:$BF$38)&gt;0),$B116,"")</f>
        <v/>
      </c>
      <c r="BA116" s="84" t="str">
        <f t="array" ref="BA116">IF(OR((BA$115&gt;=$BE$11:$BE$38)*(BA$48&lt;=$BF$11:$BF$38)&gt;0),$B116,"")</f>
        <v/>
      </c>
      <c r="BB116" s="84" t="str">
        <f t="array" ref="BB116">IF(OR((BB$115&gt;=$BE$11:$BE$38)*(BB$48&lt;=$BF$11:$BF$38)&gt;0),$B116,"")</f>
        <v/>
      </c>
      <c r="BC116" s="84" t="str">
        <f t="array" ref="BC116">IF(OR((BC$115&gt;=$BE$11:$BE$38)*(BC$48&lt;=$BF$11:$BF$38)&gt;0),$B116,"")</f>
        <v/>
      </c>
      <c r="BD116" s="84" t="str">
        <f t="array" ref="BD116">IF(OR((BD$115&gt;=$BE$11:$BE$38)*(BD$48&lt;=$BF$11:$BF$38)&gt;0),$B116,"")</f>
        <v/>
      </c>
      <c r="BE116" s="84"/>
      <c r="BF116" s="84"/>
      <c r="BG116" s="84" t="str">
        <f t="array" ref="BG116">IF(OR((BG$115&gt;=$BE$11:$BE$38)*(BG$48&lt;=$BF$11:$BF$38)&gt;0),$B116,"")</f>
        <v/>
      </c>
      <c r="BH116" s="84" t="str">
        <f t="array" ref="BH116">IF(OR((BH$115&gt;=$BE$11:$BE$38)*(BH$48&lt;=$BF$11:$BF$38)&gt;0),$B116,"")</f>
        <v/>
      </c>
      <c r="BI116" s="84" t="str">
        <f t="array" ref="BI116">IF(OR((BI$115&gt;=$BE$11:$BE$38)*(BI$48&lt;=$BF$11:$BF$38)&gt;0),$B116,"")</f>
        <v/>
      </c>
      <c r="BJ116" s="84" t="str">
        <f t="array" ref="BJ116">IF(OR((BJ$115&gt;=$BE$11:$BE$38)*(BJ$48&lt;=$BF$11:$BF$38)&gt;0),$B116,"")</f>
        <v/>
      </c>
      <c r="BK116" s="84" t="str">
        <f t="array" ref="BK116">IF(OR((BK$115&gt;=$BE$11:$BE$38)*(BK$48&lt;=$BF$11:$BF$38)&gt;0),$B116,"")</f>
        <v/>
      </c>
      <c r="BL116" s="84" t="str">
        <f t="array" ref="BL116">IF(OR((BL$115&gt;=$BE$11:$BE$38)*(BL$48&lt;=$BF$11:$BF$38)&gt;0),$B116,"")</f>
        <v/>
      </c>
      <c r="BM116" s="84" t="str">
        <f t="array" ref="BM116">IF(OR((BM$115&gt;=$BE$11:$BE$38)*(BM$48&lt;=$BF$11:$BF$38)&gt;0),$B116,"")</f>
        <v/>
      </c>
      <c r="BN116" s="84" t="str">
        <f t="array" ref="BN116">IF(OR((BN$115&gt;=$BE$11:$BE$38)*(BN$48&lt;=$BF$11:$BF$38)&gt;0),$B116,"")</f>
        <v/>
      </c>
      <c r="BO116" s="84" t="str">
        <f t="array" ref="BO116">IF(OR((BO$115&gt;=$BE$11:$BE$38)*(BO$48&lt;=$BF$11:$BF$38)&gt;0),$B116,"")</f>
        <v/>
      </c>
      <c r="BP116" s="84" t="str">
        <f t="array" ref="BP116">IF(OR((BP$115&gt;=$BE$11:$BE$38)*(BP$48&lt;=$BF$11:$BF$38)&gt;0),$B116,"")</f>
        <v/>
      </c>
      <c r="BQ116" s="84" t="str">
        <f t="array" ref="BQ116">IF(OR((BQ$115&gt;=$BE$11:$BE$38)*(BQ$48&lt;=$BF$11:$BF$38)&gt;0),$B116,"")</f>
        <v/>
      </c>
      <c r="BR116" s="84" t="str">
        <f t="array" ref="BR116">IF(OR((BR$115&gt;=$BE$11:$BE$38)*(BR$48&lt;=$BF$11:$BF$38)&gt;0),$B116,"")</f>
        <v/>
      </c>
      <c r="BS116" s="84" t="str">
        <f t="array" ref="BS116">IF(OR((BS$115&gt;=$BE$11:$BE$38)*(BS$48&lt;=$BF$11:$BF$38)&gt;0),$B116,"")</f>
        <v/>
      </c>
      <c r="BU116" s="75" t="s">
        <v>209</v>
      </c>
      <c r="BV116" s="16" t="s">
        <v>210</v>
      </c>
      <c r="BW116" s="84" t="str">
        <f t="array" ref="BW116">IF(OR((BW$115&gt;=$BE$11:$BE$38)*(BW$48&lt;=$BF$11:$BF$38)&gt;0),$B116,"")</f>
        <v/>
      </c>
      <c r="BX116" s="84" t="str">
        <f t="array" ref="BX116">IF(OR((BX$115&gt;=$BE$11:$BE$38)*(BX$48&lt;=$BF$11:$BF$38)&gt;0),$B116,"")</f>
        <v/>
      </c>
      <c r="BY116" s="84" t="str">
        <f t="array" ref="BY116">IF(OR((BY$115&gt;=$BE$11:$BE$38)*(BY$48&lt;=$BF$11:$BF$38)&gt;0),$B116,"")</f>
        <v/>
      </c>
      <c r="BZ116" s="84" t="str">
        <f t="array" ref="BZ116">IF(OR((BZ$115&gt;=$BE$11:$BE$38)*(BZ$48&lt;=$BF$11:$BF$38)&gt;0),$B116,"")</f>
        <v/>
      </c>
      <c r="CA116" s="84" t="str">
        <f t="array" ref="CA116">IF(OR((CA$115&gt;=$BE$11:$BE$38)*(CA$48&lt;=$BF$11:$BF$38)&gt;0),$B116,"")</f>
        <v/>
      </c>
      <c r="CB116" s="84" t="str">
        <f t="array" ref="CB116">IF(OR((CB$115&gt;=$BE$11:$BE$38)*(CB$48&lt;=$BF$11:$BF$38)&gt;0),$B116,"")</f>
        <v/>
      </c>
      <c r="CC116" s="84" t="str">
        <f t="array" ref="CC116">IF(OR((CC$115&gt;=$BE$11:$BE$38)*(CC$48&lt;=$BF$11:$BF$38)&gt;0),$B116,"")</f>
        <v/>
      </c>
      <c r="CD116" s="84" t="str">
        <f t="array" ref="CD116">IF(OR((CD$115&gt;=$BE$11:$BE$38)*(CD$48&lt;=$BF$11:$BF$38)&gt;0),$B116,"")</f>
        <v/>
      </c>
      <c r="CE116" s="84" t="str">
        <f t="array" ref="CE116">IF(OR((CE$115&gt;=$BE$11:$BE$38)*(CE$48&lt;=$BF$11:$BF$38)&gt;0),$B116,"")</f>
        <v/>
      </c>
      <c r="CF116" s="84" t="str">
        <f t="array" ref="CF116">IF(OR((CF$115&gt;=$BE$11:$BE$38)*(CF$48&lt;=$BF$11:$BF$38)&gt;0),$B116,"")</f>
        <v/>
      </c>
      <c r="CG116" s="84" t="str">
        <f t="array" ref="CG116">IF(OR((CG$115&gt;=$BE$11:$BE$38)*(CG$48&lt;=$BF$11:$BF$38)&gt;0),$B116,"")</f>
        <v/>
      </c>
      <c r="CH116" s="84" t="str">
        <f t="array" ref="CH116">IF(OR((CH$115&gt;=$BE$11:$BE$38)*(CH$48&lt;=$BF$11:$BF$38)&gt;0),$B116,"")</f>
        <v/>
      </c>
      <c r="CI116" s="84" t="str">
        <f t="array" ref="CI116">IF(OR((CI$115&gt;=$BE$11:$BE$38)*(CI$48&lt;=$BF$11:$BF$38)&gt;0),$B116,"")</f>
        <v/>
      </c>
      <c r="CJ116" s="84" t="str">
        <f t="array" ref="CJ116">IF(OR((CJ$115&gt;=$BE$11:$BE$38)*(CJ$48&lt;=$BF$11:$BF$38)&gt;0),$B116,"")</f>
        <v/>
      </c>
      <c r="CK116" s="84" t="str">
        <f t="array" ref="CK116">IF(OR((CK$115&gt;=$BE$11:$BE$38)*(CK$48&lt;=$BF$11:$BF$38)&gt;0),$B116,"")</f>
        <v/>
      </c>
      <c r="CL116" s="84" t="str">
        <f t="array" ref="CL116">IF(OR((CL$115&gt;=$BE$11:$BE$38)*(CL$48&lt;=$BF$11:$BF$38)&gt;0),$B116,"")</f>
        <v/>
      </c>
      <c r="CM116" s="84"/>
      <c r="CN116" s="84"/>
      <c r="CO116" s="84"/>
      <c r="CP116" s="84"/>
      <c r="CQ116" s="84"/>
      <c r="CR116" s="84"/>
      <c r="CS116" s="84"/>
      <c r="CT116" s="84"/>
      <c r="CU116" s="84"/>
      <c r="CV116" s="84"/>
      <c r="CW116" s="84"/>
      <c r="CX116" s="84"/>
      <c r="CY116" s="84"/>
      <c r="CZ116" s="84"/>
      <c r="DA116" s="84"/>
      <c r="DB116" s="84"/>
      <c r="DC116" s="84"/>
    </row>
    <row r="117" spans="1:107">
      <c r="A117" s="75" t="s">
        <v>211</v>
      </c>
      <c r="B117" s="16">
        <v>0</v>
      </c>
      <c r="C117" s="84" t="str">
        <f t="array" ref="C117">IF(OR((C$115&gt;=$BE$11:$BE$38)*(C$48&lt;=$BF$11:$BF$38)&gt;0),$B117,"")</f>
        <v/>
      </c>
      <c r="D117" s="84" t="str">
        <f t="array" ref="D117">IF(OR((D$115&gt;=$BE$11:$BE$38)*(D$48&lt;=$BF$11:$BF$38)&gt;0),$B117,"")</f>
        <v/>
      </c>
      <c r="E117" s="84" t="str">
        <f t="array" ref="E117">IF(OR((E$115&gt;=$BE$11:$BE$38)*(E$48&lt;=$BF$11:$BF$38)&gt;0),$B117,"")</f>
        <v/>
      </c>
      <c r="F117" s="84" t="str">
        <f t="array" ref="F117">IF(OR((F$115&gt;=$BE$11:$BE$38)*(F$48&lt;=$BF$11:$BF$38)&gt;0),$B117,"")</f>
        <v/>
      </c>
      <c r="G117" s="84" t="str">
        <f t="array" ref="G117">IF(OR((G$115&gt;=$BE$11:$BE$38)*(G$48&lt;=$BF$11:$BF$38)&gt;0),$B117,"")</f>
        <v/>
      </c>
      <c r="H117" s="84" t="str">
        <f t="array" ref="H117">IF(OR((H$115&gt;=$BE$11:$BE$38)*(H$48&lt;=$BF$11:$BF$38)&gt;0),$B117,"")</f>
        <v/>
      </c>
      <c r="I117" s="84" t="str">
        <f t="array" ref="I117">IF(OR((I$115&gt;=$BE$11:$BE$38)*(I$48&lt;=$BF$11:$BF$38)&gt;0),$B117,"")</f>
        <v/>
      </c>
      <c r="J117" s="84" t="str">
        <f t="array" ref="J117">IF(OR((J$115&gt;=$BE$11:$BE$38)*(J$48&lt;=$BF$11:$BF$38)&gt;0),$B117,"")</f>
        <v/>
      </c>
      <c r="K117" s="84" t="str">
        <f t="array" ref="K117">IF(OR((K$115&gt;=$BE$11:$BE$38)*(K$48&lt;=$BF$11:$BF$38)&gt;0),$B117,"")</f>
        <v/>
      </c>
      <c r="L117" s="84" t="str">
        <f t="array" ref="L117">IF(OR((L$115&gt;=$BE$11:$BE$38)*(L$48&lt;=$BF$11:$BF$38)&gt;0),$B117,"")</f>
        <v/>
      </c>
      <c r="M117" s="84" t="str">
        <f t="array" ref="M117">IF(OR((M$115&gt;=$BE$11:$BE$38)*(M$48&lt;=$BF$11:$BF$38)&gt;0),$B117,"")</f>
        <v/>
      </c>
      <c r="N117" s="84" t="str">
        <f t="array" ref="N117">IF(OR((N$115&gt;=$BE$11:$BE$38)*(N$48&lt;=$BF$11:$BF$38)&gt;0),$B117,"")</f>
        <v/>
      </c>
      <c r="O117" s="84" t="str">
        <f t="array" ref="O117">IF(OR((O$115&gt;=$BE$11:$BE$38)*(O$48&lt;=$BF$11:$BF$38)&gt;0),$B117,"")</f>
        <v/>
      </c>
      <c r="P117" s="84" t="str">
        <f t="array" ref="P117">IF(OR((P$115&gt;=$BE$11:$BE$38)*(P$48&lt;=$BF$11:$BF$38)&gt;0),$B117,"")</f>
        <v/>
      </c>
      <c r="Q117" s="84" t="str">
        <f t="array" ref="Q117">IF(OR((Q$115&gt;=$BE$11:$BE$38)*(Q$48&lt;=$BF$11:$BF$38)&gt;0),$B117,"")</f>
        <v/>
      </c>
      <c r="R117" s="84" t="str">
        <f t="array" ref="R117">IF(OR((R$115&gt;=$BE$11:$BE$38)*(R$48&lt;=$BF$11:$BF$38)&gt;0),$B117,"")</f>
        <v/>
      </c>
      <c r="S117" s="84" t="str">
        <f t="array" ref="S117">IF(OR((S$115&gt;=$BE$11:$BE$38)*(S$48&lt;=$BF$11:$BF$38)&gt;0),$B117,"")</f>
        <v/>
      </c>
      <c r="T117" s="84" t="str">
        <f t="array" ref="T117">IF(OR((T$115&gt;=$BE$11:$BE$38)*(T$48&lt;=$BF$11:$BF$38)&gt;0),$B117,"")</f>
        <v/>
      </c>
      <c r="U117" s="84"/>
      <c r="V117" s="84"/>
      <c r="W117" s="84" t="str">
        <f t="array" ref="W117">IF(OR((W$115&gt;=$BE$11:$BE$38)*(W$48&lt;=$BF$11:$BF$38)&gt;0),$B117,"")</f>
        <v/>
      </c>
      <c r="X117" s="84" t="str">
        <f t="array" ref="X117">IF(OR((X$115&gt;=$BE$11:$BE$38)*(X$48&lt;=$BF$11:$BF$38)&gt;0),$B117,"")</f>
        <v/>
      </c>
      <c r="Y117" s="84" t="str">
        <f t="array" ref="Y117">IF(OR((Y$115&gt;=$BE$11:$BE$38)*(Y$48&lt;=$BF$11:$BF$38)&gt;0),$B117,"")</f>
        <v/>
      </c>
      <c r="Z117" s="84" t="str">
        <f t="array" ref="Z117">IF(OR((Z$115&gt;=$BE$11:$BE$38)*(Z$48&lt;=$BF$11:$BF$38)&gt;0),$B117,"")</f>
        <v/>
      </c>
      <c r="AA117" s="84" t="str">
        <f t="array" ref="AA117">IF(OR((AA$115&gt;=$BE$11:$BE$38)*(AA$48&lt;=$BF$11:$BF$38)&gt;0),$B117,"")</f>
        <v/>
      </c>
      <c r="AB117" s="84" t="str">
        <f t="array" ref="AB117">IF(OR((AB$115&gt;=$BE$11:$BE$38)*(AB$48&lt;=$BF$11:$BF$38)&gt;0),$B117,"")</f>
        <v/>
      </c>
      <c r="AC117" s="84" t="str">
        <f t="array" ref="AC117">IF(OR((AC$115&gt;=$BE$11:$BE$38)*(AC$48&lt;=$BF$11:$BF$38)&gt;0),$B117,"")</f>
        <v/>
      </c>
      <c r="AD117" s="84" t="str">
        <f t="array" ref="AD117">IF(OR((AD$115&gt;=$BE$11:$BE$38)*(AD$48&lt;=$BF$11:$BF$38)&gt;0),$B117,"")</f>
        <v/>
      </c>
      <c r="AE117" s="84" t="str">
        <f t="array" ref="AE117">IF(OR((AE$115&gt;=$BE$11:$BE$38)*(AE$48&lt;=$BF$11:$BF$38)&gt;0),$B117,"")</f>
        <v/>
      </c>
      <c r="AF117" s="84" t="str">
        <f t="array" ref="AF117">IF(OR((AF$115&gt;=$BE$11:$BE$38)*(AF$48&lt;=$BF$11:$BF$38)&gt;0),$B117,"")</f>
        <v/>
      </c>
      <c r="AG117" s="84" t="str">
        <f t="array" ref="AG117">IF(OR((AG$115&gt;=$BE$11:$BE$38)*(AG$48&lt;=$BF$11:$BF$38)&gt;0),$B117,"")</f>
        <v/>
      </c>
      <c r="AH117" s="84" t="str">
        <f t="array" ref="AH117">IF(OR((AH$115&gt;=$BE$11:$BE$38)*(AH$48&lt;=$BF$11:$BF$38)&gt;0),$B117,"")</f>
        <v/>
      </c>
      <c r="AI117" s="84" t="str">
        <f t="array" ref="AI117">IF(OR((AI$115&gt;=$BE$11:$BE$38)*(AI$48&lt;=$BF$11:$BF$38)&gt;0),$B117,"")</f>
        <v/>
      </c>
      <c r="AK117" s="75" t="s">
        <v>211</v>
      </c>
      <c r="AL117" s="16">
        <v>0</v>
      </c>
      <c r="AM117" s="84" t="str">
        <f t="array" ref="AM117">IF(OR((AM$115&gt;=$BE$11:$BE$38)*(AM$48&lt;=$BF$11:$BF$38)&gt;0),$B117,"")</f>
        <v/>
      </c>
      <c r="AN117" s="84" t="str">
        <f t="array" ref="AN117">IF(OR((AN$115&gt;=$BE$11:$BE$38)*(AN$48&lt;=$BF$11:$BF$38)&gt;0),$B117,"")</f>
        <v/>
      </c>
      <c r="AO117" s="84" t="str">
        <f t="array" ref="AO117">IF(OR((AO$115&gt;=$BE$11:$BE$38)*(AO$48&lt;=$BF$11:$BF$38)&gt;0),$B117,"")</f>
        <v/>
      </c>
      <c r="AP117" s="84" t="str">
        <f t="array" ref="AP117">IF(OR((AP$115&gt;=$BE$11:$BE$38)*(AP$48&lt;=$BF$11:$BF$38)&gt;0),$B117,"")</f>
        <v/>
      </c>
      <c r="AQ117" s="84" t="str">
        <f t="array" ref="AQ117">IF(OR((AQ$115&gt;=$BE$11:$BE$38)*(AQ$48&lt;=$BF$11:$BF$38)&gt;0),$B117,"")</f>
        <v/>
      </c>
      <c r="AR117" s="84" t="str">
        <f t="array" ref="AR117">IF(OR((AR$115&gt;=$BE$11:$BE$38)*(AR$48&lt;=$BF$11:$BF$38)&gt;0),$B117,"")</f>
        <v/>
      </c>
      <c r="AS117" s="84" t="str">
        <f t="array" ref="AS117">IF(OR((AS$115&gt;=$BE$11:$BE$38)*(AS$48&lt;=$BF$11:$BF$38)&gt;0),$B117,"")</f>
        <v/>
      </c>
      <c r="AT117" s="84" t="str">
        <f t="array" ref="AT117">IF(OR((AT$115&gt;=$BE$11:$BE$38)*(AT$48&lt;=$BF$11:$BF$38)&gt;0),$B117,"")</f>
        <v/>
      </c>
      <c r="AU117" s="84" t="str">
        <f t="array" ref="AU117">IF(OR((AU$115&gt;=$BE$11:$BE$38)*(AU$48&lt;=$BF$11:$BF$38)&gt;0),$B117,"")</f>
        <v/>
      </c>
      <c r="AV117" s="84" t="str">
        <f t="array" ref="AV117">IF(OR((AV$115&gt;=$BE$11:$BE$38)*(AV$48&lt;=$BF$11:$BF$38)&gt;0),$B117,"")</f>
        <v/>
      </c>
      <c r="AW117" s="84" t="str">
        <f t="array" ref="AW117">IF(OR((AW$115&gt;=$BE$11:$BE$38)*(AW$48&lt;=$BF$11:$BF$38)&gt;0),$B117,"")</f>
        <v/>
      </c>
      <c r="AX117" s="84" t="str">
        <f t="array" ref="AX117">IF(OR((AX$115&gt;=$BE$11:$BE$38)*(AX$48&lt;=$BF$11:$BF$38)&gt;0),$B117,"")</f>
        <v/>
      </c>
      <c r="AY117" s="84" t="str">
        <f t="array" ref="AY117">IF(OR((AY$115&gt;=$BE$11:$BE$38)*(AY$48&lt;=$BF$11:$BF$38)&gt;0),$B117,"")</f>
        <v/>
      </c>
      <c r="AZ117" s="84" t="str">
        <f t="array" ref="AZ117">IF(OR((AZ$115&gt;=$BE$11:$BE$38)*(AZ$48&lt;=$BF$11:$BF$38)&gt;0),$B117,"")</f>
        <v/>
      </c>
      <c r="BA117" s="84" t="str">
        <f t="array" ref="BA117">IF(OR((BA$115&gt;=$BE$11:$BE$38)*(BA$48&lt;=$BF$11:$BF$38)&gt;0),$B117,"")</f>
        <v/>
      </c>
      <c r="BB117" s="84" t="str">
        <f t="array" ref="BB117">IF(OR((BB$115&gt;=$BE$11:$BE$38)*(BB$48&lt;=$BF$11:$BF$38)&gt;0),$B117,"")</f>
        <v/>
      </c>
      <c r="BC117" s="84" t="str">
        <f t="array" ref="BC117">IF(OR((BC$115&gt;=$BE$11:$BE$38)*(BC$48&lt;=$BF$11:$BF$38)&gt;0),$B117,"")</f>
        <v/>
      </c>
      <c r="BD117" s="84" t="str">
        <f t="array" ref="BD117">IF(OR((BD$115&gt;=$BE$11:$BE$38)*(BD$48&lt;=$BF$11:$BF$38)&gt;0),$B117,"")</f>
        <v/>
      </c>
      <c r="BE117" s="84"/>
      <c r="BF117" s="84"/>
      <c r="BG117" s="84" t="str">
        <f t="array" ref="BG117">IF(OR((BG$115&gt;=$BE$11:$BE$38)*(BG$48&lt;=$BF$11:$BF$38)&gt;0),$B117,"")</f>
        <v/>
      </c>
      <c r="BH117" s="84" t="str">
        <f t="array" ref="BH117">IF(OR((BH$115&gt;=$BE$11:$BE$38)*(BH$48&lt;=$BF$11:$BF$38)&gt;0),$B117,"")</f>
        <v/>
      </c>
      <c r="BI117" s="84" t="str">
        <f t="array" ref="BI117">IF(OR((BI$115&gt;=$BE$11:$BE$38)*(BI$48&lt;=$BF$11:$BF$38)&gt;0),$B117,"")</f>
        <v/>
      </c>
      <c r="BJ117" s="84" t="str">
        <f t="array" ref="BJ117">IF(OR((BJ$115&gt;=$BE$11:$BE$38)*(BJ$48&lt;=$BF$11:$BF$38)&gt;0),$B117,"")</f>
        <v/>
      </c>
      <c r="BK117" s="84" t="str">
        <f t="array" ref="BK117">IF(OR((BK$115&gt;=$BE$11:$BE$38)*(BK$48&lt;=$BF$11:$BF$38)&gt;0),$B117,"")</f>
        <v/>
      </c>
      <c r="BL117" s="84" t="str">
        <f t="array" ref="BL117">IF(OR((BL$115&gt;=$BE$11:$BE$38)*(BL$48&lt;=$BF$11:$BF$38)&gt;0),$B117,"")</f>
        <v/>
      </c>
      <c r="BM117" s="84" t="str">
        <f t="array" ref="BM117">IF(OR((BM$115&gt;=$BE$11:$BE$38)*(BM$48&lt;=$BF$11:$BF$38)&gt;0),$B117,"")</f>
        <v/>
      </c>
      <c r="BN117" s="84" t="str">
        <f t="array" ref="BN117">IF(OR((BN$115&gt;=$BE$11:$BE$38)*(BN$48&lt;=$BF$11:$BF$38)&gt;0),$B117,"")</f>
        <v/>
      </c>
      <c r="BO117" s="84" t="str">
        <f t="array" ref="BO117">IF(OR((BO$115&gt;=$BE$11:$BE$38)*(BO$48&lt;=$BF$11:$BF$38)&gt;0),$B117,"")</f>
        <v/>
      </c>
      <c r="BP117" s="84" t="str">
        <f t="array" ref="BP117">IF(OR((BP$115&gt;=$BE$11:$BE$38)*(BP$48&lt;=$BF$11:$BF$38)&gt;0),$B117,"")</f>
        <v/>
      </c>
      <c r="BQ117" s="84" t="str">
        <f t="array" ref="BQ117">IF(OR((BQ$115&gt;=$BE$11:$BE$38)*(BQ$48&lt;=$BF$11:$BF$38)&gt;0),$B117,"")</f>
        <v/>
      </c>
      <c r="BR117" s="84" t="str">
        <f t="array" ref="BR117">IF(OR((BR$115&gt;=$BE$11:$BE$38)*(BR$48&lt;=$BF$11:$BF$38)&gt;0),$B117,"")</f>
        <v/>
      </c>
      <c r="BS117" s="84" t="str">
        <f t="array" ref="BS117">IF(OR((BS$115&gt;=$BE$11:$BE$38)*(BS$48&lt;=$BF$11:$BF$38)&gt;0),$B117,"")</f>
        <v/>
      </c>
      <c r="BU117" s="75" t="s">
        <v>211</v>
      </c>
      <c r="BV117" s="16">
        <v>0</v>
      </c>
      <c r="BW117" s="84" t="str">
        <f t="array" ref="BW117">IF(OR((BW$115&gt;=$BE$11:$BE$38)*(BW$48&lt;=$BF$11:$BF$38)&gt;0),$B117,"")</f>
        <v/>
      </c>
      <c r="BX117" s="84" t="str">
        <f t="array" ref="BX117">IF(OR((BX$115&gt;=$BE$11:$BE$38)*(BX$48&lt;=$BF$11:$BF$38)&gt;0),$B117,"")</f>
        <v/>
      </c>
      <c r="BY117" s="84" t="str">
        <f t="array" ref="BY117">IF(OR((BY$115&gt;=$BE$11:$BE$38)*(BY$48&lt;=$BF$11:$BF$38)&gt;0),$B117,"")</f>
        <v/>
      </c>
      <c r="BZ117" s="84" t="str">
        <f t="array" ref="BZ117">IF(OR((BZ$115&gt;=$BE$11:$BE$38)*(BZ$48&lt;=$BF$11:$BF$38)&gt;0),$B117,"")</f>
        <v/>
      </c>
      <c r="CA117" s="84" t="str">
        <f t="array" ref="CA117">IF(OR((CA$115&gt;=$BE$11:$BE$38)*(CA$48&lt;=$BF$11:$BF$38)&gt;0),$B117,"")</f>
        <v/>
      </c>
      <c r="CB117" s="84" t="str">
        <f t="array" ref="CB117">IF(OR((CB$115&gt;=$BE$11:$BE$38)*(CB$48&lt;=$BF$11:$BF$38)&gt;0),$B117,"")</f>
        <v/>
      </c>
      <c r="CC117" s="84" t="str">
        <f t="array" ref="CC117">IF(OR((CC$115&gt;=$BE$11:$BE$38)*(CC$48&lt;=$BF$11:$BF$38)&gt;0),$B117,"")</f>
        <v/>
      </c>
      <c r="CD117" s="84" t="str">
        <f t="array" ref="CD117">IF(OR((CD$115&gt;=$BE$11:$BE$38)*(CD$48&lt;=$BF$11:$BF$38)&gt;0),$B117,"")</f>
        <v/>
      </c>
      <c r="CE117" s="84" t="str">
        <f t="array" ref="CE117">IF(OR((CE$115&gt;=$BE$11:$BE$38)*(CE$48&lt;=$BF$11:$BF$38)&gt;0),$B117,"")</f>
        <v/>
      </c>
      <c r="CF117" s="84" t="str">
        <f t="array" ref="CF117">IF(OR((CF$115&gt;=$BE$11:$BE$38)*(CF$48&lt;=$BF$11:$BF$38)&gt;0),$B117,"")</f>
        <v/>
      </c>
      <c r="CG117" s="84" t="str">
        <f t="array" ref="CG117">IF(OR((CG$115&gt;=$BE$11:$BE$38)*(CG$48&lt;=$BF$11:$BF$38)&gt;0),$B117,"")</f>
        <v/>
      </c>
      <c r="CH117" s="84" t="str">
        <f t="array" ref="CH117">IF(OR((CH$115&gt;=$BE$11:$BE$38)*(CH$48&lt;=$BF$11:$BF$38)&gt;0),$B117,"")</f>
        <v/>
      </c>
      <c r="CI117" s="84" t="str">
        <f t="array" ref="CI117">IF(OR((CI$115&gt;=$BE$11:$BE$38)*(CI$48&lt;=$BF$11:$BF$38)&gt;0),$B117,"")</f>
        <v/>
      </c>
      <c r="CJ117" s="84" t="str">
        <f t="array" ref="CJ117">IF(OR((CJ$115&gt;=$BE$11:$BE$38)*(CJ$48&lt;=$BF$11:$BF$38)&gt;0),$B117,"")</f>
        <v/>
      </c>
      <c r="CK117" s="84" t="str">
        <f t="array" ref="CK117">IF(OR((CK$115&gt;=$BE$11:$BE$38)*(CK$48&lt;=$BF$11:$BF$38)&gt;0),$B117,"")</f>
        <v/>
      </c>
      <c r="CL117" s="84" t="str">
        <f t="array" ref="CL117">IF(OR((CL$115&gt;=$BE$11:$BE$38)*(CL$48&lt;=$BF$11:$BF$38)&gt;0),$B117,"")</f>
        <v/>
      </c>
      <c r="CM117" s="84"/>
      <c r="CN117" s="84"/>
      <c r="CO117" s="84"/>
      <c r="CP117" s="84"/>
      <c r="CQ117" s="84"/>
      <c r="CR117" s="84"/>
      <c r="CS117" s="84"/>
      <c r="CT117" s="84"/>
      <c r="CU117" s="84"/>
      <c r="CV117" s="84"/>
      <c r="CW117" s="84"/>
      <c r="CX117" s="84"/>
      <c r="CY117" s="84"/>
      <c r="CZ117" s="84"/>
      <c r="DA117" s="84"/>
      <c r="DB117" s="84"/>
      <c r="DC117" s="84"/>
    </row>
    <row r="118" spans="1:107">
      <c r="A118" s="75" t="s">
        <v>212</v>
      </c>
      <c r="B118" s="16">
        <v>0</v>
      </c>
      <c r="C118" s="84" t="str">
        <f t="array" ref="C118">IF(OR((C$115&gt;=$BE$11:$BE$38)*(C$48&lt;=$BF$11:$BF$38)&gt;0),$B118,"")</f>
        <v/>
      </c>
      <c r="D118" s="84" t="str">
        <f t="array" ref="D118">IF(OR((D$115&gt;=$BE$11:$BE$38)*(D$48&lt;=$BF$11:$BF$38)&gt;0),$B118,"")</f>
        <v/>
      </c>
      <c r="E118" s="84" t="str">
        <f t="array" ref="E118">IF(OR((E$115&gt;=$BE$11:$BE$38)*(E$48&lt;=$BF$11:$BF$38)&gt;0),$B118,"")</f>
        <v/>
      </c>
      <c r="F118" s="84" t="str">
        <f t="array" ref="F118">IF(OR((F$115&gt;=$BE$11:$BE$38)*(F$48&lt;=$BF$11:$BF$38)&gt;0),$B118,"")</f>
        <v/>
      </c>
      <c r="G118" s="84" t="str">
        <f t="array" ref="G118">IF(OR((G$115&gt;=$BE$11:$BE$38)*(G$48&lt;=$BF$11:$BF$38)&gt;0),$B118,"")</f>
        <v/>
      </c>
      <c r="H118" s="84" t="str">
        <f t="array" ref="H118">IF(OR((H$115&gt;=$BE$11:$BE$38)*(H$48&lt;=$BF$11:$BF$38)&gt;0),$B118,"")</f>
        <v/>
      </c>
      <c r="I118" s="84" t="str">
        <f t="array" ref="I118">IF(OR((I$115&gt;=$BE$11:$BE$38)*(I$48&lt;=$BF$11:$BF$38)&gt;0),$B118,"")</f>
        <v/>
      </c>
      <c r="J118" s="84" t="str">
        <f t="array" ref="J118">IF(OR((J$115&gt;=$BE$11:$BE$38)*(J$48&lt;=$BF$11:$BF$38)&gt;0),$B118,"")</f>
        <v/>
      </c>
      <c r="K118" s="84" t="str">
        <f t="array" ref="K118">IF(OR((K$115&gt;=$BE$11:$BE$38)*(K$48&lt;=$BF$11:$BF$38)&gt;0),$B118,"")</f>
        <v/>
      </c>
      <c r="L118" s="84" t="str">
        <f t="array" ref="L118">IF(OR((L$115&gt;=$BE$11:$BE$38)*(L$48&lt;=$BF$11:$BF$38)&gt;0),$B118,"")</f>
        <v/>
      </c>
      <c r="M118" s="84" t="str">
        <f t="array" ref="M118">IF(OR((M$115&gt;=$BE$11:$BE$38)*(M$48&lt;=$BF$11:$BF$38)&gt;0),$B118,"")</f>
        <v/>
      </c>
      <c r="N118" s="84" t="str">
        <f t="array" ref="N118">IF(OR((N$115&gt;=$BE$11:$BE$38)*(N$48&lt;=$BF$11:$BF$38)&gt;0),$B118,"")</f>
        <v/>
      </c>
      <c r="O118" s="84" t="str">
        <f t="array" ref="O118">IF(OR((O$115&gt;=$BE$11:$BE$38)*(O$48&lt;=$BF$11:$BF$38)&gt;0),$B118,"")</f>
        <v/>
      </c>
      <c r="P118" s="84" t="str">
        <f t="array" ref="P118">IF(OR((P$115&gt;=$BE$11:$BE$38)*(P$48&lt;=$BF$11:$BF$38)&gt;0),$B118,"")</f>
        <v/>
      </c>
      <c r="Q118" s="84" t="str">
        <f t="array" ref="Q118">IF(OR((Q$115&gt;=$BE$11:$BE$38)*(Q$48&lt;=$BF$11:$BF$38)&gt;0),$B118,"")</f>
        <v/>
      </c>
      <c r="R118" s="84" t="str">
        <f t="array" ref="R118">IF(OR((R$115&gt;=$BE$11:$BE$38)*(R$48&lt;=$BF$11:$BF$38)&gt;0),$B118,"")</f>
        <v/>
      </c>
      <c r="S118" s="84" t="str">
        <f t="array" ref="S118">IF(OR((S$115&gt;=$BE$11:$BE$38)*(S$48&lt;=$BF$11:$BF$38)&gt;0),$B118,"")</f>
        <v/>
      </c>
      <c r="T118" s="84" t="str">
        <f t="array" ref="T118">IF(OR((T$115&gt;=$BE$11:$BE$38)*(T$48&lt;=$BF$11:$BF$38)&gt;0),$B118,"")</f>
        <v/>
      </c>
      <c r="U118" s="84"/>
      <c r="V118" s="84"/>
      <c r="W118" s="84" t="str">
        <f t="array" ref="W118">IF(OR((W$115&gt;=$BE$11:$BE$38)*(W$48&lt;=$BF$11:$BF$38)&gt;0),$B118,"")</f>
        <v/>
      </c>
      <c r="X118" s="84" t="str">
        <f t="array" ref="X118">IF(OR((X$115&gt;=$BE$11:$BE$38)*(X$48&lt;=$BF$11:$BF$38)&gt;0),$B118,"")</f>
        <v/>
      </c>
      <c r="Y118" s="84" t="str">
        <f t="array" ref="Y118">IF(OR((Y$115&gt;=$BE$11:$BE$38)*(Y$48&lt;=$BF$11:$BF$38)&gt;0),$B118,"")</f>
        <v/>
      </c>
      <c r="Z118" s="84" t="str">
        <f t="array" ref="Z118">IF(OR((Z$115&gt;=$BE$11:$BE$38)*(Z$48&lt;=$BF$11:$BF$38)&gt;0),$B118,"")</f>
        <v/>
      </c>
      <c r="AA118" s="84" t="str">
        <f t="array" ref="AA118">IF(OR((AA$115&gt;=$BE$11:$BE$38)*(AA$48&lt;=$BF$11:$BF$38)&gt;0),$B118,"")</f>
        <v/>
      </c>
      <c r="AB118" s="84" t="str">
        <f t="array" ref="AB118">IF(OR((AB$115&gt;=$BE$11:$BE$38)*(AB$48&lt;=$BF$11:$BF$38)&gt;0),$B118,"")</f>
        <v/>
      </c>
      <c r="AC118" s="84" t="str">
        <f t="array" ref="AC118">IF(OR((AC$115&gt;=$BE$11:$BE$38)*(AC$48&lt;=$BF$11:$BF$38)&gt;0),$B118,"")</f>
        <v/>
      </c>
      <c r="AD118" s="84" t="str">
        <f t="array" ref="AD118">IF(OR((AD$115&gt;=$BE$11:$BE$38)*(AD$48&lt;=$BF$11:$BF$38)&gt;0),$B118,"")</f>
        <v/>
      </c>
      <c r="AE118" s="84" t="str">
        <f t="array" ref="AE118">IF(OR((AE$115&gt;=$BE$11:$BE$38)*(AE$48&lt;=$BF$11:$BF$38)&gt;0),$B118,"")</f>
        <v/>
      </c>
      <c r="AF118" s="84" t="str">
        <f t="array" ref="AF118">IF(OR((AF$115&gt;=$BE$11:$BE$38)*(AF$48&lt;=$BF$11:$BF$38)&gt;0),$B118,"")</f>
        <v/>
      </c>
      <c r="AG118" s="84" t="str">
        <f t="array" ref="AG118">IF(OR((AG$115&gt;=$BE$11:$BE$38)*(AG$48&lt;=$BF$11:$BF$38)&gt;0),$B118,"")</f>
        <v/>
      </c>
      <c r="AH118" s="84" t="str">
        <f t="array" ref="AH118">IF(OR((AH$115&gt;=$BE$11:$BE$38)*(AH$48&lt;=$BF$11:$BF$38)&gt;0),$B118,"")</f>
        <v/>
      </c>
      <c r="AI118" s="84" t="str">
        <f t="array" ref="AI118">IF(OR((AI$115&gt;=$BE$11:$BE$38)*(AI$48&lt;=$BF$11:$BF$38)&gt;0),$B118,"")</f>
        <v/>
      </c>
      <c r="AK118" s="75" t="s">
        <v>212</v>
      </c>
      <c r="AL118" s="16">
        <v>0</v>
      </c>
      <c r="AM118" s="84" t="str">
        <f t="array" ref="AM118">IF(OR((AM$115&gt;=$BE$11:$BE$38)*(AM$48&lt;=$BF$11:$BF$38)&gt;0),$B118,"")</f>
        <v/>
      </c>
      <c r="AN118" s="84" t="str">
        <f t="array" ref="AN118">IF(OR((AN$115&gt;=$BE$11:$BE$38)*(AN$48&lt;=$BF$11:$BF$38)&gt;0),$B118,"")</f>
        <v/>
      </c>
      <c r="AO118" s="84" t="str">
        <f t="array" ref="AO118">IF(OR((AO$115&gt;=$BE$11:$BE$38)*(AO$48&lt;=$BF$11:$BF$38)&gt;0),$B118,"")</f>
        <v/>
      </c>
      <c r="AP118" s="84" t="str">
        <f t="array" ref="AP118">IF(OR((AP$115&gt;=$BE$11:$BE$38)*(AP$48&lt;=$BF$11:$BF$38)&gt;0),$B118,"")</f>
        <v/>
      </c>
      <c r="AQ118" s="84" t="str">
        <f t="array" ref="AQ118">IF(OR((AQ$115&gt;=$BE$11:$BE$38)*(AQ$48&lt;=$BF$11:$BF$38)&gt;0),$B118,"")</f>
        <v/>
      </c>
      <c r="AR118" s="84" t="str">
        <f t="array" ref="AR118">IF(OR((AR$115&gt;=$BE$11:$BE$38)*(AR$48&lt;=$BF$11:$BF$38)&gt;0),$B118,"")</f>
        <v/>
      </c>
      <c r="AS118" s="84" t="str">
        <f t="array" ref="AS118">IF(OR((AS$115&gt;=$BE$11:$BE$38)*(AS$48&lt;=$BF$11:$BF$38)&gt;0),$B118,"")</f>
        <v/>
      </c>
      <c r="AT118" s="84" t="str">
        <f t="array" ref="AT118">IF(OR((AT$115&gt;=$BE$11:$BE$38)*(AT$48&lt;=$BF$11:$BF$38)&gt;0),$B118,"")</f>
        <v/>
      </c>
      <c r="AU118" s="84" t="str">
        <f t="array" ref="AU118">IF(OR((AU$115&gt;=$BE$11:$BE$38)*(AU$48&lt;=$BF$11:$BF$38)&gt;0),$B118,"")</f>
        <v/>
      </c>
      <c r="AV118" s="84" t="str">
        <f t="array" ref="AV118">IF(OR((AV$115&gt;=$BE$11:$BE$38)*(AV$48&lt;=$BF$11:$BF$38)&gt;0),$B118,"")</f>
        <v/>
      </c>
      <c r="AW118" s="84" t="str">
        <f t="array" ref="AW118">IF(OR((AW$115&gt;=$BE$11:$BE$38)*(AW$48&lt;=$BF$11:$BF$38)&gt;0),$B118,"")</f>
        <v/>
      </c>
      <c r="AX118" s="84" t="str">
        <f t="array" ref="AX118">IF(OR((AX$115&gt;=$BE$11:$BE$38)*(AX$48&lt;=$BF$11:$BF$38)&gt;0),$B118,"")</f>
        <v/>
      </c>
      <c r="AY118" s="84" t="str">
        <f t="array" ref="AY118">IF(OR((AY$115&gt;=$BE$11:$BE$38)*(AY$48&lt;=$BF$11:$BF$38)&gt;0),$B118,"")</f>
        <v/>
      </c>
      <c r="AZ118" s="84" t="str">
        <f t="array" ref="AZ118">IF(OR((AZ$115&gt;=$BE$11:$BE$38)*(AZ$48&lt;=$BF$11:$BF$38)&gt;0),$B118,"")</f>
        <v/>
      </c>
      <c r="BA118" s="84" t="str">
        <f t="array" ref="BA118">IF(OR((BA$115&gt;=$BE$11:$BE$38)*(BA$48&lt;=$BF$11:$BF$38)&gt;0),$B118,"")</f>
        <v/>
      </c>
      <c r="BB118" s="84" t="str">
        <f t="array" ref="BB118">IF(OR((BB$115&gt;=$BE$11:$BE$38)*(BB$48&lt;=$BF$11:$BF$38)&gt;0),$B118,"")</f>
        <v/>
      </c>
      <c r="BC118" s="84" t="str">
        <f t="array" ref="BC118">IF(OR((BC$115&gt;=$BE$11:$BE$38)*(BC$48&lt;=$BF$11:$BF$38)&gt;0),$B118,"")</f>
        <v/>
      </c>
      <c r="BD118" s="84" t="str">
        <f t="array" ref="BD118">IF(OR((BD$115&gt;=$BE$11:$BE$38)*(BD$48&lt;=$BF$11:$BF$38)&gt;0),$B118,"")</f>
        <v/>
      </c>
      <c r="BE118" s="84"/>
      <c r="BF118" s="84"/>
      <c r="BG118" s="84" t="str">
        <f t="array" ref="BG118">IF(OR((BG$115&gt;=$BE$11:$BE$38)*(BG$48&lt;=$BF$11:$BF$38)&gt;0),$B118,"")</f>
        <v/>
      </c>
      <c r="BH118" s="84" t="str">
        <f t="array" ref="BH118">IF(OR((BH$115&gt;=$BE$11:$BE$38)*(BH$48&lt;=$BF$11:$BF$38)&gt;0),$B118,"")</f>
        <v/>
      </c>
      <c r="BI118" s="84" t="str">
        <f t="array" ref="BI118">IF(OR((BI$115&gt;=$BE$11:$BE$38)*(BI$48&lt;=$BF$11:$BF$38)&gt;0),$B118,"")</f>
        <v/>
      </c>
      <c r="BJ118" s="84" t="str">
        <f t="array" ref="BJ118">IF(OR((BJ$115&gt;=$BE$11:$BE$38)*(BJ$48&lt;=$BF$11:$BF$38)&gt;0),$B118,"")</f>
        <v/>
      </c>
      <c r="BK118" s="84" t="str">
        <f t="array" ref="BK118">IF(OR((BK$115&gt;=$BE$11:$BE$38)*(BK$48&lt;=$BF$11:$BF$38)&gt;0),$B118,"")</f>
        <v/>
      </c>
      <c r="BL118" s="84" t="str">
        <f t="array" ref="BL118">IF(OR((BL$115&gt;=$BE$11:$BE$38)*(BL$48&lt;=$BF$11:$BF$38)&gt;0),$B118,"")</f>
        <v/>
      </c>
      <c r="BM118" s="84" t="str">
        <f t="array" ref="BM118">IF(OR((BM$115&gt;=$BE$11:$BE$38)*(BM$48&lt;=$BF$11:$BF$38)&gt;0),$B118,"")</f>
        <v/>
      </c>
      <c r="BN118" s="84" t="str">
        <f t="array" ref="BN118">IF(OR((BN$115&gt;=$BE$11:$BE$38)*(BN$48&lt;=$BF$11:$BF$38)&gt;0),$B118,"")</f>
        <v/>
      </c>
      <c r="BO118" s="84" t="str">
        <f t="array" ref="BO118">IF(OR((BO$115&gt;=$BE$11:$BE$38)*(BO$48&lt;=$BF$11:$BF$38)&gt;0),$B118,"")</f>
        <v/>
      </c>
      <c r="BP118" s="84" t="str">
        <f t="array" ref="BP118">IF(OR((BP$115&gt;=$BE$11:$BE$38)*(BP$48&lt;=$BF$11:$BF$38)&gt;0),$B118,"")</f>
        <v/>
      </c>
      <c r="BQ118" s="84" t="str">
        <f t="array" ref="BQ118">IF(OR((BQ$115&gt;=$BE$11:$BE$38)*(BQ$48&lt;=$BF$11:$BF$38)&gt;0),$B118,"")</f>
        <v/>
      </c>
      <c r="BR118" s="84" t="str">
        <f t="array" ref="BR118">IF(OR((BR$115&gt;=$BE$11:$BE$38)*(BR$48&lt;=$BF$11:$BF$38)&gt;0),$B118,"")</f>
        <v/>
      </c>
      <c r="BS118" s="84" t="str">
        <f t="array" ref="BS118">IF(OR((BS$115&gt;=$BE$11:$BE$38)*(BS$48&lt;=$BF$11:$BF$38)&gt;0),$B118,"")</f>
        <v/>
      </c>
      <c r="BU118" s="75" t="s">
        <v>212</v>
      </c>
      <c r="BV118" s="16">
        <v>0</v>
      </c>
      <c r="BW118" s="84" t="str">
        <f t="array" ref="BW118">IF(OR((BW$115&gt;=$BE$11:$BE$38)*(BW$48&lt;=$BF$11:$BF$38)&gt;0),$B118,"")</f>
        <v/>
      </c>
      <c r="BX118" s="84" t="str">
        <f t="array" ref="BX118">IF(OR((BX$115&gt;=$BE$11:$BE$38)*(BX$48&lt;=$BF$11:$BF$38)&gt;0),$B118,"")</f>
        <v/>
      </c>
      <c r="BY118" s="84" t="str">
        <f t="array" ref="BY118">IF(OR((BY$115&gt;=$BE$11:$BE$38)*(BY$48&lt;=$BF$11:$BF$38)&gt;0),$B118,"")</f>
        <v/>
      </c>
      <c r="BZ118" s="84" t="str">
        <f t="array" ref="BZ118">IF(OR((BZ$115&gt;=$BE$11:$BE$38)*(BZ$48&lt;=$BF$11:$BF$38)&gt;0),$B118,"")</f>
        <v/>
      </c>
      <c r="CA118" s="84" t="str">
        <f t="array" ref="CA118">IF(OR((CA$115&gt;=$BE$11:$BE$38)*(CA$48&lt;=$BF$11:$BF$38)&gt;0),$B118,"")</f>
        <v/>
      </c>
      <c r="CB118" s="84" t="str">
        <f t="array" ref="CB118">IF(OR((CB$115&gt;=$BE$11:$BE$38)*(CB$48&lt;=$BF$11:$BF$38)&gt;0),$B118,"")</f>
        <v/>
      </c>
      <c r="CC118" s="84" t="str">
        <f t="array" ref="CC118">IF(OR((CC$115&gt;=$BE$11:$BE$38)*(CC$48&lt;=$BF$11:$BF$38)&gt;0),$B118,"")</f>
        <v/>
      </c>
      <c r="CD118" s="84" t="str">
        <f t="array" ref="CD118">IF(OR((CD$115&gt;=$BE$11:$BE$38)*(CD$48&lt;=$BF$11:$BF$38)&gt;0),$B118,"")</f>
        <v/>
      </c>
      <c r="CE118" s="84" t="str">
        <f t="array" ref="CE118">IF(OR((CE$115&gt;=$BE$11:$BE$38)*(CE$48&lt;=$BF$11:$BF$38)&gt;0),$B118,"")</f>
        <v/>
      </c>
      <c r="CF118" s="84" t="str">
        <f t="array" ref="CF118">IF(OR((CF$115&gt;=$BE$11:$BE$38)*(CF$48&lt;=$BF$11:$BF$38)&gt;0),$B118,"")</f>
        <v/>
      </c>
      <c r="CG118" s="84" t="str">
        <f t="array" ref="CG118">IF(OR((CG$115&gt;=$BE$11:$BE$38)*(CG$48&lt;=$BF$11:$BF$38)&gt;0),$B118,"")</f>
        <v/>
      </c>
      <c r="CH118" s="84" t="str">
        <f t="array" ref="CH118">IF(OR((CH$115&gt;=$BE$11:$BE$38)*(CH$48&lt;=$BF$11:$BF$38)&gt;0),$B118,"")</f>
        <v/>
      </c>
      <c r="CI118" s="84" t="str">
        <f t="array" ref="CI118">IF(OR((CI$115&gt;=$BE$11:$BE$38)*(CI$48&lt;=$BF$11:$BF$38)&gt;0),$B118,"")</f>
        <v/>
      </c>
      <c r="CJ118" s="84" t="str">
        <f t="array" ref="CJ118">IF(OR((CJ$115&gt;=$BE$11:$BE$38)*(CJ$48&lt;=$BF$11:$BF$38)&gt;0),$B118,"")</f>
        <v/>
      </c>
      <c r="CK118" s="84" t="str">
        <f t="array" ref="CK118">IF(OR((CK$115&gt;=$BE$11:$BE$38)*(CK$48&lt;=$BF$11:$BF$38)&gt;0),$B118,"")</f>
        <v/>
      </c>
      <c r="CL118" s="84" t="str">
        <f t="array" ref="CL118">IF(OR((CL$115&gt;=$BE$11:$BE$38)*(CL$48&lt;=$BF$11:$BF$38)&gt;0),$B118,"")</f>
        <v/>
      </c>
      <c r="CM118" s="84"/>
      <c r="CN118" s="84"/>
      <c r="CO118" s="84"/>
      <c r="CP118" s="84"/>
      <c r="CQ118" s="84"/>
      <c r="CR118" s="84"/>
      <c r="CS118" s="84"/>
      <c r="CT118" s="84"/>
      <c r="CU118" s="84"/>
      <c r="CV118" s="84"/>
      <c r="CW118" s="84"/>
      <c r="CX118" s="84"/>
      <c r="CY118" s="84"/>
      <c r="CZ118" s="84"/>
      <c r="DA118" s="84"/>
      <c r="DB118" s="84"/>
      <c r="DC118" s="84"/>
    </row>
    <row r="119" spans="1:107">
      <c r="A119" s="75" t="s">
        <v>213</v>
      </c>
      <c r="B119" s="16">
        <v>0</v>
      </c>
      <c r="C119" s="84" t="str">
        <f t="array" ref="C119">IF(OR((C$115&gt;=$BE$11:$BE$38)*(C$48&lt;=$BF$11:$BF$38)&gt;0),$B119,"")</f>
        <v/>
      </c>
      <c r="D119" s="84" t="str">
        <f t="array" ref="D119">IF(OR((D$115&gt;=$BE$11:$BE$38)*(D$48&lt;=$BF$11:$BF$38)&gt;0),$B119,"")</f>
        <v/>
      </c>
      <c r="E119" s="84" t="str">
        <f t="array" ref="E119">IF(OR((E$115&gt;=$BE$11:$BE$38)*(E$48&lt;=$BF$11:$BF$38)&gt;0),$B119,"")</f>
        <v/>
      </c>
      <c r="F119" s="84" t="str">
        <f t="array" ref="F119">IF(OR((F$115&gt;=$BE$11:$BE$38)*(F$48&lt;=$BF$11:$BF$38)&gt;0),$B119,"")</f>
        <v/>
      </c>
      <c r="G119" s="84" t="str">
        <f t="array" ref="G119">IF(OR((G$115&gt;=$BE$11:$BE$38)*(G$48&lt;=$BF$11:$BF$38)&gt;0),$B119,"")</f>
        <v/>
      </c>
      <c r="H119" s="84" t="str">
        <f t="array" ref="H119">IF(OR((H$115&gt;=$BE$11:$BE$38)*(H$48&lt;=$BF$11:$BF$38)&gt;0),$B119,"")</f>
        <v/>
      </c>
      <c r="I119" s="84" t="str">
        <f t="array" ref="I119">IF(OR((I$115&gt;=$BE$11:$BE$38)*(I$48&lt;=$BF$11:$BF$38)&gt;0),$B119,"")</f>
        <v/>
      </c>
      <c r="J119" s="84" t="str">
        <f t="array" ref="J119">IF(OR((J$115&gt;=$BE$11:$BE$38)*(J$48&lt;=$BF$11:$BF$38)&gt;0),$B119,"")</f>
        <v/>
      </c>
      <c r="K119" s="84" t="str">
        <f t="array" ref="K119">IF(OR((K$115&gt;=$BE$11:$BE$38)*(K$48&lt;=$BF$11:$BF$38)&gt;0),$B119,"")</f>
        <v/>
      </c>
      <c r="L119" s="84" t="str">
        <f t="array" ref="L119">IF(OR((L$115&gt;=$BE$11:$BE$38)*(L$48&lt;=$BF$11:$BF$38)&gt;0),$B119,"")</f>
        <v/>
      </c>
      <c r="M119" s="84" t="str">
        <f t="array" ref="M119">IF(OR((M$115&gt;=$BE$11:$BE$38)*(M$48&lt;=$BF$11:$BF$38)&gt;0),$B119,"")</f>
        <v/>
      </c>
      <c r="N119" s="84" t="str">
        <f t="array" ref="N119">IF(OR((N$115&gt;=$BE$11:$BE$38)*(N$48&lt;=$BF$11:$BF$38)&gt;0),$B119,"")</f>
        <v/>
      </c>
      <c r="O119" s="84" t="str">
        <f t="array" ref="O119">IF(OR((O$115&gt;=$BE$11:$BE$38)*(O$48&lt;=$BF$11:$BF$38)&gt;0),$B119,"")</f>
        <v/>
      </c>
      <c r="P119" s="84" t="str">
        <f t="array" ref="P119">IF(OR((P$115&gt;=$BE$11:$BE$38)*(P$48&lt;=$BF$11:$BF$38)&gt;0),$B119,"")</f>
        <v/>
      </c>
      <c r="Q119" s="84" t="str">
        <f t="array" ref="Q119">IF(OR((Q$115&gt;=$BE$11:$BE$38)*(Q$48&lt;=$BF$11:$BF$38)&gt;0),$B119,"")</f>
        <v/>
      </c>
      <c r="R119" s="84" t="str">
        <f t="array" ref="R119">IF(OR((R$115&gt;=$BE$11:$BE$38)*(R$48&lt;=$BF$11:$BF$38)&gt;0),$B119,"")</f>
        <v/>
      </c>
      <c r="S119" s="84" t="str">
        <f t="array" ref="S119">IF(OR((S$115&gt;=$BE$11:$BE$38)*(S$48&lt;=$BF$11:$BF$38)&gt;0),$B119,"")</f>
        <v/>
      </c>
      <c r="T119" s="84" t="str">
        <f t="array" ref="T119">IF(OR((T$115&gt;=$BE$11:$BE$38)*(T$48&lt;=$BF$11:$BF$38)&gt;0),$B119,"")</f>
        <v/>
      </c>
      <c r="U119" s="84"/>
      <c r="V119" s="84"/>
      <c r="W119" s="84" t="str">
        <f t="array" ref="W119">IF(OR((W$115&gt;=$BE$11:$BE$38)*(W$48&lt;=$BF$11:$BF$38)&gt;0),$B119,"")</f>
        <v/>
      </c>
      <c r="X119" s="84" t="str">
        <f t="array" ref="X119">IF(OR((X$115&gt;=$BE$11:$BE$38)*(X$48&lt;=$BF$11:$BF$38)&gt;0),$B119,"")</f>
        <v/>
      </c>
      <c r="Y119" s="84" t="str">
        <f t="array" ref="Y119">IF(OR((Y$115&gt;=$BE$11:$BE$38)*(Y$48&lt;=$BF$11:$BF$38)&gt;0),$B119,"")</f>
        <v/>
      </c>
      <c r="Z119" s="84" t="str">
        <f t="array" ref="Z119">IF(OR((Z$115&gt;=$BE$11:$BE$38)*(Z$48&lt;=$BF$11:$BF$38)&gt;0),$B119,"")</f>
        <v/>
      </c>
      <c r="AA119" s="84" t="str">
        <f t="array" ref="AA119">IF(OR((AA$115&gt;=$BE$11:$BE$38)*(AA$48&lt;=$BF$11:$BF$38)&gt;0),$B119,"")</f>
        <v/>
      </c>
      <c r="AB119" s="84" t="str">
        <f t="array" ref="AB119">IF(OR((AB$115&gt;=$BE$11:$BE$38)*(AB$48&lt;=$BF$11:$BF$38)&gt;0),$B119,"")</f>
        <v/>
      </c>
      <c r="AC119" s="84" t="str">
        <f t="array" ref="AC119">IF(OR((AC$115&gt;=$BE$11:$BE$38)*(AC$48&lt;=$BF$11:$BF$38)&gt;0),$B119,"")</f>
        <v/>
      </c>
      <c r="AD119" s="84" t="str">
        <f t="array" ref="AD119">IF(OR((AD$115&gt;=$BE$11:$BE$38)*(AD$48&lt;=$BF$11:$BF$38)&gt;0),$B119,"")</f>
        <v/>
      </c>
      <c r="AE119" s="84" t="str">
        <f t="array" ref="AE119">IF(OR((AE$115&gt;=$BE$11:$BE$38)*(AE$48&lt;=$BF$11:$BF$38)&gt;0),$B119,"")</f>
        <v/>
      </c>
      <c r="AF119" s="84" t="str">
        <f t="array" ref="AF119">IF(OR((AF$115&gt;=$BE$11:$BE$38)*(AF$48&lt;=$BF$11:$BF$38)&gt;0),$B119,"")</f>
        <v/>
      </c>
      <c r="AG119" s="84" t="str">
        <f t="array" ref="AG119">IF(OR((AG$115&gt;=$BE$11:$BE$38)*(AG$48&lt;=$BF$11:$BF$38)&gt;0),$B119,"")</f>
        <v/>
      </c>
      <c r="AH119" s="84" t="str">
        <f t="array" ref="AH119">IF(OR((AH$115&gt;=$BE$11:$BE$38)*(AH$48&lt;=$BF$11:$BF$38)&gt;0),$B119,"")</f>
        <v/>
      </c>
      <c r="AI119" s="84" t="str">
        <f t="array" ref="AI119">IF(OR((AI$115&gt;=$BE$11:$BE$38)*(AI$48&lt;=$BF$11:$BF$38)&gt;0),$B119,"")</f>
        <v/>
      </c>
      <c r="AK119" s="75" t="s">
        <v>213</v>
      </c>
      <c r="AL119" s="16">
        <v>0</v>
      </c>
      <c r="AM119" s="84" t="str">
        <f t="array" ref="AM119">IF(OR((AM$115&gt;=$BE$11:$BE$38)*(AM$48&lt;=$BF$11:$BF$38)&gt;0),$B119,"")</f>
        <v/>
      </c>
      <c r="AN119" s="84" t="str">
        <f t="array" ref="AN119">IF(OR((AN$115&gt;=$BE$11:$BE$38)*(AN$48&lt;=$BF$11:$BF$38)&gt;0),$B119,"")</f>
        <v/>
      </c>
      <c r="AO119" s="84" t="str">
        <f t="array" ref="AO119">IF(OR((AO$115&gt;=$BE$11:$BE$38)*(AO$48&lt;=$BF$11:$BF$38)&gt;0),$B119,"")</f>
        <v/>
      </c>
      <c r="AP119" s="84" t="str">
        <f t="array" ref="AP119">IF(OR((AP$115&gt;=$BE$11:$BE$38)*(AP$48&lt;=$BF$11:$BF$38)&gt;0),$B119,"")</f>
        <v/>
      </c>
      <c r="AQ119" s="84" t="str">
        <f t="array" ref="AQ119">IF(OR((AQ$115&gt;=$BE$11:$BE$38)*(AQ$48&lt;=$BF$11:$BF$38)&gt;0),$B119,"")</f>
        <v/>
      </c>
      <c r="AR119" s="84" t="str">
        <f t="array" ref="AR119">IF(OR((AR$115&gt;=$BE$11:$BE$38)*(AR$48&lt;=$BF$11:$BF$38)&gt;0),$B119,"")</f>
        <v/>
      </c>
      <c r="AS119" s="84" t="str">
        <f t="array" ref="AS119">IF(OR((AS$115&gt;=$BE$11:$BE$38)*(AS$48&lt;=$BF$11:$BF$38)&gt;0),$B119,"")</f>
        <v/>
      </c>
      <c r="AT119" s="84" t="str">
        <f t="array" ref="AT119">IF(OR((AT$115&gt;=$BE$11:$BE$38)*(AT$48&lt;=$BF$11:$BF$38)&gt;0),$B119,"")</f>
        <v/>
      </c>
      <c r="AU119" s="84" t="str">
        <f t="array" ref="AU119">IF(OR((AU$115&gt;=$BE$11:$BE$38)*(AU$48&lt;=$BF$11:$BF$38)&gt;0),$B119,"")</f>
        <v/>
      </c>
      <c r="AV119" s="84" t="str">
        <f t="array" ref="AV119">IF(OR((AV$115&gt;=$BE$11:$BE$38)*(AV$48&lt;=$BF$11:$BF$38)&gt;0),$B119,"")</f>
        <v/>
      </c>
      <c r="AW119" s="84" t="str">
        <f t="array" ref="AW119">IF(OR((AW$115&gt;=$BE$11:$BE$38)*(AW$48&lt;=$BF$11:$BF$38)&gt;0),$B119,"")</f>
        <v/>
      </c>
      <c r="AX119" s="84" t="str">
        <f t="array" ref="AX119">IF(OR((AX$115&gt;=$BE$11:$BE$38)*(AX$48&lt;=$BF$11:$BF$38)&gt;0),$B119,"")</f>
        <v/>
      </c>
      <c r="AY119" s="84" t="str">
        <f t="array" ref="AY119">IF(OR((AY$115&gt;=$BE$11:$BE$38)*(AY$48&lt;=$BF$11:$BF$38)&gt;0),$B119,"")</f>
        <v/>
      </c>
      <c r="AZ119" s="84" t="str">
        <f t="array" ref="AZ119">IF(OR((AZ$115&gt;=$BE$11:$BE$38)*(AZ$48&lt;=$BF$11:$BF$38)&gt;0),$B119,"")</f>
        <v/>
      </c>
      <c r="BA119" s="84" t="str">
        <f t="array" ref="BA119">IF(OR((BA$115&gt;=$BE$11:$BE$38)*(BA$48&lt;=$BF$11:$BF$38)&gt;0),$B119,"")</f>
        <v/>
      </c>
      <c r="BB119" s="84" t="str">
        <f t="array" ref="BB119">IF(OR((BB$115&gt;=$BE$11:$BE$38)*(BB$48&lt;=$BF$11:$BF$38)&gt;0),$B119,"")</f>
        <v/>
      </c>
      <c r="BC119" s="84" t="str">
        <f t="array" ref="BC119">IF(OR((BC$115&gt;=$BE$11:$BE$38)*(BC$48&lt;=$BF$11:$BF$38)&gt;0),$B119,"")</f>
        <v/>
      </c>
      <c r="BD119" s="84" t="str">
        <f t="array" ref="BD119">IF(OR((BD$115&gt;=$BE$11:$BE$38)*(BD$48&lt;=$BF$11:$BF$38)&gt;0),$B119,"")</f>
        <v/>
      </c>
      <c r="BE119" s="84"/>
      <c r="BF119" s="84"/>
      <c r="BG119" s="84" t="str">
        <f t="array" ref="BG119">IF(OR((BG$115&gt;=$BE$11:$BE$38)*(BG$48&lt;=$BF$11:$BF$38)&gt;0),$B119,"")</f>
        <v/>
      </c>
      <c r="BH119" s="84" t="str">
        <f t="array" ref="BH119">IF(OR((BH$115&gt;=$BE$11:$BE$38)*(BH$48&lt;=$BF$11:$BF$38)&gt;0),$B119,"")</f>
        <v/>
      </c>
      <c r="BI119" s="84" t="str">
        <f t="array" ref="BI119">IF(OR((BI$115&gt;=$BE$11:$BE$38)*(BI$48&lt;=$BF$11:$BF$38)&gt;0),$B119,"")</f>
        <v/>
      </c>
      <c r="BJ119" s="84" t="str">
        <f t="array" ref="BJ119">IF(OR((BJ$115&gt;=$BE$11:$BE$38)*(BJ$48&lt;=$BF$11:$BF$38)&gt;0),$B119,"")</f>
        <v/>
      </c>
      <c r="BK119" s="84" t="str">
        <f t="array" ref="BK119">IF(OR((BK$115&gt;=$BE$11:$BE$38)*(BK$48&lt;=$BF$11:$BF$38)&gt;0),$B119,"")</f>
        <v/>
      </c>
      <c r="BL119" s="84" t="str">
        <f t="array" ref="BL119">IF(OR((BL$115&gt;=$BE$11:$BE$38)*(BL$48&lt;=$BF$11:$BF$38)&gt;0),$B119,"")</f>
        <v/>
      </c>
      <c r="BM119" s="84" t="str">
        <f t="array" ref="BM119">IF(OR((BM$115&gt;=$BE$11:$BE$38)*(BM$48&lt;=$BF$11:$BF$38)&gt;0),$B119,"")</f>
        <v/>
      </c>
      <c r="BN119" s="84" t="str">
        <f t="array" ref="BN119">IF(OR((BN$115&gt;=$BE$11:$BE$38)*(BN$48&lt;=$BF$11:$BF$38)&gt;0),$B119,"")</f>
        <v/>
      </c>
      <c r="BO119" s="84" t="str">
        <f t="array" ref="BO119">IF(OR((BO$115&gt;=$BE$11:$BE$38)*(BO$48&lt;=$BF$11:$BF$38)&gt;0),$B119,"")</f>
        <v/>
      </c>
      <c r="BP119" s="84" t="str">
        <f t="array" ref="BP119">IF(OR((BP$115&gt;=$BE$11:$BE$38)*(BP$48&lt;=$BF$11:$BF$38)&gt;0),$B119,"")</f>
        <v/>
      </c>
      <c r="BQ119" s="84" t="str">
        <f t="array" ref="BQ119">IF(OR((BQ$115&gt;=$BE$11:$BE$38)*(BQ$48&lt;=$BF$11:$BF$38)&gt;0),$B119,"")</f>
        <v/>
      </c>
      <c r="BR119" s="84" t="str">
        <f t="array" ref="BR119">IF(OR((BR$115&gt;=$BE$11:$BE$38)*(BR$48&lt;=$BF$11:$BF$38)&gt;0),$B119,"")</f>
        <v/>
      </c>
      <c r="BS119" s="84" t="str">
        <f t="array" ref="BS119">IF(OR((BS$115&gt;=$BE$11:$BE$38)*(BS$48&lt;=$BF$11:$BF$38)&gt;0),$B119,"")</f>
        <v/>
      </c>
      <c r="BU119" s="75" t="s">
        <v>213</v>
      </c>
      <c r="BV119" s="16">
        <v>0</v>
      </c>
      <c r="BW119" s="84" t="str">
        <f t="array" ref="BW119">IF(OR((BW$115&gt;=$BE$11:$BE$38)*(BW$48&lt;=$BF$11:$BF$38)&gt;0),$B119,"")</f>
        <v/>
      </c>
      <c r="BX119" s="84" t="str">
        <f t="array" ref="BX119">IF(OR((BX$115&gt;=$BE$11:$BE$38)*(BX$48&lt;=$BF$11:$BF$38)&gt;0),$B119,"")</f>
        <v/>
      </c>
      <c r="BY119" s="84" t="str">
        <f t="array" ref="BY119">IF(OR((BY$115&gt;=$BE$11:$BE$38)*(BY$48&lt;=$BF$11:$BF$38)&gt;0),$B119,"")</f>
        <v/>
      </c>
      <c r="BZ119" s="84" t="str">
        <f t="array" ref="BZ119">IF(OR((BZ$115&gt;=$BE$11:$BE$38)*(BZ$48&lt;=$BF$11:$BF$38)&gt;0),$B119,"")</f>
        <v/>
      </c>
      <c r="CA119" s="84" t="str">
        <f t="array" ref="CA119">IF(OR((CA$115&gt;=$BE$11:$BE$38)*(CA$48&lt;=$BF$11:$BF$38)&gt;0),$B119,"")</f>
        <v/>
      </c>
      <c r="CB119" s="84" t="str">
        <f t="array" ref="CB119">IF(OR((CB$115&gt;=$BE$11:$BE$38)*(CB$48&lt;=$BF$11:$BF$38)&gt;0),$B119,"")</f>
        <v/>
      </c>
      <c r="CC119" s="84" t="str">
        <f t="array" ref="CC119">IF(OR((CC$115&gt;=$BE$11:$BE$38)*(CC$48&lt;=$BF$11:$BF$38)&gt;0),$B119,"")</f>
        <v/>
      </c>
      <c r="CD119" s="84" t="str">
        <f t="array" ref="CD119">IF(OR((CD$115&gt;=$BE$11:$BE$38)*(CD$48&lt;=$BF$11:$BF$38)&gt;0),$B119,"")</f>
        <v/>
      </c>
      <c r="CE119" s="84" t="str">
        <f t="array" ref="CE119">IF(OR((CE$115&gt;=$BE$11:$BE$38)*(CE$48&lt;=$BF$11:$BF$38)&gt;0),$B119,"")</f>
        <v/>
      </c>
      <c r="CF119" s="84" t="str">
        <f t="array" ref="CF119">IF(OR((CF$115&gt;=$BE$11:$BE$38)*(CF$48&lt;=$BF$11:$BF$38)&gt;0),$B119,"")</f>
        <v/>
      </c>
      <c r="CG119" s="84" t="str">
        <f t="array" ref="CG119">IF(OR((CG$115&gt;=$BE$11:$BE$38)*(CG$48&lt;=$BF$11:$BF$38)&gt;0),$B119,"")</f>
        <v/>
      </c>
      <c r="CH119" s="84" t="str">
        <f t="array" ref="CH119">IF(OR((CH$115&gt;=$BE$11:$BE$38)*(CH$48&lt;=$BF$11:$BF$38)&gt;0),$B119,"")</f>
        <v/>
      </c>
      <c r="CI119" s="84" t="str">
        <f t="array" ref="CI119">IF(OR((CI$115&gt;=$BE$11:$BE$38)*(CI$48&lt;=$BF$11:$BF$38)&gt;0),$B119,"")</f>
        <v/>
      </c>
      <c r="CJ119" s="84" t="str">
        <f t="array" ref="CJ119">IF(OR((CJ$115&gt;=$BE$11:$BE$38)*(CJ$48&lt;=$BF$11:$BF$38)&gt;0),$B119,"")</f>
        <v/>
      </c>
      <c r="CK119" s="84" t="str">
        <f t="array" ref="CK119">IF(OR((CK$115&gt;=$BE$11:$BE$38)*(CK$48&lt;=$BF$11:$BF$38)&gt;0),$B119,"")</f>
        <v/>
      </c>
      <c r="CL119" s="84" t="str">
        <f t="array" ref="CL119">IF(OR((CL$115&gt;=$BE$11:$BE$38)*(CL$48&lt;=$BF$11:$BF$38)&gt;0),$B119,"")</f>
        <v/>
      </c>
      <c r="CM119" s="84"/>
      <c r="CN119" s="84"/>
      <c r="CO119" s="84"/>
      <c r="CP119" s="84"/>
      <c r="CQ119" s="84"/>
      <c r="CR119" s="84"/>
      <c r="CS119" s="84"/>
      <c r="CT119" s="84"/>
      <c r="CU119" s="84"/>
      <c r="CV119" s="84"/>
      <c r="CW119" s="84"/>
      <c r="CX119" s="84"/>
      <c r="CY119" s="84"/>
      <c r="CZ119" s="84"/>
      <c r="DA119" s="84"/>
      <c r="DB119" s="84"/>
      <c r="DC119" s="84"/>
    </row>
    <row r="120" spans="1:107">
      <c r="A120" s="55"/>
      <c r="B120" s="56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K120" s="55"/>
      <c r="AL120" s="56"/>
      <c r="AM120" s="73"/>
      <c r="AN120" s="73"/>
      <c r="AO120" s="73"/>
      <c r="AP120" s="73"/>
      <c r="AQ120" s="73"/>
      <c r="AR120" s="73"/>
      <c r="AS120" s="73"/>
      <c r="AT120" s="73"/>
      <c r="AU120" s="73"/>
      <c r="AV120" s="73"/>
      <c r="AW120" s="73"/>
      <c r="AX120" s="73"/>
      <c r="AY120" s="73"/>
      <c r="AZ120" s="73"/>
      <c r="BA120" s="73"/>
      <c r="BB120" s="73"/>
      <c r="BC120" s="73"/>
      <c r="BD120" s="73"/>
      <c r="BE120" s="73"/>
      <c r="BF120" s="73"/>
      <c r="BG120" s="73"/>
      <c r="BH120" s="73"/>
      <c r="BI120" s="73"/>
      <c r="BJ120" s="73"/>
      <c r="BK120" s="73"/>
      <c r="BL120" s="73"/>
      <c r="BM120" s="73"/>
      <c r="BN120" s="73"/>
      <c r="BO120" s="73"/>
      <c r="BP120" s="73"/>
      <c r="BQ120" s="73"/>
      <c r="BR120" s="73"/>
      <c r="BS120" s="73"/>
      <c r="BU120" s="55"/>
      <c r="BV120" s="56"/>
      <c r="BW120" s="73"/>
      <c r="BX120" s="73"/>
      <c r="BY120" s="73"/>
      <c r="BZ120" s="73"/>
      <c r="CA120" s="73"/>
      <c r="CB120" s="73"/>
      <c r="CC120" s="73"/>
      <c r="CD120" s="73"/>
      <c r="CE120" s="73"/>
      <c r="CF120" s="73"/>
      <c r="CG120" s="73"/>
      <c r="CH120" s="73"/>
      <c r="CI120" s="73"/>
      <c r="CJ120" s="73"/>
      <c r="CK120" s="73"/>
      <c r="CL120" s="73"/>
      <c r="CM120" s="73"/>
      <c r="CN120" s="73"/>
      <c r="CO120" s="73"/>
      <c r="CP120" s="73"/>
      <c r="CQ120" s="73"/>
      <c r="CR120" s="73"/>
      <c r="CS120" s="73"/>
      <c r="CT120" s="73"/>
      <c r="CU120" s="73"/>
      <c r="CV120" s="73"/>
      <c r="CW120" s="73"/>
      <c r="CX120" s="73"/>
      <c r="CY120" s="73"/>
      <c r="CZ120" s="73"/>
      <c r="DA120" s="73"/>
      <c r="DB120" s="73"/>
      <c r="DC120" s="73"/>
    </row>
  </sheetData>
  <mergeCells count="15">
    <mergeCell ref="BV12:BV21"/>
    <mergeCell ref="BV33:BV45"/>
    <mergeCell ref="BU86:DC86"/>
    <mergeCell ref="BU96:DC96"/>
    <mergeCell ref="BU100:DC100"/>
    <mergeCell ref="AL12:AL21"/>
    <mergeCell ref="AL33:AL45"/>
    <mergeCell ref="AK86:BS86"/>
    <mergeCell ref="AK96:BS96"/>
    <mergeCell ref="AK100:BS100"/>
    <mergeCell ref="A100:AI100"/>
    <mergeCell ref="A96:AI96"/>
    <mergeCell ref="A86:AI86"/>
    <mergeCell ref="B12:B21"/>
    <mergeCell ref="B33:B45"/>
  </mergeCells>
  <conditionalFormatting sqref="C87:AI95">
    <cfRule type="expression" dxfId="109" priority="122">
      <formula>OR(WEEKDAY(C$48)=7,WEEKDAY(C$48)=1)</formula>
    </cfRule>
  </conditionalFormatting>
  <conditionalFormatting sqref="C107:AI107">
    <cfRule type="expression" dxfId="108" priority="121">
      <formula>OR(WEEKDAY(C$48)=7,WEEKDAY(C$48)=1)</formula>
    </cfRule>
  </conditionalFormatting>
  <conditionalFormatting sqref="C111:AI112">
    <cfRule type="expression" dxfId="107" priority="120">
      <formula>OR(WEEKDAY(C$48)=7,WEEKDAY(C$48)=1)</formula>
    </cfRule>
  </conditionalFormatting>
  <conditionalFormatting sqref="C116:AI119">
    <cfRule type="expression" dxfId="106" priority="119">
      <formula>OR(WEEKDAY(C$48)=7,WEEKDAY(C$48)=1)</formula>
    </cfRule>
  </conditionalFormatting>
  <conditionalFormatting sqref="D42:L43">
    <cfRule type="expression" dxfId="105" priority="114">
      <formula>OR(WEEKDAY(D$48)=7,WEEKDAY(D$48)=1)</formula>
    </cfRule>
  </conditionalFormatting>
  <conditionalFormatting sqref="D38:T39">
    <cfRule type="expression" dxfId="104" priority="116">
      <formula>OR(WEEKDAY(D$48)=7,WEEKDAY(D$48)=1)</formula>
    </cfRule>
  </conditionalFormatting>
  <conditionalFormatting sqref="D37:AD37 W38:AD38 W39:AA39 AD39">
    <cfRule type="expression" dxfId="103" priority="110">
      <formula>OR(WEEKDAY(D$48)=7,WEEKDAY(D$48)=1)</formula>
    </cfRule>
  </conditionalFormatting>
  <conditionalFormatting sqref="D44:AD45 C49:AI57 C61:AI64 C68:AI82 C97:AI99 C101:AI103">
    <cfRule type="expression" dxfId="102" priority="123">
      <formula>OR(WEEKDAY(C$48)=7,WEEKDAY(C$48)=1)</formula>
    </cfRule>
  </conditionalFormatting>
  <conditionalFormatting sqref="D33:AI35">
    <cfRule type="expression" dxfId="101" priority="81">
      <formula>OR(WEEKDAY(D$48)=7,WEEKDAY(D$48)=1)</formula>
    </cfRule>
  </conditionalFormatting>
  <conditionalFormatting sqref="F36:I36">
    <cfRule type="expression" dxfId="100" priority="111">
      <formula>OR(WEEKDAY(F$48)=7,WEEKDAY(F$48)=1)</formula>
    </cfRule>
  </conditionalFormatting>
  <conditionalFormatting sqref="F16:AI21">
    <cfRule type="expression" dxfId="99" priority="99">
      <formula>OR(WEEKDAY(F$48)=7,WEEKDAY(F$48)=1)</formula>
    </cfRule>
  </conditionalFormatting>
  <conditionalFormatting sqref="I15:AI15">
    <cfRule type="expression" dxfId="98" priority="68">
      <formula>OR(WEEKDAY(I$48)=7,WEEKDAY(I$48)=1)</formula>
    </cfRule>
  </conditionalFormatting>
  <conditionalFormatting sqref="M42 P42:R42">
    <cfRule type="expression" dxfId="97" priority="108">
      <formula>OR(WEEKDAY(M$48)=7,WEEKDAY(M$48)=1)</formula>
    </cfRule>
  </conditionalFormatting>
  <conditionalFormatting sqref="M43:AD43">
    <cfRule type="expression" dxfId="96" priority="107">
      <formula>OR(WEEKDAY(M$48)=7,WEEKDAY(M$48)=1)</formula>
    </cfRule>
  </conditionalFormatting>
  <conditionalFormatting sqref="N39:O42">
    <cfRule type="expression" dxfId="95" priority="60">
      <formula>OR(WEEKDAY(N$48)=7,WEEKDAY(N$48)=1)</formula>
    </cfRule>
  </conditionalFormatting>
  <conditionalFormatting sqref="N36:Q36">
    <cfRule type="expression" dxfId="94" priority="94">
      <formula>OR(WEEKDAY(N$48)=7,WEEKDAY(N$48)=1)</formula>
    </cfRule>
  </conditionalFormatting>
  <conditionalFormatting sqref="U38:V42">
    <cfRule type="expression" dxfId="93" priority="59">
      <formula>OR(WEEKDAY(U$48)=7,WEEKDAY(U$48)=1)</formula>
    </cfRule>
  </conditionalFormatting>
  <conditionalFormatting sqref="U36:X36">
    <cfRule type="expression" dxfId="92" priority="93">
      <formula>OR(WEEKDAY(U$48)=7,WEEKDAY(U$48)=1)</formula>
    </cfRule>
  </conditionalFormatting>
  <conditionalFormatting sqref="W13:X13">
    <cfRule type="expression" dxfId="91" priority="79">
      <formula>OR(WEEKDAY(W$48)=7,WEEKDAY(W$48)=1)</formula>
    </cfRule>
  </conditionalFormatting>
  <conditionalFormatting sqref="Y13:AI14">
    <cfRule type="expression" dxfId="90" priority="61">
      <formula>OR(WEEKDAY(Y$48)=7,WEEKDAY(Y$48)=1)</formula>
    </cfRule>
  </conditionalFormatting>
  <conditionalFormatting sqref="Z40:AA40">
    <cfRule type="expression" dxfId="89" priority="66">
      <formula>OR(WEEKDAY(Z$48)=7,WEEKDAY(Z$48)=1)</formula>
    </cfRule>
  </conditionalFormatting>
  <conditionalFormatting sqref="AB39:AC42">
    <cfRule type="expression" dxfId="88" priority="58">
      <formula>OR(WEEKDAY(AB$48)=7,WEEKDAY(AB$48)=1)</formula>
    </cfRule>
  </conditionalFormatting>
  <conditionalFormatting sqref="AB36:AE36">
    <cfRule type="expression" dxfId="87" priority="82">
      <formula>OR(WEEKDAY(AB$48)=7,WEEKDAY(AB$48)=1)</formula>
    </cfRule>
  </conditionalFormatting>
  <conditionalFormatting sqref="AE37:AF39">
    <cfRule type="expression" dxfId="86" priority="85">
      <formula>OR(WEEKDAY(AE$48)=7,WEEKDAY(AE$48)=1)</formula>
    </cfRule>
  </conditionalFormatting>
  <conditionalFormatting sqref="AE43:AI45">
    <cfRule type="expression" dxfId="85" priority="84">
      <formula>OR(WEEKDAY(AE$48)=7,WEEKDAY(AE$48)=1)</formula>
    </cfRule>
  </conditionalFormatting>
  <conditionalFormatting sqref="AG37:AI40">
    <cfRule type="expression" dxfId="84" priority="65">
      <formula>OR(WEEKDAY(AG$48)=7,WEEKDAY(AG$48)=1)</formula>
    </cfRule>
  </conditionalFormatting>
  <conditionalFormatting sqref="AH36:AI36">
    <cfRule type="expression" dxfId="83" priority="101">
      <formula>OR(WEEKDAY(AH$48)=7,WEEKDAY(AH$48)=1)</formula>
    </cfRule>
  </conditionalFormatting>
  <conditionalFormatting sqref="AI41">
    <cfRule type="expression" dxfId="82" priority="57">
      <formula>OR(WEEKDAY(AI$48)=7,WEEKDAY(AI$48)=1)</formula>
    </cfRule>
  </conditionalFormatting>
  <conditionalFormatting sqref="AM87:BS95">
    <cfRule type="expression" dxfId="55" priority="55">
      <formula>OR(WEEKDAY(AM$48)=7,WEEKDAY(AM$48)=1)</formula>
    </cfRule>
  </conditionalFormatting>
  <conditionalFormatting sqref="AM107:BS107">
    <cfRule type="expression" dxfId="54" priority="54">
      <formula>OR(WEEKDAY(AM$48)=7,WEEKDAY(AM$48)=1)</formula>
    </cfRule>
  </conditionalFormatting>
  <conditionalFormatting sqref="AM111:BS112">
    <cfRule type="expression" dxfId="53" priority="53">
      <formula>OR(WEEKDAY(AM$48)=7,WEEKDAY(AM$48)=1)</formula>
    </cfRule>
  </conditionalFormatting>
  <conditionalFormatting sqref="AM116:BS119">
    <cfRule type="expression" dxfId="52" priority="52">
      <formula>OR(WEEKDAY(AM$48)=7,WEEKDAY(AM$48)=1)</formula>
    </cfRule>
  </conditionalFormatting>
  <conditionalFormatting sqref="AN42:AV43">
    <cfRule type="expression" dxfId="51" priority="50">
      <formula>OR(WEEKDAY(AN$48)=7,WEEKDAY(AN$48)=1)</formula>
    </cfRule>
  </conditionalFormatting>
  <conditionalFormatting sqref="AN38:BD39">
    <cfRule type="expression" dxfId="50" priority="51">
      <formula>OR(WEEKDAY(AN$48)=7,WEEKDAY(AN$48)=1)</formula>
    </cfRule>
  </conditionalFormatting>
  <conditionalFormatting sqref="AN37:BN37 BG38:BN38 BG39:BK39 BN39">
    <cfRule type="expression" dxfId="49" priority="48">
      <formula>OR(WEEKDAY(AN$48)=7,WEEKDAY(AN$48)=1)</formula>
    </cfRule>
  </conditionalFormatting>
  <conditionalFormatting sqref="AN44:BN45 AM49:BS57 AM61:BS64 AM68:BS82 AM97:BS99 AM101:BS103">
    <cfRule type="expression" dxfId="48" priority="56">
      <formula>OR(WEEKDAY(AM$48)=7,WEEKDAY(AM$48)=1)</formula>
    </cfRule>
  </conditionalFormatting>
  <conditionalFormatting sqref="AN33:BS35">
    <cfRule type="expression" dxfId="47" priority="38">
      <formula>OR(WEEKDAY(AN$48)=7,WEEKDAY(AN$48)=1)</formula>
    </cfRule>
  </conditionalFormatting>
  <conditionalFormatting sqref="AP36:AS36">
    <cfRule type="expression" dxfId="46" priority="49">
      <formula>OR(WEEKDAY(AP$48)=7,WEEKDAY(AP$48)=1)</formula>
    </cfRule>
  </conditionalFormatting>
  <conditionalFormatting sqref="AP16:BS21">
    <cfRule type="expression" dxfId="45" priority="44">
      <formula>OR(WEEKDAY(AP$48)=7,WEEKDAY(AP$48)=1)</formula>
    </cfRule>
  </conditionalFormatting>
  <conditionalFormatting sqref="AS15:BS15">
    <cfRule type="expression" dxfId="44" priority="36">
      <formula>OR(WEEKDAY(AS$48)=7,WEEKDAY(AS$48)=1)</formula>
    </cfRule>
  </conditionalFormatting>
  <conditionalFormatting sqref="AW42 AZ42:BB42">
    <cfRule type="expression" dxfId="43" priority="47">
      <formula>OR(WEEKDAY(AW$48)=7,WEEKDAY(AW$48)=1)</formula>
    </cfRule>
  </conditionalFormatting>
  <conditionalFormatting sqref="AW43:BN43">
    <cfRule type="expression" dxfId="42" priority="46">
      <formula>OR(WEEKDAY(AW$48)=7,WEEKDAY(AW$48)=1)</formula>
    </cfRule>
  </conditionalFormatting>
  <conditionalFormatting sqref="AX39:AY42">
    <cfRule type="expression" dxfId="41" priority="32">
      <formula>OR(WEEKDAY(AX$48)=7,WEEKDAY(AX$48)=1)</formula>
    </cfRule>
  </conditionalFormatting>
  <conditionalFormatting sqref="AX36:BA36">
    <cfRule type="expression" dxfId="40" priority="43">
      <formula>OR(WEEKDAY(AX$48)=7,WEEKDAY(AX$48)=1)</formula>
    </cfRule>
  </conditionalFormatting>
  <conditionalFormatting sqref="BE38:BF42">
    <cfRule type="expression" dxfId="39" priority="31">
      <formula>OR(WEEKDAY(BE$48)=7,WEEKDAY(BE$48)=1)</formula>
    </cfRule>
  </conditionalFormatting>
  <conditionalFormatting sqref="BE36:BH36">
    <cfRule type="expression" dxfId="38" priority="42">
      <formula>OR(WEEKDAY(BE$48)=7,WEEKDAY(BE$48)=1)</formula>
    </cfRule>
  </conditionalFormatting>
  <conditionalFormatting sqref="BG13:BH13">
    <cfRule type="expression" dxfId="37" priority="37">
      <formula>OR(WEEKDAY(BG$48)=7,WEEKDAY(BG$48)=1)</formula>
    </cfRule>
  </conditionalFormatting>
  <conditionalFormatting sqref="BI13:BS14">
    <cfRule type="expression" dxfId="36" priority="33">
      <formula>OR(WEEKDAY(BI$48)=7,WEEKDAY(BI$48)=1)</formula>
    </cfRule>
  </conditionalFormatting>
  <conditionalFormatting sqref="BJ40:BK40">
    <cfRule type="expression" dxfId="35" priority="35">
      <formula>OR(WEEKDAY(BJ$48)=7,WEEKDAY(BJ$48)=1)</formula>
    </cfRule>
  </conditionalFormatting>
  <conditionalFormatting sqref="BL39:BM42">
    <cfRule type="expression" dxfId="34" priority="30">
      <formula>OR(WEEKDAY(BL$48)=7,WEEKDAY(BL$48)=1)</formula>
    </cfRule>
  </conditionalFormatting>
  <conditionalFormatting sqref="BL36:BO36">
    <cfRule type="expression" dxfId="33" priority="39">
      <formula>OR(WEEKDAY(BL$48)=7,WEEKDAY(BL$48)=1)</formula>
    </cfRule>
  </conditionalFormatting>
  <conditionalFormatting sqref="BO37:BP39">
    <cfRule type="expression" dxfId="32" priority="41">
      <formula>OR(WEEKDAY(BO$48)=7,WEEKDAY(BO$48)=1)</formula>
    </cfRule>
  </conditionalFormatting>
  <conditionalFormatting sqref="BO43:BS45">
    <cfRule type="expression" dxfId="31" priority="40">
      <formula>OR(WEEKDAY(BO$48)=7,WEEKDAY(BO$48)=1)</formula>
    </cfRule>
  </conditionalFormatting>
  <conditionalFormatting sqref="BQ37:BS40">
    <cfRule type="expression" dxfId="30" priority="34">
      <formula>OR(WEEKDAY(BQ$48)=7,WEEKDAY(BQ$48)=1)</formula>
    </cfRule>
  </conditionalFormatting>
  <conditionalFormatting sqref="BR36:BS36">
    <cfRule type="expression" dxfId="29" priority="45">
      <formula>OR(WEEKDAY(BR$48)=7,WEEKDAY(BR$48)=1)</formula>
    </cfRule>
  </conditionalFormatting>
  <conditionalFormatting sqref="BS41">
    <cfRule type="expression" dxfId="28" priority="29">
      <formula>OR(WEEKDAY(BS$48)=7,WEEKDAY(BS$48)=1)</formula>
    </cfRule>
  </conditionalFormatting>
  <conditionalFormatting sqref="BW87:DC95">
    <cfRule type="expression" dxfId="27" priority="27">
      <formula>OR(WEEKDAY(BW$48)=7,WEEKDAY(BW$48)=1)</formula>
    </cfRule>
  </conditionalFormatting>
  <conditionalFormatting sqref="BW107:DC107">
    <cfRule type="expression" dxfId="26" priority="26">
      <formula>OR(WEEKDAY(BW$48)=7,WEEKDAY(BW$48)=1)</formula>
    </cfRule>
  </conditionalFormatting>
  <conditionalFormatting sqref="BW111:DC112">
    <cfRule type="expression" dxfId="25" priority="25">
      <formula>OR(WEEKDAY(BW$48)=7,WEEKDAY(BW$48)=1)</formula>
    </cfRule>
  </conditionalFormatting>
  <conditionalFormatting sqref="BW116:DC119">
    <cfRule type="expression" dxfId="24" priority="24">
      <formula>OR(WEEKDAY(BW$48)=7,WEEKDAY(BW$48)=1)</formula>
    </cfRule>
  </conditionalFormatting>
  <conditionalFormatting sqref="BX42:CF43">
    <cfRule type="expression" dxfId="23" priority="22">
      <formula>OR(WEEKDAY(BX$48)=7,WEEKDAY(BX$48)=1)</formula>
    </cfRule>
  </conditionalFormatting>
  <conditionalFormatting sqref="BX38:CN39">
    <cfRule type="expression" dxfId="22" priority="23">
      <formula>OR(WEEKDAY(BX$48)=7,WEEKDAY(BX$48)=1)</formula>
    </cfRule>
  </conditionalFormatting>
  <conditionalFormatting sqref="BX37:CX37 CQ38:CX38 CQ39:CU39 CX39">
    <cfRule type="expression" dxfId="21" priority="20">
      <formula>OR(WEEKDAY(BX$48)=7,WEEKDAY(BX$48)=1)</formula>
    </cfRule>
  </conditionalFormatting>
  <conditionalFormatting sqref="BX44:CX45 BW49:DC57 BW61:DC64 BW68:DC82 BW97:DC99 BW101:DC103">
    <cfRule type="expression" dxfId="20" priority="28">
      <formula>OR(WEEKDAY(BW$48)=7,WEEKDAY(BW$48)=1)</formula>
    </cfRule>
  </conditionalFormatting>
  <conditionalFormatting sqref="BX33:DC35">
    <cfRule type="expression" dxfId="19" priority="10">
      <formula>OR(WEEKDAY(BX$48)=7,WEEKDAY(BX$48)=1)</formula>
    </cfRule>
  </conditionalFormatting>
  <conditionalFormatting sqref="BZ36:CC36">
    <cfRule type="expression" dxfId="18" priority="21">
      <formula>OR(WEEKDAY(BZ$48)=7,WEEKDAY(BZ$48)=1)</formula>
    </cfRule>
  </conditionalFormatting>
  <conditionalFormatting sqref="BZ16:DC21">
    <cfRule type="expression" dxfId="17" priority="16">
      <formula>OR(WEEKDAY(BZ$48)=7,WEEKDAY(BZ$48)=1)</formula>
    </cfRule>
  </conditionalFormatting>
  <conditionalFormatting sqref="CC15:DC15">
    <cfRule type="expression" dxfId="16" priority="8">
      <formula>OR(WEEKDAY(CC$48)=7,WEEKDAY(CC$48)=1)</formula>
    </cfRule>
  </conditionalFormatting>
  <conditionalFormatting sqref="CG42 CJ42:CL42">
    <cfRule type="expression" dxfId="15" priority="19">
      <formula>OR(WEEKDAY(CG$48)=7,WEEKDAY(CG$48)=1)</formula>
    </cfRule>
  </conditionalFormatting>
  <conditionalFormatting sqref="CG43:CX43">
    <cfRule type="expression" dxfId="14" priority="18">
      <formula>OR(WEEKDAY(CG$48)=7,WEEKDAY(CG$48)=1)</formula>
    </cfRule>
  </conditionalFormatting>
  <conditionalFormatting sqref="CH39:CI42">
    <cfRule type="expression" dxfId="13" priority="4">
      <formula>OR(WEEKDAY(CH$48)=7,WEEKDAY(CH$48)=1)</formula>
    </cfRule>
  </conditionalFormatting>
  <conditionalFormatting sqref="CH36:CK36">
    <cfRule type="expression" dxfId="12" priority="15">
      <formula>OR(WEEKDAY(CH$48)=7,WEEKDAY(CH$48)=1)</formula>
    </cfRule>
  </conditionalFormatting>
  <conditionalFormatting sqref="CO38:CP42">
    <cfRule type="expression" dxfId="11" priority="3">
      <formula>OR(WEEKDAY(CO$48)=7,WEEKDAY(CO$48)=1)</formula>
    </cfRule>
  </conditionalFormatting>
  <conditionalFormatting sqref="CO36:CR36">
    <cfRule type="expression" dxfId="10" priority="14">
      <formula>OR(WEEKDAY(CO$48)=7,WEEKDAY(CO$48)=1)</formula>
    </cfRule>
  </conditionalFormatting>
  <conditionalFormatting sqref="CQ13:CR13">
    <cfRule type="expression" dxfId="9" priority="9">
      <formula>OR(WEEKDAY(CQ$48)=7,WEEKDAY(CQ$48)=1)</formula>
    </cfRule>
  </conditionalFormatting>
  <conditionalFormatting sqref="CS13:DC14">
    <cfRule type="expression" dxfId="8" priority="5">
      <formula>OR(WEEKDAY(CS$48)=7,WEEKDAY(CS$48)=1)</formula>
    </cfRule>
  </conditionalFormatting>
  <conditionalFormatting sqref="CT40:CU40">
    <cfRule type="expression" dxfId="7" priority="7">
      <formula>OR(WEEKDAY(CT$48)=7,WEEKDAY(CT$48)=1)</formula>
    </cfRule>
  </conditionalFormatting>
  <conditionalFormatting sqref="CV39:CW42">
    <cfRule type="expression" dxfId="6" priority="2">
      <formula>OR(WEEKDAY(CV$48)=7,WEEKDAY(CV$48)=1)</formula>
    </cfRule>
  </conditionalFormatting>
  <conditionalFormatting sqref="CV36:CY36">
    <cfRule type="expression" dxfId="5" priority="11">
      <formula>OR(WEEKDAY(CV$48)=7,WEEKDAY(CV$48)=1)</formula>
    </cfRule>
  </conditionalFormatting>
  <conditionalFormatting sqref="CY37:CZ39">
    <cfRule type="expression" dxfId="4" priority="13">
      <formula>OR(WEEKDAY(CY$48)=7,WEEKDAY(CY$48)=1)</formula>
    </cfRule>
  </conditionalFormatting>
  <conditionalFormatting sqref="CY43:DC45">
    <cfRule type="expression" dxfId="3" priority="12">
      <formula>OR(WEEKDAY(CY$48)=7,WEEKDAY(CY$48)=1)</formula>
    </cfRule>
  </conditionalFormatting>
  <conditionalFormatting sqref="DA37:DC40">
    <cfRule type="expression" dxfId="2" priority="6">
      <formula>OR(WEEKDAY(DA$48)=7,WEEKDAY(DA$48)=1)</formula>
    </cfRule>
  </conditionalFormatting>
  <conditionalFormatting sqref="DB36:DC36">
    <cfRule type="expression" dxfId="1" priority="17">
      <formula>OR(WEEKDAY(DB$48)=7,WEEKDAY(DB$48)=1)</formula>
    </cfRule>
  </conditionalFormatting>
  <conditionalFormatting sqref="DC41">
    <cfRule type="expression" dxfId="0" priority="1">
      <formula>OR(WEEKDAY(DC$48)=7,WEEKDAY(DC$48)=1)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S83"/>
  <sheetViews>
    <sheetView topLeftCell="A59" zoomScale="74" workbookViewId="0">
      <selection activeCell="F30" sqref="F30"/>
    </sheetView>
  </sheetViews>
  <sheetFormatPr defaultRowHeight="14.4"/>
  <cols>
    <col min="1" max="1" width="42.77734375" style="114" bestFit="1" customWidth="1"/>
    <col min="2" max="2" width="8.21875" style="126" customWidth="1"/>
    <col min="3" max="3" width="4.21875" style="2" customWidth="1"/>
    <col min="4" max="4" width="4.5546875" style="2" customWidth="1"/>
    <col min="5" max="10" width="4" style="2" customWidth="1"/>
    <col min="11" max="11" width="4.44140625" style="2" customWidth="1"/>
    <col min="12" max="35" width="4" style="2" customWidth="1"/>
    <col min="36" max="36" width="9.44140625" style="114" customWidth="1"/>
    <col min="37" max="37" width="3.77734375" style="114" hidden="1" customWidth="1"/>
    <col min="38" max="38" width="3" style="114" hidden="1" customWidth="1"/>
    <col min="39" max="39" width="13.21875" style="114" hidden="1" customWidth="1"/>
    <col min="40" max="40" width="8" style="114" hidden="1" customWidth="1"/>
    <col min="41" max="43" width="8.21875" style="114" hidden="1" customWidth="1"/>
    <col min="44" max="44" width="9.21875" style="114" hidden="1" customWidth="1"/>
    <col min="45" max="45" width="16.77734375" style="114" hidden="1" customWidth="1"/>
    <col min="46" max="46" width="10.77734375" style="114" hidden="1" customWidth="1"/>
    <col min="47" max="47" width="12.21875" style="114" hidden="1" customWidth="1"/>
    <col min="48" max="58" width="9.21875" style="114" hidden="1" customWidth="1"/>
    <col min="59" max="59" width="9.21875" style="114" customWidth="1"/>
  </cols>
  <sheetData>
    <row r="1" spans="1:58">
      <c r="A1" s="67">
        <v>46113</v>
      </c>
      <c r="B1" s="6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126"/>
    </row>
    <row r="2" spans="1:58">
      <c r="A2" s="8"/>
      <c r="B2" s="12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N2" s="186" t="s">
        <v>3</v>
      </c>
      <c r="AO2" s="187"/>
      <c r="AP2" s="126"/>
      <c r="AQ2" s="186" t="s">
        <v>60</v>
      </c>
      <c r="AR2" s="187"/>
      <c r="AS2" s="186" t="s">
        <v>89</v>
      </c>
      <c r="AT2" s="187"/>
      <c r="AU2" s="186" t="s">
        <v>90</v>
      </c>
      <c r="AV2" s="187"/>
      <c r="AW2" s="186" t="s">
        <v>148</v>
      </c>
      <c r="AX2" s="187"/>
      <c r="AY2" s="186" t="s">
        <v>92</v>
      </c>
      <c r="AZ2" s="187"/>
      <c r="BA2" s="186" t="s">
        <v>149</v>
      </c>
      <c r="BB2" s="187"/>
      <c r="BC2" s="186" t="s">
        <v>150</v>
      </c>
      <c r="BD2" s="187"/>
      <c r="BE2" s="186" t="s">
        <v>96</v>
      </c>
      <c r="BF2" s="187"/>
    </row>
    <row r="3" spans="1:58">
      <c r="A3" s="7" t="s">
        <v>89</v>
      </c>
      <c r="B3" s="1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</row>
    <row r="4" spans="1:58">
      <c r="A4" s="75"/>
      <c r="B4" s="11" t="s">
        <v>154</v>
      </c>
      <c r="C4" s="112">
        <f>EOMONTH($A$1,-1)</f>
        <v>46112</v>
      </c>
      <c r="D4" s="112">
        <f t="shared" ref="D4:AI4" si="0">C4+1</f>
        <v>46113</v>
      </c>
      <c r="E4" s="112">
        <f t="shared" si="0"/>
        <v>46114</v>
      </c>
      <c r="F4" s="112">
        <f t="shared" si="0"/>
        <v>46115</v>
      </c>
      <c r="G4" s="112">
        <f t="shared" si="0"/>
        <v>46116</v>
      </c>
      <c r="H4" s="112">
        <f t="shared" si="0"/>
        <v>46117</v>
      </c>
      <c r="I4" s="112">
        <f t="shared" si="0"/>
        <v>46118</v>
      </c>
      <c r="J4" s="112">
        <f t="shared" si="0"/>
        <v>46119</v>
      </c>
      <c r="K4" s="112">
        <f t="shared" si="0"/>
        <v>46120</v>
      </c>
      <c r="L4" s="112">
        <f t="shared" si="0"/>
        <v>46121</v>
      </c>
      <c r="M4" s="112">
        <f t="shared" si="0"/>
        <v>46122</v>
      </c>
      <c r="N4" s="112">
        <f t="shared" si="0"/>
        <v>46123</v>
      </c>
      <c r="O4" s="112">
        <f t="shared" si="0"/>
        <v>46124</v>
      </c>
      <c r="P4" s="112">
        <f t="shared" si="0"/>
        <v>46125</v>
      </c>
      <c r="Q4" s="112">
        <f t="shared" si="0"/>
        <v>46126</v>
      </c>
      <c r="R4" s="112">
        <f t="shared" si="0"/>
        <v>46127</v>
      </c>
      <c r="S4" s="112">
        <f t="shared" si="0"/>
        <v>46128</v>
      </c>
      <c r="T4" s="112">
        <f t="shared" si="0"/>
        <v>46129</v>
      </c>
      <c r="U4" s="112">
        <f t="shared" si="0"/>
        <v>46130</v>
      </c>
      <c r="V4" s="112">
        <f t="shared" si="0"/>
        <v>46131</v>
      </c>
      <c r="W4" s="112">
        <f t="shared" si="0"/>
        <v>46132</v>
      </c>
      <c r="X4" s="112">
        <f t="shared" si="0"/>
        <v>46133</v>
      </c>
      <c r="Y4" s="112">
        <f t="shared" si="0"/>
        <v>46134</v>
      </c>
      <c r="Z4" s="112">
        <f t="shared" si="0"/>
        <v>46135</v>
      </c>
      <c r="AA4" s="112">
        <f t="shared" si="0"/>
        <v>46136</v>
      </c>
      <c r="AB4" s="112">
        <f t="shared" si="0"/>
        <v>46137</v>
      </c>
      <c r="AC4" s="112">
        <f t="shared" si="0"/>
        <v>46138</v>
      </c>
      <c r="AD4" s="112">
        <f t="shared" si="0"/>
        <v>46139</v>
      </c>
      <c r="AE4" s="112">
        <f t="shared" si="0"/>
        <v>46140</v>
      </c>
      <c r="AF4" s="112">
        <f t="shared" si="0"/>
        <v>46141</v>
      </c>
      <c r="AG4" s="112">
        <f t="shared" si="0"/>
        <v>46142</v>
      </c>
      <c r="AH4" s="112">
        <f t="shared" si="0"/>
        <v>46143</v>
      </c>
      <c r="AI4" s="112">
        <f t="shared" si="0"/>
        <v>46144</v>
      </c>
      <c r="AN4" s="126"/>
      <c r="AO4" s="126"/>
      <c r="AP4" s="126"/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</row>
    <row r="5" spans="1:58">
      <c r="A5" s="75" t="s">
        <v>158</v>
      </c>
      <c r="B5" s="74">
        <v>12</v>
      </c>
      <c r="C5" s="84" t="str">
        <f t="array" aca="1" ref="C5" ca="1">IF(OR((C$4&gt;=$AS$11:$AS$74)*(C$4&lt;=$AT$11:$AT$74)&gt;0),$B5,"")</f>
        <v/>
      </c>
      <c r="D5" s="84" t="str">
        <f t="array" aca="1" ref="D5" ca="1">IF(OR((D$4&gt;=$AS$11:$AS$74)*(D$4&lt;=$AT$11:$AT$74)&gt;0),$B5,"")</f>
        <v/>
      </c>
      <c r="E5" s="84" t="str">
        <f t="array" aca="1" ref="E5" ca="1">IF(OR((E$4&gt;=$AS$11:$AS$74)*(E$4&lt;=$AT$11:$AT$74)&gt;0),$B5,"")</f>
        <v/>
      </c>
      <c r="F5" s="84" t="str">
        <f t="array" aca="1" ref="F5" ca="1">IF(OR((F$4&gt;=$AS$11:$AS$74)*(F$4&lt;=$AT$11:$AT$74)&gt;0),$B5,"")</f>
        <v/>
      </c>
      <c r="G5" s="84" t="str">
        <f t="array" aca="1" ref="G5" ca="1">IF(OR((G$4&gt;=$AS$11:$AS$74)*(G$4&lt;=$AT$11:$AT$74)&gt;0),$B5,"")</f>
        <v/>
      </c>
      <c r="H5" s="84" t="str">
        <f t="array" aca="1" ref="H5" ca="1">IF(OR((H$4&gt;=$AS$11:$AS$74)*(H$4&lt;=$AT$11:$AT$74)&gt;0),$B5,"")</f>
        <v/>
      </c>
      <c r="I5" s="84" t="str">
        <f t="array" aca="1" ref="I5" ca="1">IF(OR((I$4&gt;=$AS$11:$AS$74)*(I$4&lt;=$AT$11:$AT$74)&gt;0),$B5,"")</f>
        <v/>
      </c>
      <c r="J5" s="84" t="str">
        <f t="array" aca="1" ref="J5" ca="1">IF(OR((J$4&gt;=$AS$11:$AS$74)*(J$4&lt;=$AT$11:$AT$74)&gt;0),$B5,"")</f>
        <v/>
      </c>
      <c r="K5" s="84" t="str">
        <f t="array" aca="1" ref="K5" ca="1">IF(OR((K$4&gt;=$AS$11:$AS$74)*(K$4&lt;=$AT$11:$AT$74)&gt;0),$B5,"")</f>
        <v/>
      </c>
      <c r="L5" s="84" t="str">
        <f t="array" aca="1" ref="L5" ca="1">IF(OR((L$4&gt;=$AS$11:$AS$74)*(L$4&lt;=$AT$11:$AT$74)&gt;0),$B5,"")</f>
        <v/>
      </c>
      <c r="M5" s="84" t="str">
        <f t="array" aca="1" ref="M5" ca="1">IF(OR((M$4&gt;=$AS$11:$AS$74)*(M$4&lt;=$AT$11:$AT$74)&gt;0),$B5,"")</f>
        <v/>
      </c>
      <c r="N5" s="84" t="str">
        <f t="array" aca="1" ref="N5" ca="1">IF(OR((N$4&gt;=$AS$11:$AS$74)*(N$4&lt;=$AT$11:$AT$74)&gt;0),$B5,"")</f>
        <v/>
      </c>
      <c r="O5" s="84" t="str">
        <f t="array" aca="1" ref="O5" ca="1">IF(OR((O$4&gt;=$AS$11:$AS$74)*(O$4&lt;=$AT$11:$AT$74)&gt;0),$B5,"")</f>
        <v/>
      </c>
      <c r="P5" s="84" t="str">
        <f t="array" aca="1" ref="P5" ca="1">IF(OR((P$4&gt;=$AS$11:$AS$74)*(P$4&lt;=$AT$11:$AT$74)&gt;0),$B5,"")</f>
        <v/>
      </c>
      <c r="Q5" s="84" t="str">
        <f t="array" aca="1" ref="Q5" ca="1">IF(OR((Q$4&gt;=$AS$11:$AS$74)*(Q$4&lt;=$AT$11:$AT$74)&gt;0),$B5,"")</f>
        <v/>
      </c>
      <c r="R5" s="84" t="str">
        <f t="array" aca="1" ref="R5" ca="1">IF(OR((R$4&gt;=$AS$11:$AS$74)*(R$4&lt;=$AT$11:$AT$74)&gt;0),$B5,"")</f>
        <v/>
      </c>
      <c r="S5" s="84" t="str">
        <f t="array" aca="1" ref="S5" ca="1">IF(OR((S$4&gt;=$AS$11:$AS$74)*(S$4&lt;=$AT$11:$AT$74)&gt;0),$B5,"")</f>
        <v/>
      </c>
      <c r="T5" s="84" t="str">
        <f t="array" aca="1" ref="T5" ca="1">IF(OR((T$4&gt;=$AS$11:$AS$74)*(T$4&lt;=$AT$11:$AT$74)&gt;0),$B5,"")</f>
        <v/>
      </c>
      <c r="U5" s="84" t="str">
        <f t="array" aca="1" ref="U5" ca="1">IF(OR((U$4&gt;=$AS$11:$AS$74)*(U$4&lt;=$AT$11:$AT$74)&gt;0),$B5,"")</f>
        <v/>
      </c>
      <c r="V5" s="84" t="str">
        <f t="array" aca="1" ref="V5" ca="1">IF(OR((V$4&gt;=$AS$11:$AS$74)*(V$4&lt;=$AT$11:$AT$74)&gt;0),$B5,"")</f>
        <v/>
      </c>
      <c r="W5" s="84" t="str">
        <f t="array" aca="1" ref="W5" ca="1">IF(OR((W$4&gt;=$AS$11:$AS$74)*(W$4&lt;=$AT$11:$AT$74)&gt;0),$B5,"")</f>
        <v/>
      </c>
      <c r="X5" s="84" t="str">
        <f t="array" aca="1" ref="X5" ca="1">IF(OR((X$4&gt;=$AS$11:$AS$74)*(X$4&lt;=$AT$11:$AT$74)&gt;0),$B5,"")</f>
        <v/>
      </c>
      <c r="Y5" s="84" t="str">
        <f t="array" aca="1" ref="Y5" ca="1">IF(OR((Y$4&gt;=$AS$11:$AS$74)*(Y$4&lt;=$AT$11:$AT$74)&gt;0),$B5,"")</f>
        <v/>
      </c>
      <c r="Z5" s="84" t="str">
        <f t="array" aca="1" ref="Z5" ca="1">IF(OR((Z$4&gt;=$AS$11:$AS$74)*(Z$4&lt;=$AT$11:$AT$74)&gt;0),$B5,"")</f>
        <v/>
      </c>
      <c r="AA5" s="84" t="str">
        <f t="array" aca="1" ref="AA5" ca="1">IF(OR((AA$4&gt;=$AS$11:$AS$74)*(AA$4&lt;=$AT$11:$AT$74)&gt;0),$B5,"")</f>
        <v/>
      </c>
      <c r="AB5" s="84" t="str">
        <f t="array" aca="1" ref="AB5" ca="1">IF(OR((AB$4&gt;=$AS$11:$AS$74)*(AB$4&lt;=$AT$11:$AT$74)&gt;0),$B5,"")</f>
        <v/>
      </c>
      <c r="AC5" s="84" t="str">
        <f t="array" aca="1" ref="AC5" ca="1">IF(OR((AC$4&gt;=$AS$11:$AS$74)*(AC$4&lt;=$AT$11:$AT$74)&gt;0),$B5,"")</f>
        <v/>
      </c>
      <c r="AD5" s="84" t="str">
        <f t="array" aca="1" ref="AD5" ca="1">IF(OR((AD$4&gt;=$AS$11:$AS$74)*(AD$4&lt;=$AT$11:$AT$74)&gt;0),$B5,"")</f>
        <v/>
      </c>
      <c r="AE5" s="84" t="str">
        <f t="array" aca="1" ref="AE5" ca="1">IF(OR((AE$4&gt;=$AS$11:$AS$74)*(AE$4&lt;=$AT$11:$AT$74)&gt;0),$B5,"")</f>
        <v/>
      </c>
      <c r="AF5" s="84" t="str">
        <f t="array" aca="1" ref="AF5" ca="1">IF(OR((AF$4&gt;=$AS$11:$AS$74)*(AF$4&lt;=$AT$11:$AT$74)&gt;0),$B5,"")</f>
        <v/>
      </c>
      <c r="AG5" s="84" t="str">
        <f t="array" aca="1" ref="AG5" ca="1">IF(OR((AG$4&gt;=$AS$11:$AS$74)*(AG$4&lt;=$AT$11:$AT$74)&gt;0),$B5,"")</f>
        <v/>
      </c>
      <c r="AH5" s="84" t="str">
        <f t="array" aca="1" ref="AH5" ca="1">IF(OR((AH$4&gt;=$AS$11:$AS$74)*(AH$4&lt;=$AT$11:$AT$74)&gt;0),$B5,"")</f>
        <v/>
      </c>
      <c r="AI5" s="84" t="str">
        <f t="array" aca="1" ref="AI5" ca="1">IF(OR((AI$4&gt;=$AS$11:$AS$74)*(AI$4&lt;=$AT$11:$AT$74)&gt;0),$B5,"")</f>
        <v/>
      </c>
      <c r="AN5" s="126"/>
      <c r="AO5" s="126"/>
      <c r="AP5" s="126"/>
      <c r="AQ5" s="126"/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6"/>
      <c r="BF5" s="126"/>
    </row>
    <row r="6" spans="1:58">
      <c r="A6" s="75" t="s">
        <v>159</v>
      </c>
      <c r="B6" s="74">
        <v>12</v>
      </c>
      <c r="C6" s="84" t="str">
        <f t="array" aca="1" ref="C6" ca="1">IF(OR((C$4&gt;=$AS$11:$AS$74)*(C$4&lt;=$AT$11:$AT$74)&gt;0),$B6,"")</f>
        <v/>
      </c>
      <c r="D6" s="84" t="str">
        <f t="array" aca="1" ref="D6" ca="1">IF(OR((D$4&gt;=$AS$11:$AS$74)*(D$4&lt;=$AT$11:$AT$74)&gt;0),$B6,"")</f>
        <v/>
      </c>
      <c r="E6" s="84" t="str">
        <f t="array" aca="1" ref="E6" ca="1">IF(OR((E$4&gt;=$AS$11:$AS$74)*(E$4&lt;=$AT$11:$AT$74)&gt;0),$B6,"")</f>
        <v/>
      </c>
      <c r="F6" s="84" t="str">
        <f t="array" aca="1" ref="F6" ca="1">IF(OR((F$4&gt;=$AS$11:$AS$74)*(F$4&lt;=$AT$11:$AT$74)&gt;0),$B6,"")</f>
        <v/>
      </c>
      <c r="G6" s="84" t="str">
        <f t="array" aca="1" ref="G6" ca="1">IF(OR((G$4&gt;=$AS$11:$AS$74)*(G$4&lt;=$AT$11:$AT$74)&gt;0),$B6,"")</f>
        <v/>
      </c>
      <c r="H6" s="84" t="str">
        <f t="array" aca="1" ref="H6" ca="1">IF(OR((H$4&gt;=$AS$11:$AS$74)*(H$4&lt;=$AT$11:$AT$74)&gt;0),$B6,"")</f>
        <v/>
      </c>
      <c r="I6" s="84" t="str">
        <f t="array" aca="1" ref="I6" ca="1">IF(OR((I$4&gt;=$AS$11:$AS$74)*(I$4&lt;=$AT$11:$AT$74)&gt;0),$B6,"")</f>
        <v/>
      </c>
      <c r="J6" s="84" t="str">
        <f t="array" aca="1" ref="J6" ca="1">IF(OR((J$4&gt;=$AS$11:$AS$74)*(J$4&lt;=$AT$11:$AT$74)&gt;0),$B6,"")</f>
        <v/>
      </c>
      <c r="K6" s="84" t="str">
        <f t="array" aca="1" ref="K6" ca="1">IF(OR((K$4&gt;=$AS$11:$AS$74)*(K$4&lt;=$AT$11:$AT$74)&gt;0),$B6,"")</f>
        <v/>
      </c>
      <c r="L6" s="84" t="str">
        <f t="array" aca="1" ref="L6" ca="1">IF(OR((L$4&gt;=$AS$11:$AS$74)*(L$4&lt;=$AT$11:$AT$74)&gt;0),$B6,"")</f>
        <v/>
      </c>
      <c r="M6" s="84" t="str">
        <f t="array" aca="1" ref="M6" ca="1">IF(OR((M$4&gt;=$AS$11:$AS$74)*(M$4&lt;=$AT$11:$AT$74)&gt;0),$B6,"")</f>
        <v/>
      </c>
      <c r="N6" s="84" t="str">
        <f t="array" aca="1" ref="N6" ca="1">IF(OR((N$4&gt;=$AS$11:$AS$74)*(N$4&lt;=$AT$11:$AT$74)&gt;0),$B6,"")</f>
        <v/>
      </c>
      <c r="O6" s="84" t="str">
        <f t="array" aca="1" ref="O6" ca="1">IF(OR((O$4&gt;=$AS$11:$AS$74)*(O$4&lt;=$AT$11:$AT$74)&gt;0),$B6,"")</f>
        <v/>
      </c>
      <c r="P6" s="84" t="str">
        <f t="array" aca="1" ref="P6" ca="1">IF(OR((P$4&gt;=$AS$11:$AS$74)*(P$4&lt;=$AT$11:$AT$74)&gt;0),$B6,"")</f>
        <v/>
      </c>
      <c r="Q6" s="84" t="str">
        <f t="array" aca="1" ref="Q6" ca="1">IF(OR((Q$4&gt;=$AS$11:$AS$74)*(Q$4&lt;=$AT$11:$AT$74)&gt;0),$B6,"")</f>
        <v/>
      </c>
      <c r="R6" s="84" t="str">
        <f t="array" aca="1" ref="R6" ca="1">IF(OR((R$4&gt;=$AS$11:$AS$74)*(R$4&lt;=$AT$11:$AT$74)&gt;0),$B6,"")</f>
        <v/>
      </c>
      <c r="S6" s="84" t="str">
        <f t="array" aca="1" ref="S6" ca="1">IF(OR((S$4&gt;=$AS$11:$AS$74)*(S$4&lt;=$AT$11:$AT$74)&gt;0),$B6,"")</f>
        <v/>
      </c>
      <c r="T6" s="84" t="str">
        <f t="array" aca="1" ref="T6" ca="1">IF(OR((T$4&gt;=$AS$11:$AS$74)*(T$4&lt;=$AT$11:$AT$74)&gt;0),$B6,"")</f>
        <v/>
      </c>
      <c r="U6" s="84" t="str">
        <f t="array" aca="1" ref="U6" ca="1">IF(OR((U$4&gt;=$AS$11:$AS$74)*(U$4&lt;=$AT$11:$AT$74)&gt;0),$B6,"")</f>
        <v/>
      </c>
      <c r="V6" s="84" t="str">
        <f t="array" aca="1" ref="V6" ca="1">IF(OR((V$4&gt;=$AS$11:$AS$74)*(V$4&lt;=$AT$11:$AT$74)&gt;0),$B6,"")</f>
        <v/>
      </c>
      <c r="W6" s="84" t="str">
        <f t="array" aca="1" ref="W6" ca="1">IF(OR((W$4&gt;=$AS$11:$AS$74)*(W$4&lt;=$AT$11:$AT$74)&gt;0),$B6,"")</f>
        <v/>
      </c>
      <c r="X6" s="84" t="str">
        <f t="array" aca="1" ref="X6" ca="1">IF(OR((X$4&gt;=$AS$11:$AS$74)*(X$4&lt;=$AT$11:$AT$74)&gt;0),$B6,"")</f>
        <v/>
      </c>
      <c r="Y6" s="84" t="str">
        <f t="array" aca="1" ref="Y6" ca="1">IF(OR((Y$4&gt;=$AS$11:$AS$74)*(Y$4&lt;=$AT$11:$AT$74)&gt;0),$B6,"")</f>
        <v/>
      </c>
      <c r="Z6" s="84" t="str">
        <f t="array" aca="1" ref="Z6" ca="1">IF(OR((Z$4&gt;=$AS$11:$AS$74)*(Z$4&lt;=$AT$11:$AT$74)&gt;0),$B6,"")</f>
        <v/>
      </c>
      <c r="AA6" s="84" t="str">
        <f t="array" aca="1" ref="AA6" ca="1">IF(OR((AA$4&gt;=$AS$11:$AS$74)*(AA$4&lt;=$AT$11:$AT$74)&gt;0),$B6,"")</f>
        <v/>
      </c>
      <c r="AB6" s="84" t="str">
        <f t="array" aca="1" ref="AB6" ca="1">IF(OR((AB$4&gt;=$AS$11:$AS$74)*(AB$4&lt;=$AT$11:$AT$74)&gt;0),$B6,"")</f>
        <v/>
      </c>
      <c r="AC6" s="84" t="str">
        <f t="array" aca="1" ref="AC6" ca="1">IF(OR((AC$4&gt;=$AS$11:$AS$74)*(AC$4&lt;=$AT$11:$AT$74)&gt;0),$B6,"")</f>
        <v/>
      </c>
      <c r="AD6" s="84" t="str">
        <f t="array" aca="1" ref="AD6" ca="1">IF(OR((AD$4&gt;=$AS$11:$AS$74)*(AD$4&lt;=$AT$11:$AT$74)&gt;0),$B6,"")</f>
        <v/>
      </c>
      <c r="AE6" s="84" t="str">
        <f t="array" aca="1" ref="AE6" ca="1">IF(OR((AE$4&gt;=$AS$11:$AS$74)*(AE$4&lt;=$AT$11:$AT$74)&gt;0),$B6,"")</f>
        <v/>
      </c>
      <c r="AF6" s="84" t="str">
        <f t="array" aca="1" ref="AF6" ca="1">IF(OR((AF$4&gt;=$AS$11:$AS$74)*(AF$4&lt;=$AT$11:$AT$74)&gt;0),$B6,"")</f>
        <v/>
      </c>
      <c r="AG6" s="84" t="str">
        <f t="array" aca="1" ref="AG6" ca="1">IF(OR((AG$4&gt;=$AS$11:$AS$74)*(AG$4&lt;=$AT$11:$AT$74)&gt;0),$B6,"")</f>
        <v/>
      </c>
      <c r="AH6" s="84" t="str">
        <f t="array" aca="1" ref="AH6" ca="1">IF(OR((AH$4&gt;=$AS$11:$AS$74)*(AH$4&lt;=$AT$11:$AT$74)&gt;0),$B6,"")</f>
        <v/>
      </c>
      <c r="AI6" s="84" t="str">
        <f t="array" aca="1" ref="AI6" ca="1">IF(OR((AI$4&gt;=$AS$11:$AS$74)*(AI$4&lt;=$AT$11:$AT$74)&gt;0),$B6,"")</f>
        <v/>
      </c>
      <c r="AN6" s="126"/>
      <c r="AO6" s="126"/>
      <c r="AP6" s="126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</row>
    <row r="7" spans="1:58">
      <c r="A7" s="75" t="s">
        <v>160</v>
      </c>
      <c r="B7" s="74">
        <v>12</v>
      </c>
      <c r="C7" s="84" t="str">
        <f t="array" aca="1" ref="C7" ca="1">IF(OR((C$4&gt;=$AS$11:$AS$74)*(C$4&lt;=$AT$11:$AT$74)&gt;0),$B7,"")</f>
        <v/>
      </c>
      <c r="D7" s="84" t="str">
        <f t="array" aca="1" ref="D7" ca="1">IF(OR((D$4&gt;=$AS$11:$AS$74)*(D$4&lt;=$AT$11:$AT$74)&gt;0),$B7,"")</f>
        <v/>
      </c>
      <c r="E7" s="84" t="str">
        <f t="array" aca="1" ref="E7" ca="1">IF(OR((E$4&gt;=$AS$11:$AS$74)*(E$4&lt;=$AT$11:$AT$74)&gt;0),$B7,"")</f>
        <v/>
      </c>
      <c r="F7" s="84" t="str">
        <f t="array" aca="1" ref="F7" ca="1">IF(OR((F$4&gt;=$AS$11:$AS$74)*(F$4&lt;=$AT$11:$AT$74)&gt;0),$B7,"")</f>
        <v/>
      </c>
      <c r="G7" s="84" t="str">
        <f t="array" aca="1" ref="G7" ca="1">IF(OR((G$4&gt;=$AS$11:$AS$74)*(G$4&lt;=$AT$11:$AT$74)&gt;0),$B7,"")</f>
        <v/>
      </c>
      <c r="H7" s="84" t="str">
        <f t="array" aca="1" ref="H7" ca="1">IF(OR((H$4&gt;=$AS$11:$AS$74)*(H$4&lt;=$AT$11:$AT$74)&gt;0),$B7,"")</f>
        <v/>
      </c>
      <c r="I7" s="84" t="str">
        <f t="array" aca="1" ref="I7" ca="1">IF(OR((I$4&gt;=$AS$11:$AS$74)*(I$4&lt;=$AT$11:$AT$74)&gt;0),$B7,"")</f>
        <v/>
      </c>
      <c r="J7" s="84" t="str">
        <f t="array" aca="1" ref="J7" ca="1">IF(OR((J$4&gt;=$AS$11:$AS$74)*(J$4&lt;=$AT$11:$AT$74)&gt;0),$B7,"")</f>
        <v/>
      </c>
      <c r="K7" s="84" t="str">
        <f t="array" aca="1" ref="K7" ca="1">IF(OR((K$4&gt;=$AS$11:$AS$74)*(K$4&lt;=$AT$11:$AT$74)&gt;0),$B7,"")</f>
        <v/>
      </c>
      <c r="L7" s="84" t="str">
        <f t="array" aca="1" ref="L7" ca="1">IF(OR((L$4&gt;=$AS$11:$AS$74)*(L$4&lt;=$AT$11:$AT$74)&gt;0),$B7,"")</f>
        <v/>
      </c>
      <c r="M7" s="84" t="str">
        <f t="array" aca="1" ref="M7" ca="1">IF(OR((M$4&gt;=$AS$11:$AS$74)*(M$4&lt;=$AT$11:$AT$74)&gt;0),$B7,"")</f>
        <v/>
      </c>
      <c r="N7" s="84" t="str">
        <f t="array" aca="1" ref="N7" ca="1">IF(OR((N$4&gt;=$AS$11:$AS$74)*(N$4&lt;=$AT$11:$AT$74)&gt;0),$B7,"")</f>
        <v/>
      </c>
      <c r="O7" s="84" t="str">
        <f t="array" aca="1" ref="O7" ca="1">IF(OR((O$4&gt;=$AS$11:$AS$74)*(O$4&lt;=$AT$11:$AT$74)&gt;0),$B7,"")</f>
        <v/>
      </c>
      <c r="P7" s="84" t="str">
        <f t="array" aca="1" ref="P7" ca="1">IF(OR((P$4&gt;=$AS$11:$AS$74)*(P$4&lt;=$AT$11:$AT$74)&gt;0),$B7,"")</f>
        <v/>
      </c>
      <c r="Q7" s="84" t="str">
        <f t="array" aca="1" ref="Q7" ca="1">IF(OR((Q$4&gt;=$AS$11:$AS$74)*(Q$4&lt;=$AT$11:$AT$74)&gt;0),$B7,"")</f>
        <v/>
      </c>
      <c r="R7" s="84" t="str">
        <f t="array" aca="1" ref="R7" ca="1">IF(OR((R$4&gt;=$AS$11:$AS$74)*(R$4&lt;=$AT$11:$AT$74)&gt;0),$B7,"")</f>
        <v/>
      </c>
      <c r="S7" s="84" t="str">
        <f t="array" aca="1" ref="S7" ca="1">IF(OR((S$4&gt;=$AS$11:$AS$74)*(S$4&lt;=$AT$11:$AT$74)&gt;0),$B7,"")</f>
        <v/>
      </c>
      <c r="T7" s="84" t="str">
        <f t="array" aca="1" ref="T7" ca="1">IF(OR((T$4&gt;=$AS$11:$AS$74)*(T$4&lt;=$AT$11:$AT$74)&gt;0),$B7,"")</f>
        <v/>
      </c>
      <c r="U7" s="84" t="str">
        <f t="array" aca="1" ref="U7" ca="1">IF(OR((U$4&gt;=$AS$11:$AS$74)*(U$4&lt;=$AT$11:$AT$74)&gt;0),$B7,"")</f>
        <v/>
      </c>
      <c r="V7" s="84" t="str">
        <f t="array" aca="1" ref="V7" ca="1">IF(OR((V$4&gt;=$AS$11:$AS$74)*(V$4&lt;=$AT$11:$AT$74)&gt;0),$B7,"")</f>
        <v/>
      </c>
      <c r="W7" s="84" t="str">
        <f t="array" aca="1" ref="W7" ca="1">IF(OR((W$4&gt;=$AS$11:$AS$74)*(W$4&lt;=$AT$11:$AT$74)&gt;0),$B7,"")</f>
        <v/>
      </c>
      <c r="X7" s="84" t="str">
        <f t="array" aca="1" ref="X7" ca="1">IF(OR((X$4&gt;=$AS$11:$AS$74)*(X$4&lt;=$AT$11:$AT$74)&gt;0),$B7,"")</f>
        <v/>
      </c>
      <c r="Y7" s="84" t="str">
        <f t="array" aca="1" ref="Y7" ca="1">IF(OR((Y$4&gt;=$AS$11:$AS$74)*(Y$4&lt;=$AT$11:$AT$74)&gt;0),$B7,"")</f>
        <v/>
      </c>
      <c r="Z7" s="84" t="str">
        <f t="array" aca="1" ref="Z7" ca="1">IF(OR((Z$4&gt;=$AS$11:$AS$74)*(Z$4&lt;=$AT$11:$AT$74)&gt;0),$B7,"")</f>
        <v/>
      </c>
      <c r="AA7" s="84" t="str">
        <f t="array" aca="1" ref="AA7" ca="1">IF(OR((AA$4&gt;=$AS$11:$AS$74)*(AA$4&lt;=$AT$11:$AT$74)&gt;0),$B7,"")</f>
        <v/>
      </c>
      <c r="AB7" s="84" t="str">
        <f t="array" aca="1" ref="AB7" ca="1">IF(OR((AB$4&gt;=$AS$11:$AS$74)*(AB$4&lt;=$AT$11:$AT$74)&gt;0),$B7,"")</f>
        <v/>
      </c>
      <c r="AC7" s="84" t="str">
        <f t="array" aca="1" ref="AC7" ca="1">IF(OR((AC$4&gt;=$AS$11:$AS$74)*(AC$4&lt;=$AT$11:$AT$74)&gt;0),$B7,"")</f>
        <v/>
      </c>
      <c r="AD7" s="84" t="str">
        <f t="array" aca="1" ref="AD7" ca="1">IF(OR((AD$4&gt;=$AS$11:$AS$74)*(AD$4&lt;=$AT$11:$AT$74)&gt;0),$B7,"")</f>
        <v/>
      </c>
      <c r="AE7" s="84" t="str">
        <f t="array" aca="1" ref="AE7" ca="1">IF(OR((AE$4&gt;=$AS$11:$AS$74)*(AE$4&lt;=$AT$11:$AT$74)&gt;0),$B7,"")</f>
        <v/>
      </c>
      <c r="AF7" s="84" t="str">
        <f t="array" aca="1" ref="AF7" ca="1">IF(OR((AF$4&gt;=$AS$11:$AS$74)*(AF$4&lt;=$AT$11:$AT$74)&gt;0),$B7,"")</f>
        <v/>
      </c>
      <c r="AG7" s="84" t="str">
        <f t="array" aca="1" ref="AG7" ca="1">IF(OR((AG$4&gt;=$AS$11:$AS$74)*(AG$4&lt;=$AT$11:$AT$74)&gt;0),$B7,"")</f>
        <v/>
      </c>
      <c r="AH7" s="84" t="str">
        <f t="array" aca="1" ref="AH7" ca="1">IF(OR((AH$4&gt;=$AS$11:$AS$74)*(AH$4&lt;=$AT$11:$AT$74)&gt;0),$B7,"")</f>
        <v/>
      </c>
      <c r="AI7" s="84" t="str">
        <f t="array" aca="1" ref="AI7" ca="1">IF(OR((AI$4&gt;=$AS$11:$AS$74)*(AI$4&lt;=$AT$11:$AT$74)&gt;0),$B7,"")</f>
        <v/>
      </c>
      <c r="AN7" s="126"/>
      <c r="AO7" s="126"/>
      <c r="AP7" s="126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</row>
    <row r="8" spans="1:58">
      <c r="A8" s="75" t="s">
        <v>161</v>
      </c>
      <c r="B8" s="74">
        <v>12</v>
      </c>
      <c r="C8" s="84" t="str">
        <f t="array" aca="1" ref="C8" ca="1">IF(OR((C$4&gt;=$AS$11:$AS$74)*(C$4&lt;=$AT$11:$AT$74)&gt;0),$B8,"")</f>
        <v/>
      </c>
      <c r="D8" s="84" t="str">
        <f t="array" aca="1" ref="D8" ca="1">IF(OR((D$4&gt;=$AS$11:$AS$74)*(D$4&lt;=$AT$11:$AT$74)&gt;0),$B8,"")</f>
        <v/>
      </c>
      <c r="E8" s="84" t="str">
        <f t="array" aca="1" ref="E8" ca="1">IF(OR((E$4&gt;=$AS$11:$AS$74)*(E$4&lt;=$AT$11:$AT$74)&gt;0),$B8,"")</f>
        <v/>
      </c>
      <c r="F8" s="84" t="str">
        <f t="array" aca="1" ref="F8" ca="1">IF(OR((F$4&gt;=$AS$11:$AS$74)*(F$4&lt;=$AT$11:$AT$74)&gt;0),$B8,"")</f>
        <v/>
      </c>
      <c r="G8" s="84" t="str">
        <f t="array" aca="1" ref="G8" ca="1">IF(OR((G$4&gt;=$AS$11:$AS$74)*(G$4&lt;=$AT$11:$AT$74)&gt;0),$B8,"")</f>
        <v/>
      </c>
      <c r="H8" s="84" t="str">
        <f t="array" aca="1" ref="H8" ca="1">IF(OR((H$4&gt;=$AS$11:$AS$74)*(H$4&lt;=$AT$11:$AT$74)&gt;0),$B8,"")</f>
        <v/>
      </c>
      <c r="I8" s="84" t="str">
        <f t="array" aca="1" ref="I8" ca="1">IF(OR((I$4&gt;=$AS$11:$AS$74)*(I$4&lt;=$AT$11:$AT$74)&gt;0),$B8,"")</f>
        <v/>
      </c>
      <c r="J8" s="84" t="str">
        <f t="array" aca="1" ref="J8" ca="1">IF(OR((J$4&gt;=$AS$11:$AS$74)*(J$4&lt;=$AT$11:$AT$74)&gt;0),$B8,"")</f>
        <v/>
      </c>
      <c r="K8" s="84" t="str">
        <f t="array" aca="1" ref="K8" ca="1">IF(OR((K$4&gt;=$AS$11:$AS$74)*(K$4&lt;=$AT$11:$AT$74)&gt;0),$B8,"")</f>
        <v/>
      </c>
      <c r="L8" s="84" t="str">
        <f t="array" aca="1" ref="L8" ca="1">IF(OR((L$4&gt;=$AS$11:$AS$74)*(L$4&lt;=$AT$11:$AT$74)&gt;0),$B8,"")</f>
        <v/>
      </c>
      <c r="M8" s="84" t="str">
        <f t="array" aca="1" ref="M8" ca="1">IF(OR((M$4&gt;=$AS$11:$AS$74)*(M$4&lt;=$AT$11:$AT$74)&gt;0),$B8,"")</f>
        <v/>
      </c>
      <c r="N8" s="84" t="str">
        <f t="array" aca="1" ref="N8" ca="1">IF(OR((N$4&gt;=$AS$11:$AS$74)*(N$4&lt;=$AT$11:$AT$74)&gt;0),$B8,"")</f>
        <v/>
      </c>
      <c r="O8" s="84" t="str">
        <f t="array" aca="1" ref="O8" ca="1">IF(OR((O$4&gt;=$AS$11:$AS$74)*(O$4&lt;=$AT$11:$AT$74)&gt;0),$B8,"")</f>
        <v/>
      </c>
      <c r="P8" s="84" t="str">
        <f t="array" aca="1" ref="P8" ca="1">IF(OR((P$4&gt;=$AS$11:$AS$74)*(P$4&lt;=$AT$11:$AT$74)&gt;0),$B8,"")</f>
        <v/>
      </c>
      <c r="Q8" s="84" t="str">
        <f t="array" aca="1" ref="Q8" ca="1">IF(OR((Q$4&gt;=$AS$11:$AS$74)*(Q$4&lt;=$AT$11:$AT$74)&gt;0),$B8,"")</f>
        <v/>
      </c>
      <c r="R8" s="84" t="str">
        <f t="array" aca="1" ref="R8" ca="1">IF(OR((R$4&gt;=$AS$11:$AS$74)*(R$4&lt;=$AT$11:$AT$74)&gt;0),$B8,"")</f>
        <v/>
      </c>
      <c r="S8" s="84" t="str">
        <f t="array" aca="1" ref="S8" ca="1">IF(OR((S$4&gt;=$AS$11:$AS$74)*(S$4&lt;=$AT$11:$AT$74)&gt;0),$B8,"")</f>
        <v/>
      </c>
      <c r="T8" s="84" t="str">
        <f t="array" aca="1" ref="T8" ca="1">IF(OR((T$4&gt;=$AS$11:$AS$74)*(T$4&lt;=$AT$11:$AT$74)&gt;0),$B8,"")</f>
        <v/>
      </c>
      <c r="U8" s="84" t="str">
        <f t="array" aca="1" ref="U8" ca="1">IF(OR((U$4&gt;=$AS$11:$AS$74)*(U$4&lt;=$AT$11:$AT$74)&gt;0),$B8,"")</f>
        <v/>
      </c>
      <c r="V8" s="84" t="str">
        <f t="array" aca="1" ref="V8" ca="1">IF(OR((V$4&gt;=$AS$11:$AS$74)*(V$4&lt;=$AT$11:$AT$74)&gt;0),$B8,"")</f>
        <v/>
      </c>
      <c r="W8" s="84" t="str">
        <f t="array" aca="1" ref="W8" ca="1">IF(OR((W$4&gt;=$AS$11:$AS$74)*(W$4&lt;=$AT$11:$AT$74)&gt;0),$B8,"")</f>
        <v/>
      </c>
      <c r="X8" s="84" t="str">
        <f t="array" aca="1" ref="X8" ca="1">IF(OR((X$4&gt;=$AS$11:$AS$74)*(X$4&lt;=$AT$11:$AT$74)&gt;0),$B8,"")</f>
        <v/>
      </c>
      <c r="Y8" s="84" t="str">
        <f t="array" aca="1" ref="Y8" ca="1">IF(OR((Y$4&gt;=$AS$11:$AS$74)*(Y$4&lt;=$AT$11:$AT$74)&gt;0),$B8,"")</f>
        <v/>
      </c>
      <c r="Z8" s="84" t="str">
        <f t="array" aca="1" ref="Z8" ca="1">IF(OR((Z$4&gt;=$AS$11:$AS$74)*(Z$4&lt;=$AT$11:$AT$74)&gt;0),$B8,"")</f>
        <v/>
      </c>
      <c r="AA8" s="84" t="str">
        <f t="array" aca="1" ref="AA8" ca="1">IF(OR((AA$4&gt;=$AS$11:$AS$74)*(AA$4&lt;=$AT$11:$AT$74)&gt;0),$B8,"")</f>
        <v/>
      </c>
      <c r="AB8" s="84" t="str">
        <f t="array" aca="1" ref="AB8" ca="1">IF(OR((AB$4&gt;=$AS$11:$AS$74)*(AB$4&lt;=$AT$11:$AT$74)&gt;0),$B8,"")</f>
        <v/>
      </c>
      <c r="AC8" s="84" t="str">
        <f t="array" aca="1" ref="AC8" ca="1">IF(OR((AC$4&gt;=$AS$11:$AS$74)*(AC$4&lt;=$AT$11:$AT$74)&gt;0),$B8,"")</f>
        <v/>
      </c>
      <c r="AD8" s="84" t="str">
        <f t="array" aca="1" ref="AD8" ca="1">IF(OR((AD$4&gt;=$AS$11:$AS$74)*(AD$4&lt;=$AT$11:$AT$74)&gt;0),$B8,"")</f>
        <v/>
      </c>
      <c r="AE8" s="84" t="str">
        <f t="array" aca="1" ref="AE8" ca="1">IF(OR((AE$4&gt;=$AS$11:$AS$74)*(AE$4&lt;=$AT$11:$AT$74)&gt;0),$B8,"")</f>
        <v/>
      </c>
      <c r="AF8" s="84" t="str">
        <f t="array" aca="1" ref="AF8" ca="1">IF(OR((AF$4&gt;=$AS$11:$AS$74)*(AF$4&lt;=$AT$11:$AT$74)&gt;0),$B8,"")</f>
        <v/>
      </c>
      <c r="AG8" s="84" t="str">
        <f t="array" aca="1" ref="AG8" ca="1">IF(OR((AG$4&gt;=$AS$11:$AS$74)*(AG$4&lt;=$AT$11:$AT$74)&gt;0),$B8,"")</f>
        <v/>
      </c>
      <c r="AH8" s="84" t="str">
        <f t="array" aca="1" ref="AH8" ca="1">IF(OR((AH$4&gt;=$AS$11:$AS$74)*(AH$4&lt;=$AT$11:$AT$74)&gt;0),$B8,"")</f>
        <v/>
      </c>
      <c r="AI8" s="84" t="str">
        <f t="array" aca="1" ref="AI8" ca="1">IF(OR((AI$4&gt;=$AS$11:$AS$74)*(AI$4&lt;=$AT$11:$AT$74)&gt;0),$B8,"")</f>
        <v/>
      </c>
      <c r="AN8" s="126"/>
      <c r="AO8" s="126"/>
      <c r="AP8" s="126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</row>
    <row r="9" spans="1:58">
      <c r="A9" s="75" t="s">
        <v>162</v>
      </c>
      <c r="B9" s="74">
        <v>4</v>
      </c>
      <c r="C9" s="84" t="str">
        <f t="array" aca="1" ref="C9" ca="1">IF(OR((C$4&gt;=$AS$11:$AS$74)*(C$4&lt;=$AT$11:$AT$74)&gt;0),$B9,"")</f>
        <v/>
      </c>
      <c r="D9" s="84" t="str">
        <f t="array" aca="1" ref="D9" ca="1">IF(OR((D$4&gt;=$AS$11:$AS$74)*(D$4&lt;=$AT$11:$AT$74)&gt;0),$B9,"")</f>
        <v/>
      </c>
      <c r="E9" s="84" t="str">
        <f t="array" aca="1" ref="E9" ca="1">IF(OR((E$4&gt;=$AS$11:$AS$74)*(E$4&lt;=$AT$11:$AT$74)&gt;0),$B9,"")</f>
        <v/>
      </c>
      <c r="F9" s="84" t="str">
        <f t="array" aca="1" ref="F9" ca="1">IF(OR((F$4&gt;=$AS$11:$AS$74)*(F$4&lt;=$AT$11:$AT$74)&gt;0),$B9,"")</f>
        <v/>
      </c>
      <c r="G9" s="84" t="str">
        <f t="array" aca="1" ref="G9" ca="1">IF(OR((G$4&gt;=$AS$11:$AS$74)*(G$4&lt;=$AT$11:$AT$74)&gt;0),$B9,"")</f>
        <v/>
      </c>
      <c r="H9" s="84" t="str">
        <f t="array" aca="1" ref="H9" ca="1">IF(OR((H$4&gt;=$AS$11:$AS$74)*(H$4&lt;=$AT$11:$AT$74)&gt;0),$B9,"")</f>
        <v/>
      </c>
      <c r="I9" s="84" t="str">
        <f t="array" aca="1" ref="I9" ca="1">IF(OR((I$4&gt;=$AS$11:$AS$74)*(I$4&lt;=$AT$11:$AT$74)&gt;0),$B9,"")</f>
        <v/>
      </c>
      <c r="J9" s="84" t="str">
        <f t="array" aca="1" ref="J9" ca="1">IF(OR((J$4&gt;=$AS$11:$AS$74)*(J$4&lt;=$AT$11:$AT$74)&gt;0),$B9,"")</f>
        <v/>
      </c>
      <c r="K9" s="84" t="str">
        <f t="array" aca="1" ref="K9" ca="1">IF(OR((K$4&gt;=$AS$11:$AS$74)*(K$4&lt;=$AT$11:$AT$74)&gt;0),$B9,"")</f>
        <v/>
      </c>
      <c r="L9" s="84" t="str">
        <f t="array" aca="1" ref="L9" ca="1">IF(OR((L$4&gt;=$AS$11:$AS$74)*(L$4&lt;=$AT$11:$AT$74)&gt;0),$B9,"")</f>
        <v/>
      </c>
      <c r="M9" s="84" t="str">
        <f t="array" aca="1" ref="M9" ca="1">IF(OR((M$4&gt;=$AS$11:$AS$74)*(M$4&lt;=$AT$11:$AT$74)&gt;0),$B9,"")</f>
        <v/>
      </c>
      <c r="N9" s="84" t="str">
        <f t="array" aca="1" ref="N9" ca="1">IF(OR((N$4&gt;=$AS$11:$AS$74)*(N$4&lt;=$AT$11:$AT$74)&gt;0),$B9,"")</f>
        <v/>
      </c>
      <c r="O9" s="84" t="str">
        <f t="array" aca="1" ref="O9" ca="1">IF(OR((O$4&gt;=$AS$11:$AS$74)*(O$4&lt;=$AT$11:$AT$74)&gt;0),$B9,"")</f>
        <v/>
      </c>
      <c r="P9" s="84" t="str">
        <f t="array" aca="1" ref="P9" ca="1">IF(OR((P$4&gt;=$AS$11:$AS$74)*(P$4&lt;=$AT$11:$AT$74)&gt;0),$B9,"")</f>
        <v/>
      </c>
      <c r="Q9" s="84" t="str">
        <f t="array" aca="1" ref="Q9" ca="1">IF(OR((Q$4&gt;=$AS$11:$AS$74)*(Q$4&lt;=$AT$11:$AT$74)&gt;0),$B9,"")</f>
        <v/>
      </c>
      <c r="R9" s="84" t="str">
        <f t="array" aca="1" ref="R9" ca="1">IF(OR((R$4&gt;=$AS$11:$AS$74)*(R$4&lt;=$AT$11:$AT$74)&gt;0),$B9,"")</f>
        <v/>
      </c>
      <c r="S9" s="84" t="str">
        <f t="array" aca="1" ref="S9" ca="1">IF(OR((S$4&gt;=$AS$11:$AS$74)*(S$4&lt;=$AT$11:$AT$74)&gt;0),$B9,"")</f>
        <v/>
      </c>
      <c r="T9" s="84" t="str">
        <f t="array" aca="1" ref="T9" ca="1">IF(OR((T$4&gt;=$AS$11:$AS$74)*(T$4&lt;=$AT$11:$AT$74)&gt;0),$B9,"")</f>
        <v/>
      </c>
      <c r="U9" s="84" t="str">
        <f t="array" aca="1" ref="U9" ca="1">IF(OR((U$4&gt;=$AS$11:$AS$74)*(U$4&lt;=$AT$11:$AT$74)&gt;0),$B9,"")</f>
        <v/>
      </c>
      <c r="V9" s="84" t="str">
        <f t="array" aca="1" ref="V9" ca="1">IF(OR((V$4&gt;=$AS$11:$AS$74)*(V$4&lt;=$AT$11:$AT$74)&gt;0),$B9,"")</f>
        <v/>
      </c>
      <c r="W9" s="84" t="str">
        <f t="array" aca="1" ref="W9" ca="1">IF(OR((W$4&gt;=$AS$11:$AS$74)*(W$4&lt;=$AT$11:$AT$74)&gt;0),$B9,"")</f>
        <v/>
      </c>
      <c r="X9" s="84" t="str">
        <f t="array" aca="1" ref="X9" ca="1">IF(OR((X$4&gt;=$AS$11:$AS$74)*(X$4&lt;=$AT$11:$AT$74)&gt;0),$B9,"")</f>
        <v/>
      </c>
      <c r="Y9" s="84" t="str">
        <f t="array" aca="1" ref="Y9" ca="1">IF(OR((Y$4&gt;=$AS$11:$AS$74)*(Y$4&lt;=$AT$11:$AT$74)&gt;0),$B9,"")</f>
        <v/>
      </c>
      <c r="Z9" s="84" t="str">
        <f t="array" aca="1" ref="Z9" ca="1">IF(OR((Z$4&gt;=$AS$11:$AS$74)*(Z$4&lt;=$AT$11:$AT$74)&gt;0),$B9,"")</f>
        <v/>
      </c>
      <c r="AA9" s="84" t="str">
        <f t="array" aca="1" ref="AA9" ca="1">IF(OR((AA$4&gt;=$AS$11:$AS$74)*(AA$4&lt;=$AT$11:$AT$74)&gt;0),$B9,"")</f>
        <v/>
      </c>
      <c r="AB9" s="84" t="str">
        <f t="array" aca="1" ref="AB9" ca="1">IF(OR((AB$4&gt;=$AS$11:$AS$74)*(AB$4&lt;=$AT$11:$AT$74)&gt;0),$B9,"")</f>
        <v/>
      </c>
      <c r="AC9" s="84" t="str">
        <f t="array" aca="1" ref="AC9" ca="1">IF(OR((AC$4&gt;=$AS$11:$AS$74)*(AC$4&lt;=$AT$11:$AT$74)&gt;0),$B9,"")</f>
        <v/>
      </c>
      <c r="AD9" s="84" t="str">
        <f t="array" aca="1" ref="AD9" ca="1">IF(OR((AD$4&gt;=$AS$11:$AS$74)*(AD$4&lt;=$AT$11:$AT$74)&gt;0),$B9,"")</f>
        <v/>
      </c>
      <c r="AE9" s="84" t="str">
        <f t="array" aca="1" ref="AE9" ca="1">IF(OR((AE$4&gt;=$AS$11:$AS$74)*(AE$4&lt;=$AT$11:$AT$74)&gt;0),$B9,"")</f>
        <v/>
      </c>
      <c r="AF9" s="84" t="str">
        <f t="array" aca="1" ref="AF9" ca="1">IF(OR((AF$4&gt;=$AS$11:$AS$74)*(AF$4&lt;=$AT$11:$AT$74)&gt;0),$B9,"")</f>
        <v/>
      </c>
      <c r="AG9" s="84" t="str">
        <f t="array" aca="1" ref="AG9" ca="1">IF(OR((AG$4&gt;=$AS$11:$AS$74)*(AG$4&lt;=$AT$11:$AT$74)&gt;0),$B9,"")</f>
        <v/>
      </c>
      <c r="AH9" s="84" t="str">
        <f t="array" aca="1" ref="AH9" ca="1">IF(OR((AH$4&gt;=$AS$11:$AS$74)*(AH$4&lt;=$AT$11:$AT$74)&gt;0),$B9,"")</f>
        <v/>
      </c>
      <c r="AI9" s="84" t="str">
        <f t="array" aca="1" ref="AI9" ca="1">IF(OR((AI$4&gt;=$AS$11:$AS$74)*(AI$4&lt;=$AT$11:$AT$74)&gt;0),$B9,"")</f>
        <v/>
      </c>
      <c r="AN9" s="126"/>
      <c r="AO9" s="126"/>
      <c r="AP9" s="126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</row>
    <row r="10" spans="1:58">
      <c r="A10" s="75" t="s">
        <v>163</v>
      </c>
      <c r="B10" s="74">
        <v>4</v>
      </c>
      <c r="C10" s="84" t="str">
        <f t="array" aca="1" ref="C10" ca="1">IF(OR((C$4&gt;=$AS$11:$AS$74)*(C$4&lt;=$AT$11:$AT$74)&gt;0),$B10,"")</f>
        <v/>
      </c>
      <c r="D10" s="84" t="str">
        <f t="array" aca="1" ref="D10" ca="1">IF(OR((D$4&gt;=$AS$11:$AS$74)*(D$4&lt;=$AT$11:$AT$74)&gt;0),$B10,"")</f>
        <v/>
      </c>
      <c r="E10" s="84" t="str">
        <f t="array" aca="1" ref="E10" ca="1">IF(OR((E$4&gt;=$AS$11:$AS$74)*(E$4&lt;=$AT$11:$AT$74)&gt;0),$B10,"")</f>
        <v/>
      </c>
      <c r="F10" s="84" t="str">
        <f t="array" aca="1" ref="F10" ca="1">IF(OR((F$4&gt;=$AS$11:$AS$74)*(F$4&lt;=$AT$11:$AT$74)&gt;0),$B10,"")</f>
        <v/>
      </c>
      <c r="G10" s="84" t="str">
        <f t="array" aca="1" ref="G10" ca="1">IF(OR((G$4&gt;=$AS$11:$AS$74)*(G$4&lt;=$AT$11:$AT$74)&gt;0),$B10,"")</f>
        <v/>
      </c>
      <c r="H10" s="84" t="str">
        <f t="array" aca="1" ref="H10" ca="1">IF(OR((H$4&gt;=$AS$11:$AS$74)*(H$4&lt;=$AT$11:$AT$74)&gt;0),$B10,"")</f>
        <v/>
      </c>
      <c r="I10" s="84" t="str">
        <f t="array" aca="1" ref="I10" ca="1">IF(OR((I$4&gt;=$AS$11:$AS$74)*(I$4&lt;=$AT$11:$AT$74)&gt;0),$B10,"")</f>
        <v/>
      </c>
      <c r="J10" s="84" t="str">
        <f t="array" aca="1" ref="J10" ca="1">IF(OR((J$4&gt;=$AS$11:$AS$74)*(J$4&lt;=$AT$11:$AT$74)&gt;0),$B10,"")</f>
        <v/>
      </c>
      <c r="K10" s="84" t="str">
        <f t="array" aca="1" ref="K10" ca="1">IF(OR((K$4&gt;=$AS$11:$AS$74)*(K$4&lt;=$AT$11:$AT$74)&gt;0),$B10,"")</f>
        <v/>
      </c>
      <c r="L10" s="84" t="str">
        <f t="array" aca="1" ref="L10" ca="1">IF(OR((L$4&gt;=$AS$11:$AS$74)*(L$4&lt;=$AT$11:$AT$74)&gt;0),$B10,"")</f>
        <v/>
      </c>
      <c r="M10" s="84" t="str">
        <f t="array" aca="1" ref="M10" ca="1">IF(OR((M$4&gt;=$AS$11:$AS$74)*(M$4&lt;=$AT$11:$AT$74)&gt;0),$B10,"")</f>
        <v/>
      </c>
      <c r="N10" s="84" t="str">
        <f t="array" aca="1" ref="N10" ca="1">IF(OR((N$4&gt;=$AS$11:$AS$74)*(N$4&lt;=$AT$11:$AT$74)&gt;0),$B10,"")</f>
        <v/>
      </c>
      <c r="O10" s="84" t="str">
        <f t="array" aca="1" ref="O10" ca="1">IF(OR((O$4&gt;=$AS$11:$AS$74)*(O$4&lt;=$AT$11:$AT$74)&gt;0),$B10,"")</f>
        <v/>
      </c>
      <c r="P10" s="84" t="str">
        <f t="array" aca="1" ref="P10" ca="1">IF(OR((P$4&gt;=$AS$11:$AS$74)*(P$4&lt;=$AT$11:$AT$74)&gt;0),$B10,"")</f>
        <v/>
      </c>
      <c r="Q10" s="84" t="str">
        <f t="array" aca="1" ref="Q10" ca="1">IF(OR((Q$4&gt;=$AS$11:$AS$74)*(Q$4&lt;=$AT$11:$AT$74)&gt;0),$B10,"")</f>
        <v/>
      </c>
      <c r="R10" s="84" t="str">
        <f t="array" aca="1" ref="R10" ca="1">IF(OR((R$4&gt;=$AS$11:$AS$74)*(R$4&lt;=$AT$11:$AT$74)&gt;0),$B10,"")</f>
        <v/>
      </c>
      <c r="S10" s="84" t="str">
        <f t="array" aca="1" ref="S10" ca="1">IF(OR((S$4&gt;=$AS$11:$AS$74)*(S$4&lt;=$AT$11:$AT$74)&gt;0),$B10,"")</f>
        <v/>
      </c>
      <c r="T10" s="84" t="str">
        <f t="array" aca="1" ref="T10" ca="1">IF(OR((T$4&gt;=$AS$11:$AS$74)*(T$4&lt;=$AT$11:$AT$74)&gt;0),$B10,"")</f>
        <v/>
      </c>
      <c r="U10" s="84" t="str">
        <f t="array" aca="1" ref="U10" ca="1">IF(OR((U$4&gt;=$AS$11:$AS$74)*(U$4&lt;=$AT$11:$AT$74)&gt;0),$B10,"")</f>
        <v/>
      </c>
      <c r="V10" s="84" t="str">
        <f t="array" aca="1" ref="V10" ca="1">IF(OR((V$4&gt;=$AS$11:$AS$74)*(V$4&lt;=$AT$11:$AT$74)&gt;0),$B10,"")</f>
        <v/>
      </c>
      <c r="W10" s="84" t="str">
        <f t="array" aca="1" ref="W10" ca="1">IF(OR((W$4&gt;=$AS$11:$AS$74)*(W$4&lt;=$AT$11:$AT$74)&gt;0),$B10,"")</f>
        <v/>
      </c>
      <c r="X10" s="84" t="str">
        <f t="array" aca="1" ref="X10" ca="1">IF(OR((X$4&gt;=$AS$11:$AS$74)*(X$4&lt;=$AT$11:$AT$74)&gt;0),$B10,"")</f>
        <v/>
      </c>
      <c r="Y10" s="84" t="str">
        <f t="array" aca="1" ref="Y10" ca="1">IF(OR((Y$4&gt;=$AS$11:$AS$74)*(Y$4&lt;=$AT$11:$AT$74)&gt;0),$B10,"")</f>
        <v/>
      </c>
      <c r="Z10" s="84" t="str">
        <f t="array" aca="1" ref="Z10" ca="1">IF(OR((Z$4&gt;=$AS$11:$AS$74)*(Z$4&lt;=$AT$11:$AT$74)&gt;0),$B10,"")</f>
        <v/>
      </c>
      <c r="AA10" s="84" t="str">
        <f t="array" aca="1" ref="AA10" ca="1">IF(OR((AA$4&gt;=$AS$11:$AS$74)*(AA$4&lt;=$AT$11:$AT$74)&gt;0),$B10,"")</f>
        <v/>
      </c>
      <c r="AB10" s="84" t="str">
        <f t="array" aca="1" ref="AB10" ca="1">IF(OR((AB$4&gt;=$AS$11:$AS$74)*(AB$4&lt;=$AT$11:$AT$74)&gt;0),$B10,"")</f>
        <v/>
      </c>
      <c r="AC10" s="84" t="str">
        <f t="array" aca="1" ref="AC10" ca="1">IF(OR((AC$4&gt;=$AS$11:$AS$74)*(AC$4&lt;=$AT$11:$AT$74)&gt;0),$B10,"")</f>
        <v/>
      </c>
      <c r="AD10" s="84" t="str">
        <f t="array" aca="1" ref="AD10" ca="1">IF(OR((AD$4&gt;=$AS$11:$AS$74)*(AD$4&lt;=$AT$11:$AT$74)&gt;0),$B10,"")</f>
        <v/>
      </c>
      <c r="AE10" s="84" t="str">
        <f t="array" aca="1" ref="AE10" ca="1">IF(OR((AE$4&gt;=$AS$11:$AS$74)*(AE$4&lt;=$AT$11:$AT$74)&gt;0),$B10,"")</f>
        <v/>
      </c>
      <c r="AF10" s="84" t="str">
        <f t="array" aca="1" ref="AF10" ca="1">IF(OR((AF$4&gt;=$AS$11:$AS$74)*(AF$4&lt;=$AT$11:$AT$74)&gt;0),$B10,"")</f>
        <v/>
      </c>
      <c r="AG10" s="84" t="str">
        <f t="array" aca="1" ref="AG10" ca="1">IF(OR((AG$4&gt;=$AS$11:$AS$74)*(AG$4&lt;=$AT$11:$AT$74)&gt;0),$B10,"")</f>
        <v/>
      </c>
      <c r="AH10" s="84" t="str">
        <f t="array" aca="1" ref="AH10" ca="1">IF(OR((AH$4&gt;=$AS$11:$AS$74)*(AH$4&lt;=$AT$11:$AT$74)&gt;0),$B10,"")</f>
        <v/>
      </c>
      <c r="AI10" s="84" t="str">
        <f t="array" aca="1" ref="AI10" ca="1">IF(OR((AI$4&gt;=$AS$11:$AS$74)*(AI$4&lt;=$AT$11:$AT$74)&gt;0),$B10,"")</f>
        <v/>
      </c>
      <c r="AM10" t="s">
        <v>151</v>
      </c>
      <c r="AN10" t="s">
        <v>152</v>
      </c>
      <c r="AO10" t="s">
        <v>153</v>
      </c>
      <c r="AP10" t="s">
        <v>151</v>
      </c>
      <c r="AQ10" t="s">
        <v>152</v>
      </c>
      <c r="AR10" t="s">
        <v>153</v>
      </c>
      <c r="AS10" t="s">
        <v>152</v>
      </c>
      <c r="AT10" t="s">
        <v>153</v>
      </c>
      <c r="AU10" t="s">
        <v>152</v>
      </c>
      <c r="AV10" t="s">
        <v>153</v>
      </c>
      <c r="AW10" t="s">
        <v>152</v>
      </c>
      <c r="AX10" t="s">
        <v>153</v>
      </c>
      <c r="AY10" t="s">
        <v>152</v>
      </c>
      <c r="AZ10" t="s">
        <v>153</v>
      </c>
      <c r="BA10" t="s">
        <v>152</v>
      </c>
      <c r="BB10" t="s">
        <v>153</v>
      </c>
      <c r="BC10" t="s">
        <v>152</v>
      </c>
      <c r="BD10" t="s">
        <v>153</v>
      </c>
      <c r="BE10" t="s">
        <v>152</v>
      </c>
      <c r="BF10" t="s">
        <v>153</v>
      </c>
    </row>
    <row r="11" spans="1:58">
      <c r="A11" s="75" t="s">
        <v>164</v>
      </c>
      <c r="B11" s="74">
        <v>8</v>
      </c>
      <c r="C11" s="84" t="str">
        <f t="array" aca="1" ref="C11" ca="1">IF(OR((C$4&gt;=$AS$11:$AS$74)*(C$4&lt;=$AT$11:$AT$74)&gt;0),$B11,"")</f>
        <v/>
      </c>
      <c r="D11" s="84" t="str">
        <f t="array" aca="1" ref="D11" ca="1">IF(OR((D$4&gt;=$AS$11:$AS$74)*(D$4&lt;=$AT$11:$AT$74)&gt;0),$B11,"")</f>
        <v/>
      </c>
      <c r="E11" s="84" t="str">
        <f t="array" aca="1" ref="E11" ca="1">IF(OR((E$4&gt;=$AS$11:$AS$74)*(E$4&lt;=$AT$11:$AT$74)&gt;0),$B11,"")</f>
        <v/>
      </c>
      <c r="F11" s="84" t="str">
        <f t="array" aca="1" ref="F11" ca="1">IF(OR((F$4&gt;=$AS$11:$AS$74)*(F$4&lt;=$AT$11:$AT$74)&gt;0),$B11,"")</f>
        <v/>
      </c>
      <c r="G11" s="84" t="str">
        <f t="array" aca="1" ref="G11" ca="1">IF(OR((G$4&gt;=$AS$11:$AS$74)*(G$4&lt;=$AT$11:$AT$74)&gt;0),$B11,"")</f>
        <v/>
      </c>
      <c r="H11" s="84" t="str">
        <f t="array" aca="1" ref="H11" ca="1">IF(OR((H$4&gt;=$AS$11:$AS$74)*(H$4&lt;=$AT$11:$AT$74)&gt;0),$B11,"")</f>
        <v/>
      </c>
      <c r="I11" s="84" t="str">
        <f t="array" aca="1" ref="I11" ca="1">IF(OR((I$4&gt;=$AS$11:$AS$74)*(I$4&lt;=$AT$11:$AT$74)&gt;0),$B11,"")</f>
        <v/>
      </c>
      <c r="J11" s="84" t="str">
        <f t="array" aca="1" ref="J11" ca="1">IF(OR((J$4&gt;=$AS$11:$AS$74)*(J$4&lt;=$AT$11:$AT$74)&gt;0),$B11,"")</f>
        <v/>
      </c>
      <c r="K11" s="84" t="str">
        <f t="array" aca="1" ref="K11" ca="1">IF(OR((K$4&gt;=$AS$11:$AS$74)*(K$4&lt;=$AT$11:$AT$74)&gt;0),$B11,"")</f>
        <v/>
      </c>
      <c r="L11" s="84" t="str">
        <f t="array" aca="1" ref="L11" ca="1">IF(OR((L$4&gt;=$AS$11:$AS$74)*(L$4&lt;=$AT$11:$AT$74)&gt;0),$B11,"")</f>
        <v/>
      </c>
      <c r="M11" s="84" t="str">
        <f t="array" aca="1" ref="M11" ca="1">IF(OR((M$4&gt;=$AS$11:$AS$74)*(M$4&lt;=$AT$11:$AT$74)&gt;0),$B11,"")</f>
        <v/>
      </c>
      <c r="N11" s="84" t="str">
        <f t="array" aca="1" ref="N11" ca="1">IF(OR((N$4&gt;=$AS$11:$AS$74)*(N$4&lt;=$AT$11:$AT$74)&gt;0),$B11,"")</f>
        <v/>
      </c>
      <c r="O11" s="84" t="str">
        <f t="array" aca="1" ref="O11" ca="1">IF(OR((O$4&gt;=$AS$11:$AS$74)*(O$4&lt;=$AT$11:$AT$74)&gt;0),$B11,"")</f>
        <v/>
      </c>
      <c r="P11" s="84" t="str">
        <f t="array" aca="1" ref="P11" ca="1">IF(OR((P$4&gt;=$AS$11:$AS$74)*(P$4&lt;=$AT$11:$AT$74)&gt;0),$B11,"")</f>
        <v/>
      </c>
      <c r="Q11" s="84" t="str">
        <f t="array" aca="1" ref="Q11" ca="1">IF(OR((Q$4&gt;=$AS$11:$AS$74)*(Q$4&lt;=$AT$11:$AT$74)&gt;0),$B11,"")</f>
        <v/>
      </c>
      <c r="R11" s="84" t="str">
        <f t="array" aca="1" ref="R11" ca="1">IF(OR((R$4&gt;=$AS$11:$AS$74)*(R$4&lt;=$AT$11:$AT$74)&gt;0),$B11,"")</f>
        <v/>
      </c>
      <c r="S11" s="84" t="str">
        <f t="array" aca="1" ref="S11" ca="1">IF(OR((S$4&gt;=$AS$11:$AS$74)*(S$4&lt;=$AT$11:$AT$74)&gt;0),$B11,"")</f>
        <v/>
      </c>
      <c r="T11" s="84" t="str">
        <f t="array" aca="1" ref="T11" ca="1">IF(OR((T$4&gt;=$AS$11:$AS$74)*(T$4&lt;=$AT$11:$AT$74)&gt;0),$B11,"")</f>
        <v/>
      </c>
      <c r="U11" s="84" t="str">
        <f t="array" aca="1" ref="U11" ca="1">IF(OR((U$4&gt;=$AS$11:$AS$74)*(U$4&lt;=$AT$11:$AT$74)&gt;0),$B11,"")</f>
        <v/>
      </c>
      <c r="V11" s="84" t="str">
        <f t="array" aca="1" ref="V11" ca="1">IF(OR((V$4&gt;=$AS$11:$AS$74)*(V$4&lt;=$AT$11:$AT$74)&gt;0),$B11,"")</f>
        <v/>
      </c>
      <c r="W11" s="84" t="str">
        <f t="array" aca="1" ref="W11" ca="1">IF(OR((W$4&gt;=$AS$11:$AS$74)*(W$4&lt;=$AT$11:$AT$74)&gt;0),$B11,"")</f>
        <v/>
      </c>
      <c r="X11" s="84" t="str">
        <f t="array" aca="1" ref="X11" ca="1">IF(OR((X$4&gt;=$AS$11:$AS$74)*(X$4&lt;=$AT$11:$AT$74)&gt;0),$B11,"")</f>
        <v/>
      </c>
      <c r="Y11" s="84" t="str">
        <f t="array" aca="1" ref="Y11" ca="1">IF(OR((Y$4&gt;=$AS$11:$AS$74)*(Y$4&lt;=$AT$11:$AT$74)&gt;0),$B11,"")</f>
        <v/>
      </c>
      <c r="Z11" s="84" t="str">
        <f t="array" aca="1" ref="Z11" ca="1">IF(OR((Z$4&gt;=$AS$11:$AS$74)*(Z$4&lt;=$AT$11:$AT$74)&gt;0),$B11,"")</f>
        <v/>
      </c>
      <c r="AA11" s="84" t="str">
        <f t="array" aca="1" ref="AA11" ca="1">IF(OR((AA$4&gt;=$AS$11:$AS$74)*(AA$4&lt;=$AT$11:$AT$74)&gt;0),$B11,"")</f>
        <v/>
      </c>
      <c r="AB11" s="84" t="str">
        <f t="array" aca="1" ref="AB11" ca="1">IF(OR((AB$4&gt;=$AS$11:$AS$74)*(AB$4&lt;=$AT$11:$AT$74)&gt;0),$B11,"")</f>
        <v/>
      </c>
      <c r="AC11" s="84" t="str">
        <f t="array" aca="1" ref="AC11" ca="1">IF(OR((AC$4&gt;=$AS$11:$AS$74)*(AC$4&lt;=$AT$11:$AT$74)&gt;0),$B11,"")</f>
        <v/>
      </c>
      <c r="AD11" s="84" t="str">
        <f t="array" aca="1" ref="AD11" ca="1">IF(OR((AD$4&gt;=$AS$11:$AS$74)*(AD$4&lt;=$AT$11:$AT$74)&gt;0),$B11,"")</f>
        <v/>
      </c>
      <c r="AE11" s="84" t="str">
        <f t="array" aca="1" ref="AE11" ca="1">IF(OR((AE$4&gt;=$AS$11:$AS$74)*(AE$4&lt;=$AT$11:$AT$74)&gt;0),$B11,"")</f>
        <v/>
      </c>
      <c r="AF11" s="84" t="str">
        <f t="array" aca="1" ref="AF11" ca="1">IF(OR((AF$4&gt;=$AS$11:$AS$74)*(AF$4&lt;=$AT$11:$AT$74)&gt;0),$B11,"")</f>
        <v/>
      </c>
      <c r="AG11" s="84" t="str">
        <f t="array" aca="1" ref="AG11" ca="1">IF(OR((AG$4&gt;=$AS$11:$AS$74)*(AG$4&lt;=$AT$11:$AT$74)&gt;0),$B11,"")</f>
        <v/>
      </c>
      <c r="AH11" s="84" t="str">
        <f t="array" aca="1" ref="AH11" ca="1">IF(OR((AH$4&gt;=$AS$11:$AS$74)*(AH$4&lt;=$AT$11:$AT$74)&gt;0),$B11,"")</f>
        <v/>
      </c>
      <c r="AI11" s="84" t="str">
        <f t="array" aca="1" ref="AI11" ca="1">IF(OR((AI$4&gt;=$AS$11:$AS$74)*(AI$4&lt;=$AT$11:$AT$74)&gt;0),$B11,"")</f>
        <v/>
      </c>
      <c r="AK11" s="190" t="s">
        <v>214</v>
      </c>
      <c r="AL11">
        <v>1</v>
      </c>
      <c r="AM11" t="str">
        <f t="array" aca="1" ref="AM11" ca="1">IFERROR(OFFSET('[1](Fill In) SIAO'!$A$1,SMALL(IF(Signals="Y",ROW(Signals)),AL11)-1,COLUMN(Conducts)-1),"")</f>
        <v/>
      </c>
      <c r="AN11" s="113" t="str">
        <f t="array" aca="1" ref="AN11" ca="1">IFERROR(OFFSET('[1](Fill In) SIAO'!$A$1,SMALL(IF(Signals="Y",ROW(Signals)),AL11)-1,COLUMN(StartDate)-1),"")</f>
        <v/>
      </c>
      <c r="AO11" s="113" t="str">
        <f t="array" aca="1" ref="AO11" ca="1">IFERROR(OFFSET('[1](Fill In) SIAO'!$A$1,SMALL(IF(Signals="Y",ROW(Signals)),AL11)-1,COLUMN(EndDate)-1),"")</f>
        <v/>
      </c>
      <c r="AP11" s="113" t="str">
        <f t="array" aca="1" ref="AP11" ca="1">IFERROR(OFFSET('[1](Fill In) SIAO'!$A$1,SMALL(IF(Optics="Y",ROW(Optics)),AL11)-1,COLUMN(Conducts)-1),"")</f>
        <v/>
      </c>
      <c r="AQ11" s="113" t="str">
        <f t="array" aca="1" ref="AQ11" ca="1">IFERROR(OFFSET('[1](Fill In) SIAO'!$A$1,SMALL(IF(Optics="Y",ROW(Optics)),AL11)-1,COLUMN(StartDate)-1),"")</f>
        <v/>
      </c>
      <c r="AR11" s="113" t="str">
        <f t="array" aca="1" ref="AR11" ca="1">IFERROR(OFFSET('[1](Fill In) SIAO'!$A$1,SMALL(IF(Optics="Y",ROW(Optics)),AL11)-1,COLUMN(EndDate)-1),"")</f>
        <v/>
      </c>
      <c r="AS11" s="113" t="str">
        <f t="array" aca="1" ref="AS11" ca="1">IFERROR(OFFSET('[1](Fill In) SIAO'!$A$1,SMALL(IF(ATMS="Y",ROW(ATMS)),AL11)-1,COLUMN(StartDate)-1),"")</f>
        <v/>
      </c>
      <c r="AT11" s="113" t="str">
        <f t="array" aca="1" ref="AT11" ca="1">IFERROR(OFFSET('[1](Fill In) SIAO'!$A$1,SMALL(IF(ATMS="Y",ROW(ATMS)),AL11)-1,COLUMN(EndDate)-1),"")</f>
        <v/>
      </c>
      <c r="AU11" s="113" t="str">
        <f t="array" aca="1" ref="AU11" ca="1">IFERROR(OFFSET('[1](Fill In) SIAO'!$A$1,SMALL(IF(UO="Y",ROW(UO)),AL11)-1,COLUMN(StartDate)-1),"")</f>
        <v/>
      </c>
      <c r="AV11" s="113" t="str">
        <f t="array" aca="1" ref="AV11" ca="1">IFERROR(OFFSET('[1](Fill In) SIAO'!$A$1,SMALL(IF(UO="Y",ROW(UO)),AL11)-1,COLUMN(EndDate)-1),"")</f>
        <v/>
      </c>
      <c r="AW11" s="113" t="str">
        <f t="array" aca="1" ref="AW11" ca="1">IFERROR(OFFSET('[1](Fill In) SIAO'!$A$1,SMALL(IF(HLT="Y",ROW(HLT)),AL11)-1,COLUMN(StartDate)-1),"")</f>
        <v/>
      </c>
      <c r="AX11" s="113" t="str">
        <f t="array" aca="1" ref="AX11" ca="1">IFERROR(OFFSET('[1](Fill In) SIAO'!$A$1,SMALL(IF(HLT="Y",ROW(HLT)),AL11)-1,COLUMN(EndDate)-1),"")</f>
        <v/>
      </c>
      <c r="AY11" s="113" t="str">
        <f t="array" aca="1" ref="AY11" ca="1">IFERROR(OFFSET('[1](Fill In) SIAO'!$A$1,SMALL(IF(PANTES="Y",ROW(PANTES)),AL11)-1,COLUMN(StartDate)-1),"")</f>
        <v/>
      </c>
      <c r="AZ11" s="113" t="str">
        <f t="array" aca="1" ref="AZ11" ca="1">IFERROR(OFFSET('[1](Fill In) SIAO'!$A$1,SMALL(IF(PANTES="Y",ROW(PANTES)),AL11)-1,COLUMN(EndDate)-1),"")</f>
        <v/>
      </c>
      <c r="BA11" s="113" t="str">
        <f t="array" aca="1" ref="BA11" ca="1">IFERROR(OFFSET('[1](Fill In) SIAO'!$A$1,SMALL(IF(Heli="Y",ROW(Heli)),AL11)-1,COLUMN(StartDate)-1),"")</f>
        <v/>
      </c>
      <c r="BB11" s="113" t="str">
        <f t="array" aca="1" ref="BB11" ca="1">IFERROR(OFFSET('[1](Fill In) SIAO'!$A$1,SMALL(IF(Heli="Y",ROW(Heli)),AL11)-1,COLUMN(EndDate)-1),"")</f>
        <v/>
      </c>
      <c r="BC11" s="113" t="str">
        <f t="array" aca="1" ref="BC11" ca="1">IFERROR(OFFSET('[1](Fill In) SIAO'!$A$1,SMALL(IF(MMR="Y",ROW(MMR)),AL11)-1,COLUMN(StartDate)-1),"")</f>
        <v/>
      </c>
      <c r="BD11" s="113" t="str">
        <f t="array" aca="1" ref="BD11" ca="1">IFERROR(OFFSET('[1](Fill In) SIAO'!$A$1,SMALL(IF(MMR="Y",ROW(MMR)),AL11)-1,COLUMN(EndDate)-1),"")</f>
        <v/>
      </c>
      <c r="BE11" s="113" t="str">
        <f t="array" aca="1" ref="BE11" ca="1">IFERROR(OFFSET('[1](Fill In) SIAO'!$A$1,SMALL(IF(POL="Y",ROW(POL)),AL11)-1,COLUMN(StartDate)-1),"")</f>
        <v/>
      </c>
      <c r="BF11" s="113" t="str">
        <f t="array" aca="1" ref="BF11" ca="1">IFERROR(OFFSET('[1](Fill In) SIAO'!$A$1,SMALL(IF(POL="Y",ROW(POL)),AL11)-1,COLUMN(EndDate)-1),"")</f>
        <v/>
      </c>
    </row>
    <row r="12" spans="1:58" ht="15" customHeight="1">
      <c r="A12" s="75" t="s">
        <v>165</v>
      </c>
      <c r="B12" s="74">
        <v>24</v>
      </c>
      <c r="C12" s="84" t="str">
        <f t="array" aca="1" ref="C12" ca="1">IF(OR((C$4&gt;=$AS$11:$AS$74)*(C$4&lt;=$AT$11:$AT$74)&gt;0),$B12,"")</f>
        <v/>
      </c>
      <c r="D12" s="84" t="str">
        <f t="array" aca="1" ref="D12" ca="1">IF(OR((D$4&gt;=$AS$11:$AS$74)*(D$4&lt;=$AT$11:$AT$74)&gt;0),$B12,"")</f>
        <v/>
      </c>
      <c r="E12" s="84" t="str">
        <f t="array" aca="1" ref="E12" ca="1">IF(OR((E$4&gt;=$AS$11:$AS$74)*(E$4&lt;=$AT$11:$AT$74)&gt;0),$B12,"")</f>
        <v/>
      </c>
      <c r="F12" s="84" t="str">
        <f t="array" aca="1" ref="F12" ca="1">IF(OR((F$4&gt;=$AS$11:$AS$74)*(F$4&lt;=$AT$11:$AT$74)&gt;0),$B12,"")</f>
        <v/>
      </c>
      <c r="G12" s="84" t="str">
        <f t="array" aca="1" ref="G12" ca="1">IF(OR((G$4&gt;=$AS$11:$AS$74)*(G$4&lt;=$AT$11:$AT$74)&gt;0),$B12,"")</f>
        <v/>
      </c>
      <c r="H12" s="84" t="str">
        <f t="array" aca="1" ref="H12" ca="1">IF(OR((H$4&gt;=$AS$11:$AS$74)*(H$4&lt;=$AT$11:$AT$74)&gt;0),$B12,"")</f>
        <v/>
      </c>
      <c r="I12" s="84" t="str">
        <f t="array" aca="1" ref="I12" ca="1">IF(OR((I$4&gt;=$AS$11:$AS$74)*(I$4&lt;=$AT$11:$AT$74)&gt;0),$B12,"")</f>
        <v/>
      </c>
      <c r="J12" s="84" t="str">
        <f t="array" aca="1" ref="J12" ca="1">IF(OR((J$4&gt;=$AS$11:$AS$74)*(J$4&lt;=$AT$11:$AT$74)&gt;0),$B12,"")</f>
        <v/>
      </c>
      <c r="K12" s="84" t="str">
        <f t="array" aca="1" ref="K12" ca="1">IF(OR((K$4&gt;=$AS$11:$AS$74)*(K$4&lt;=$AT$11:$AT$74)&gt;0),$B12,"")</f>
        <v/>
      </c>
      <c r="L12" s="84" t="str">
        <f t="array" aca="1" ref="L12" ca="1">IF(OR((L$4&gt;=$AS$11:$AS$74)*(L$4&lt;=$AT$11:$AT$74)&gt;0),$B12,"")</f>
        <v/>
      </c>
      <c r="M12" s="84" t="str">
        <f t="array" aca="1" ref="M12" ca="1">IF(OR((M$4&gt;=$AS$11:$AS$74)*(M$4&lt;=$AT$11:$AT$74)&gt;0),$B12,"")</f>
        <v/>
      </c>
      <c r="N12" s="84" t="str">
        <f t="array" aca="1" ref="N12" ca="1">IF(OR((N$4&gt;=$AS$11:$AS$74)*(N$4&lt;=$AT$11:$AT$74)&gt;0),$B12,"")</f>
        <v/>
      </c>
      <c r="O12" s="84" t="str">
        <f t="array" aca="1" ref="O12" ca="1">IF(OR((O$4&gt;=$AS$11:$AS$74)*(O$4&lt;=$AT$11:$AT$74)&gt;0),$B12,"")</f>
        <v/>
      </c>
      <c r="P12" s="84" t="str">
        <f t="array" aca="1" ref="P12" ca="1">IF(OR((P$4&gt;=$AS$11:$AS$74)*(P$4&lt;=$AT$11:$AT$74)&gt;0),$B12,"")</f>
        <v/>
      </c>
      <c r="Q12" s="84" t="str">
        <f t="array" aca="1" ref="Q12" ca="1">IF(OR((Q$4&gt;=$AS$11:$AS$74)*(Q$4&lt;=$AT$11:$AT$74)&gt;0),$B12,"")</f>
        <v/>
      </c>
      <c r="R12" s="84" t="str">
        <f t="array" aca="1" ref="R12" ca="1">IF(OR((R$4&gt;=$AS$11:$AS$74)*(R$4&lt;=$AT$11:$AT$74)&gt;0),$B12,"")</f>
        <v/>
      </c>
      <c r="S12" s="84" t="str">
        <f t="array" aca="1" ref="S12" ca="1">IF(OR((S$4&gt;=$AS$11:$AS$74)*(S$4&lt;=$AT$11:$AT$74)&gt;0),$B12,"")</f>
        <v/>
      </c>
      <c r="T12" s="84" t="str">
        <f t="array" aca="1" ref="T12" ca="1">IF(OR((T$4&gt;=$AS$11:$AS$74)*(T$4&lt;=$AT$11:$AT$74)&gt;0),$B12,"")</f>
        <v/>
      </c>
      <c r="U12" s="84" t="str">
        <f t="array" aca="1" ref="U12" ca="1">IF(OR((U$4&gt;=$AS$11:$AS$74)*(U$4&lt;=$AT$11:$AT$74)&gt;0),$B12,"")</f>
        <v/>
      </c>
      <c r="V12" s="84" t="str">
        <f t="array" aca="1" ref="V12" ca="1">IF(OR((V$4&gt;=$AS$11:$AS$74)*(V$4&lt;=$AT$11:$AT$74)&gt;0),$B12,"")</f>
        <v/>
      </c>
      <c r="W12" s="84" t="str">
        <f t="array" aca="1" ref="W12" ca="1">IF(OR((W$4&gt;=$AS$11:$AS$74)*(W$4&lt;=$AT$11:$AT$74)&gt;0),$B12,"")</f>
        <v/>
      </c>
      <c r="X12" s="84" t="str">
        <f t="array" aca="1" ref="X12" ca="1">IF(OR((X$4&gt;=$AS$11:$AS$74)*(X$4&lt;=$AT$11:$AT$74)&gt;0),$B12,"")</f>
        <v/>
      </c>
      <c r="Y12" s="84" t="str">
        <f t="array" aca="1" ref="Y12" ca="1">IF(OR((Y$4&gt;=$AS$11:$AS$74)*(Y$4&lt;=$AT$11:$AT$74)&gt;0),$B12,"")</f>
        <v/>
      </c>
      <c r="Z12" s="84" t="str">
        <f t="array" aca="1" ref="Z12" ca="1">IF(OR((Z$4&gt;=$AS$11:$AS$74)*(Z$4&lt;=$AT$11:$AT$74)&gt;0),$B12,"")</f>
        <v/>
      </c>
      <c r="AA12" s="84" t="str">
        <f t="array" aca="1" ref="AA12" ca="1">IF(OR((AA$4&gt;=$AS$11:$AS$74)*(AA$4&lt;=$AT$11:$AT$74)&gt;0),$B12,"")</f>
        <v/>
      </c>
      <c r="AB12" s="84" t="str">
        <f t="array" aca="1" ref="AB12" ca="1">IF(OR((AB$4&gt;=$AS$11:$AS$74)*(AB$4&lt;=$AT$11:$AT$74)&gt;0),$B12,"")</f>
        <v/>
      </c>
      <c r="AC12" s="84" t="str">
        <f t="array" aca="1" ref="AC12" ca="1">IF(OR((AC$4&gt;=$AS$11:$AS$74)*(AC$4&lt;=$AT$11:$AT$74)&gt;0),$B12,"")</f>
        <v/>
      </c>
      <c r="AD12" s="84" t="str">
        <f t="array" aca="1" ref="AD12" ca="1">IF(OR((AD$4&gt;=$AS$11:$AS$74)*(AD$4&lt;=$AT$11:$AT$74)&gt;0),$B12,"")</f>
        <v/>
      </c>
      <c r="AE12" s="84" t="str">
        <f t="array" aca="1" ref="AE12" ca="1">IF(OR((AE$4&gt;=$AS$11:$AS$74)*(AE$4&lt;=$AT$11:$AT$74)&gt;0),$B12,"")</f>
        <v/>
      </c>
      <c r="AF12" s="84" t="str">
        <f t="array" aca="1" ref="AF12" ca="1">IF(OR((AF$4&gt;=$AS$11:$AS$74)*(AF$4&lt;=$AT$11:$AT$74)&gt;0),$B12,"")</f>
        <v/>
      </c>
      <c r="AG12" s="84" t="str">
        <f t="array" aca="1" ref="AG12" ca="1">IF(OR((AG$4&gt;=$AS$11:$AS$74)*(AG$4&lt;=$AT$11:$AT$74)&gt;0),$B12,"")</f>
        <v/>
      </c>
      <c r="AH12" s="84" t="str">
        <f t="array" aca="1" ref="AH12" ca="1">IF(OR((AH$4&gt;=$AS$11:$AS$74)*(AH$4&lt;=$AT$11:$AT$74)&gt;0),$B12,"")</f>
        <v/>
      </c>
      <c r="AI12" s="84" t="str">
        <f t="array" aca="1" ref="AI12" ca="1">IF(OR((AI$4&gt;=$AS$11:$AS$74)*(AI$4&lt;=$AT$11:$AT$74)&gt;0),$B12,"")</f>
        <v/>
      </c>
      <c r="AK12" s="191"/>
      <c r="AL12">
        <v>2</v>
      </c>
      <c r="AM12" t="str">
        <f t="array" aca="1" ref="AM12" ca="1">IFERROR(OFFSET('[1](Fill In) SIAO'!$A$1,SMALL(IF(Signals="Y",ROW(Signals)),AL12)-1,COLUMN(Conducts)-1),"")</f>
        <v/>
      </c>
      <c r="AN12" s="113" t="str">
        <f t="array" aca="1" ref="AN12" ca="1">IFERROR(OFFSET('[1](Fill In) SIAO'!$A$1,SMALL(IF(Signals="Y",ROW(Signals)),AL12)-1,COLUMN(StartDate)-1),"")</f>
        <v/>
      </c>
      <c r="AO12" s="113" t="str">
        <f t="array" aca="1" ref="AO12" ca="1">IFERROR(OFFSET('[1](Fill In) SIAO'!$A$1,SMALL(IF(Signals="Y",ROW(Signals)),AL12)-1,COLUMN(EndDate)-1),"")</f>
        <v/>
      </c>
      <c r="AP12" s="113" t="str">
        <f t="array" aca="1" ref="AP12" ca="1">IFERROR(OFFSET('[1](Fill In) SIAO'!$A$1,SMALL(IF(Optics="Y",ROW(Optics)),AL12)-1,COLUMN(Conducts)-1),"")</f>
        <v/>
      </c>
      <c r="AQ12" s="113" t="str">
        <f t="array" aca="1" ref="AQ12" ca="1">IFERROR(OFFSET('[1](Fill In) SIAO'!$A$1,SMALL(IF(Optics="Y",ROW(Optics)),AL12)-1,COLUMN(StartDate)-1),"")</f>
        <v/>
      </c>
      <c r="AR12" s="113" t="str">
        <f t="array" aca="1" ref="AR12" ca="1">IFERROR(OFFSET('[1](Fill In) SIAO'!$A$1,SMALL(IF(Optics="Y",ROW(Optics)),AL12)-1,COLUMN(EndDate)-1),"")</f>
        <v/>
      </c>
      <c r="AS12" s="113" t="str">
        <f t="array" aca="1" ref="AS12" ca="1">IFERROR(OFFSET('[1](Fill In) SIAO'!$A$1,SMALL(IF(ATMS="Y",ROW(ATMS)),AL12)-1,COLUMN(StartDate)-1),"")</f>
        <v/>
      </c>
      <c r="AT12" s="113" t="str">
        <f t="array" aca="1" ref="AT12" ca="1">IFERROR(OFFSET('[1](Fill In) SIAO'!$A$1,SMALL(IF(ATMS="Y",ROW(ATMS)),AL12)-1,COLUMN(EndDate)-1),"")</f>
        <v/>
      </c>
      <c r="AU12" s="113" t="str">
        <f t="array" aca="1" ref="AU12" ca="1">IFERROR(OFFSET('[1](Fill In) SIAO'!$A$1,SMALL(IF(UO="Y",ROW(UO)),AL12)-1,COLUMN(StartDate)-1),"")</f>
        <v/>
      </c>
      <c r="AV12" s="113" t="str">
        <f t="array" aca="1" ref="AV12" ca="1">IFERROR(OFFSET('[1](Fill In) SIAO'!$A$1,SMALL(IF(UO="Y",ROW(UO)),AL12)-1,COLUMN(EndDate)-1),"")</f>
        <v/>
      </c>
      <c r="AW12" s="113" t="str">
        <f t="array" aca="1" ref="AW12" ca="1">IFERROR(OFFSET('[1](Fill In) SIAO'!$A$1,SMALL(IF(HLT="Y",ROW(HLT)),AL12)-1,COLUMN(StartDate)-1),"")</f>
        <v/>
      </c>
      <c r="AX12" s="113" t="str">
        <f t="array" aca="1" ref="AX12" ca="1">IFERROR(OFFSET('[1](Fill In) SIAO'!$A$1,SMALL(IF(HLT="Y",ROW(HLT)),AL12)-1,COLUMN(EndDate)-1),"")</f>
        <v/>
      </c>
      <c r="AY12" s="113" t="str">
        <f t="array" aca="1" ref="AY12" ca="1">IFERROR(OFFSET('[1](Fill In) SIAO'!$A$1,SMALL(IF(PANTES="Y",ROW(PANTES)),AL12)-1,COLUMN(StartDate)-1),"")</f>
        <v/>
      </c>
      <c r="AZ12" s="113" t="str">
        <f t="array" aca="1" ref="AZ12" ca="1">IFERROR(OFFSET('[1](Fill In) SIAO'!$A$1,SMALL(IF(PANTES="Y",ROW(PANTES)),AL12)-1,COLUMN(EndDate)-1),"")</f>
        <v/>
      </c>
      <c r="BA12" s="113" t="str">
        <f t="array" aca="1" ref="BA12" ca="1">IFERROR(OFFSET('[1](Fill In) SIAO'!$A$1,SMALL(IF(Heli="Y",ROW(Heli)),AL12)-1,COLUMN(StartDate)-1),"")</f>
        <v/>
      </c>
      <c r="BB12" s="113" t="str">
        <f t="array" aca="1" ref="BB12" ca="1">IFERROR(OFFSET('[1](Fill In) SIAO'!$A$1,SMALL(IF(Heli="Y",ROW(Heli)),AL12)-1,COLUMN(EndDate)-1),"")</f>
        <v/>
      </c>
      <c r="BC12" s="113" t="str">
        <f t="array" aca="1" ref="BC12" ca="1">IFERROR(OFFSET('[1](Fill In) SIAO'!$A$1,SMALL(IF(MMR="Y",ROW(MMR)),AL12)-1,COLUMN(StartDate)-1),"")</f>
        <v/>
      </c>
      <c r="BD12" s="113" t="str">
        <f t="array" aca="1" ref="BD12" ca="1">IFERROR(OFFSET('[1](Fill In) SIAO'!$A$1,SMALL(IF(MMR="Y",ROW(MMR)),AL12)-1,COLUMN(EndDate)-1),"")</f>
        <v/>
      </c>
      <c r="BE12" s="113" t="str">
        <f t="array" aca="1" ref="BE12" ca="1">IFERROR(OFFSET('[1](Fill In) SIAO'!$A$1,SMALL(IF(POL="Y",ROW(POL)),AL12)-1,COLUMN(StartDate)-1),"")</f>
        <v/>
      </c>
      <c r="BF12" s="113" t="str">
        <f t="array" aca="1" ref="BF12" ca="1">IFERROR(OFFSET('[1](Fill In) SIAO'!$A$1,SMALL(IF(POL="Y",ROW(POL)),AL12)-1,COLUMN(EndDate)-1),"")</f>
        <v/>
      </c>
    </row>
    <row r="13" spans="1:58">
      <c r="A13" s="75" t="s">
        <v>166</v>
      </c>
      <c r="B13" s="74">
        <v>24</v>
      </c>
      <c r="C13" s="84" t="str">
        <f t="array" aca="1" ref="C13" ca="1">IF(OR((C$4&gt;=$AS$11:$AS$74)*(C$4&lt;=$AT$11:$AT$74)&gt;0),$B13,"")</f>
        <v/>
      </c>
      <c r="D13" s="84" t="str">
        <f t="array" aca="1" ref="D13" ca="1">IF(OR((D$4&gt;=$AS$11:$AS$74)*(D$4&lt;=$AT$11:$AT$74)&gt;0),$B13,"")</f>
        <v/>
      </c>
      <c r="E13" s="84" t="str">
        <f t="array" aca="1" ref="E13" ca="1">IF(OR((E$4&gt;=$AS$11:$AS$74)*(E$4&lt;=$AT$11:$AT$74)&gt;0),$B13,"")</f>
        <v/>
      </c>
      <c r="F13" s="84" t="str">
        <f t="array" aca="1" ref="F13" ca="1">IF(OR((F$4&gt;=$AS$11:$AS$74)*(F$4&lt;=$AT$11:$AT$74)&gt;0),$B13,"")</f>
        <v/>
      </c>
      <c r="G13" s="84" t="str">
        <f t="array" aca="1" ref="G13" ca="1">IF(OR((G$4&gt;=$AS$11:$AS$74)*(G$4&lt;=$AT$11:$AT$74)&gt;0),$B13,"")</f>
        <v/>
      </c>
      <c r="H13" s="84" t="str">
        <f t="array" aca="1" ref="H13" ca="1">IF(OR((H$4&gt;=$AS$11:$AS$74)*(H$4&lt;=$AT$11:$AT$74)&gt;0),$B13,"")</f>
        <v/>
      </c>
      <c r="I13" s="84" t="str">
        <f t="array" aca="1" ref="I13" ca="1">IF(OR((I$4&gt;=$AS$11:$AS$74)*(I$4&lt;=$AT$11:$AT$74)&gt;0),$B13,"")</f>
        <v/>
      </c>
      <c r="J13" s="84" t="str">
        <f t="array" aca="1" ref="J13" ca="1">IF(OR((J$4&gt;=$AS$11:$AS$74)*(J$4&lt;=$AT$11:$AT$74)&gt;0),$B13,"")</f>
        <v/>
      </c>
      <c r="K13" s="84" t="str">
        <f t="array" aca="1" ref="K13" ca="1">IF(OR((K$4&gt;=$AS$11:$AS$74)*(K$4&lt;=$AT$11:$AT$74)&gt;0),$B13,"")</f>
        <v/>
      </c>
      <c r="L13" s="84" t="str">
        <f t="array" aca="1" ref="L13" ca="1">IF(OR((L$4&gt;=$AS$11:$AS$74)*(L$4&lt;=$AT$11:$AT$74)&gt;0),$B13,"")</f>
        <v/>
      </c>
      <c r="M13" s="84" t="str">
        <f t="array" aca="1" ref="M13" ca="1">IF(OR((M$4&gt;=$AS$11:$AS$74)*(M$4&lt;=$AT$11:$AT$74)&gt;0),$B13,"")</f>
        <v/>
      </c>
      <c r="N13" s="84" t="str">
        <f t="array" aca="1" ref="N13" ca="1">IF(OR((N$4&gt;=$AS$11:$AS$74)*(N$4&lt;=$AT$11:$AT$74)&gt;0),$B13,"")</f>
        <v/>
      </c>
      <c r="O13" s="84" t="str">
        <f t="array" aca="1" ref="O13" ca="1">IF(OR((O$4&gt;=$AS$11:$AS$74)*(O$4&lt;=$AT$11:$AT$74)&gt;0),$B13,"")</f>
        <v/>
      </c>
      <c r="P13" s="84" t="str">
        <f t="array" aca="1" ref="P13" ca="1">IF(OR((P$4&gt;=$AS$11:$AS$74)*(P$4&lt;=$AT$11:$AT$74)&gt;0),$B13,"")</f>
        <v/>
      </c>
      <c r="Q13" s="84" t="str">
        <f t="array" aca="1" ref="Q13" ca="1">IF(OR((Q$4&gt;=$AS$11:$AS$74)*(Q$4&lt;=$AT$11:$AT$74)&gt;0),$B13,"")</f>
        <v/>
      </c>
      <c r="R13" s="84" t="str">
        <f t="array" aca="1" ref="R13" ca="1">IF(OR((R$4&gt;=$AS$11:$AS$74)*(R$4&lt;=$AT$11:$AT$74)&gt;0),$B13,"")</f>
        <v/>
      </c>
      <c r="S13" s="84" t="str">
        <f t="array" aca="1" ref="S13" ca="1">IF(OR((S$4&gt;=$AS$11:$AS$74)*(S$4&lt;=$AT$11:$AT$74)&gt;0),$B13,"")</f>
        <v/>
      </c>
      <c r="T13" s="84" t="str">
        <f t="array" aca="1" ref="T13" ca="1">IF(OR((T$4&gt;=$AS$11:$AS$74)*(T$4&lt;=$AT$11:$AT$74)&gt;0),$B13,"")</f>
        <v/>
      </c>
      <c r="U13" s="84" t="str">
        <f t="array" aca="1" ref="U13" ca="1">IF(OR((U$4&gt;=$AS$11:$AS$74)*(U$4&lt;=$AT$11:$AT$74)&gt;0),$B13,"")</f>
        <v/>
      </c>
      <c r="V13" s="84" t="str">
        <f t="array" aca="1" ref="V13" ca="1">IF(OR((V$4&gt;=$AS$11:$AS$74)*(V$4&lt;=$AT$11:$AT$74)&gt;0),$B13,"")</f>
        <v/>
      </c>
      <c r="W13" s="84" t="str">
        <f t="array" aca="1" ref="W13" ca="1">IF(OR((W$4&gt;=$AS$11:$AS$74)*(W$4&lt;=$AT$11:$AT$74)&gt;0),$B13,"")</f>
        <v/>
      </c>
      <c r="X13" s="84" t="str">
        <f t="array" aca="1" ref="X13" ca="1">IF(OR((X$4&gt;=$AS$11:$AS$74)*(X$4&lt;=$AT$11:$AT$74)&gt;0),$B13,"")</f>
        <v/>
      </c>
      <c r="Y13" s="84" t="str">
        <f t="array" aca="1" ref="Y13" ca="1">IF(OR((Y$4&gt;=$AS$11:$AS$74)*(Y$4&lt;=$AT$11:$AT$74)&gt;0),$B13,"")</f>
        <v/>
      </c>
      <c r="Z13" s="84" t="str">
        <f t="array" aca="1" ref="Z13" ca="1">IF(OR((Z$4&gt;=$AS$11:$AS$74)*(Z$4&lt;=$AT$11:$AT$74)&gt;0),$B13,"")</f>
        <v/>
      </c>
      <c r="AA13" s="84" t="str">
        <f t="array" aca="1" ref="AA13" ca="1">IF(OR((AA$4&gt;=$AS$11:$AS$74)*(AA$4&lt;=$AT$11:$AT$74)&gt;0),$B13,"")</f>
        <v/>
      </c>
      <c r="AB13" s="84" t="str">
        <f t="array" aca="1" ref="AB13" ca="1">IF(OR((AB$4&gt;=$AS$11:$AS$74)*(AB$4&lt;=$AT$11:$AT$74)&gt;0),$B13,"")</f>
        <v/>
      </c>
      <c r="AC13" s="84" t="str">
        <f t="array" aca="1" ref="AC13" ca="1">IF(OR((AC$4&gt;=$AS$11:$AS$74)*(AC$4&lt;=$AT$11:$AT$74)&gt;0),$B13,"")</f>
        <v/>
      </c>
      <c r="AD13" s="84" t="str">
        <f t="array" aca="1" ref="AD13" ca="1">IF(OR((AD$4&gt;=$AS$11:$AS$74)*(AD$4&lt;=$AT$11:$AT$74)&gt;0),$B13,"")</f>
        <v/>
      </c>
      <c r="AE13" s="84" t="str">
        <f t="array" aca="1" ref="AE13" ca="1">IF(OR((AE$4&gt;=$AS$11:$AS$74)*(AE$4&lt;=$AT$11:$AT$74)&gt;0),$B13,"")</f>
        <v/>
      </c>
      <c r="AF13" s="84" t="str">
        <f t="array" aca="1" ref="AF13" ca="1">IF(OR((AF$4&gt;=$AS$11:$AS$74)*(AF$4&lt;=$AT$11:$AT$74)&gt;0),$B13,"")</f>
        <v/>
      </c>
      <c r="AG13" s="84" t="str">
        <f t="array" aca="1" ref="AG13" ca="1">IF(OR((AG$4&gt;=$AS$11:$AS$74)*(AG$4&lt;=$AT$11:$AT$74)&gt;0),$B13,"")</f>
        <v/>
      </c>
      <c r="AH13" s="84" t="str">
        <f t="array" aca="1" ref="AH13" ca="1">IF(OR((AH$4&gt;=$AS$11:$AS$74)*(AH$4&lt;=$AT$11:$AT$74)&gt;0),$B13,"")</f>
        <v/>
      </c>
      <c r="AI13" s="84" t="str">
        <f t="array" aca="1" ref="AI13" ca="1">IF(OR((AI$4&gt;=$AS$11:$AS$74)*(AI$4&lt;=$AT$11:$AT$74)&gt;0),$B13,"")</f>
        <v/>
      </c>
      <c r="AK13" s="191"/>
      <c r="AL13">
        <v>3</v>
      </c>
      <c r="AM13" t="str">
        <f t="array" aca="1" ref="AM13" ca="1">IFERROR(OFFSET('[1](Fill In) SIAO'!$A$1,SMALL(IF(Signals="Y",ROW(Signals)),AL13)-1,COLUMN(Conducts)-1),"")</f>
        <v/>
      </c>
      <c r="AN13" s="113" t="str">
        <f t="array" aca="1" ref="AN13" ca="1">IFERROR(OFFSET('[1](Fill In) SIAO'!$A$1,SMALL(IF(Signals="Y",ROW(Signals)),AL13)-1,COLUMN(StartDate)-1),"")</f>
        <v/>
      </c>
      <c r="AO13" s="113" t="str">
        <f t="array" aca="1" ref="AO13" ca="1">IFERROR(OFFSET('[1](Fill In) SIAO'!$A$1,SMALL(IF(Signals="Y",ROW(Signals)),AL13)-1,COLUMN(EndDate)-1),"")</f>
        <v/>
      </c>
      <c r="AP13" s="113" t="str">
        <f t="array" aca="1" ref="AP13" ca="1">IFERROR(OFFSET('[1](Fill In) SIAO'!$A$1,SMALL(IF(Optics="Y",ROW(Optics)),AL13)-1,COLUMN(Conducts)-1),"")</f>
        <v/>
      </c>
      <c r="AQ13" s="113" t="str">
        <f t="array" aca="1" ref="AQ13" ca="1">IFERROR(OFFSET('[1](Fill In) SIAO'!$A$1,SMALL(IF(Optics="Y",ROW(Optics)),AL13)-1,COLUMN(StartDate)-1),"")</f>
        <v/>
      </c>
      <c r="AR13" s="113" t="str">
        <f t="array" aca="1" ref="AR13" ca="1">IFERROR(OFFSET('[1](Fill In) SIAO'!$A$1,SMALL(IF(Optics="Y",ROW(Optics)),AL13)-1,COLUMN(EndDate)-1),"")</f>
        <v/>
      </c>
      <c r="AS13" s="113" t="str">
        <f t="array" aca="1" ref="AS13" ca="1">IFERROR(OFFSET('[1](Fill In) SIAO'!$A$1,SMALL(IF(ATMS="Y",ROW(ATMS)),AL13)-1,COLUMN(StartDate)-1),"")</f>
        <v/>
      </c>
      <c r="AT13" s="113" t="str">
        <f t="array" aca="1" ref="AT13" ca="1">IFERROR(OFFSET('[1](Fill In) SIAO'!$A$1,SMALL(IF(ATMS="Y",ROW(ATMS)),AL13)-1,COLUMN(EndDate)-1),"")</f>
        <v/>
      </c>
      <c r="AU13" s="113" t="str">
        <f t="array" aca="1" ref="AU13" ca="1">IFERROR(OFFSET('[1](Fill In) SIAO'!$A$1,SMALL(IF(UO="Y",ROW(UO)),AL13)-1,COLUMN(StartDate)-1),"")</f>
        <v/>
      </c>
      <c r="AV13" s="113" t="str">
        <f t="array" aca="1" ref="AV13" ca="1">IFERROR(OFFSET('[1](Fill In) SIAO'!$A$1,SMALL(IF(UO="Y",ROW(UO)),AL13)-1,COLUMN(EndDate)-1),"")</f>
        <v/>
      </c>
      <c r="AW13" s="113" t="str">
        <f t="array" aca="1" ref="AW13" ca="1">IFERROR(OFFSET('[1](Fill In) SIAO'!$A$1,SMALL(IF(HLT="Y",ROW(HLT)),AL13)-1,COLUMN(StartDate)-1),"")</f>
        <v/>
      </c>
      <c r="AX13" s="113" t="str">
        <f t="array" aca="1" ref="AX13" ca="1">IFERROR(OFFSET('[1](Fill In) SIAO'!$A$1,SMALL(IF(HLT="Y",ROW(HLT)),AL13)-1,COLUMN(EndDate)-1),"")</f>
        <v/>
      </c>
      <c r="AY13" s="113" t="str">
        <f t="array" aca="1" ref="AY13" ca="1">IFERROR(OFFSET('[1](Fill In) SIAO'!$A$1,SMALL(IF(PANTES="Y",ROW(PANTES)),AL13)-1,COLUMN(StartDate)-1),"")</f>
        <v/>
      </c>
      <c r="AZ13" s="113" t="str">
        <f t="array" aca="1" ref="AZ13" ca="1">IFERROR(OFFSET('[1](Fill In) SIAO'!$A$1,SMALL(IF(PANTES="Y",ROW(PANTES)),AL13)-1,COLUMN(EndDate)-1),"")</f>
        <v/>
      </c>
      <c r="BA13" s="113" t="str">
        <f t="array" aca="1" ref="BA13" ca="1">IFERROR(OFFSET('[1](Fill In) SIAO'!$A$1,SMALL(IF(Heli="Y",ROW(Heli)),AL13)-1,COLUMN(StartDate)-1),"")</f>
        <v/>
      </c>
      <c r="BB13" s="113" t="str">
        <f t="array" aca="1" ref="BB13" ca="1">IFERROR(OFFSET('[1](Fill In) SIAO'!$A$1,SMALL(IF(Heli="Y",ROW(Heli)),AL13)-1,COLUMN(EndDate)-1),"")</f>
        <v/>
      </c>
      <c r="BC13" s="113" t="str">
        <f t="array" aca="1" ref="BC13" ca="1">IFERROR(OFFSET('[1](Fill In) SIAO'!$A$1,SMALL(IF(MMR="Y",ROW(MMR)),AL13)-1,COLUMN(StartDate)-1),"")</f>
        <v/>
      </c>
      <c r="BD13" s="113" t="str">
        <f t="array" aca="1" ref="BD13" ca="1">IFERROR(OFFSET('[1](Fill In) SIAO'!$A$1,SMALL(IF(MMR="Y",ROW(MMR)),AL13)-1,COLUMN(EndDate)-1),"")</f>
        <v/>
      </c>
      <c r="BE13" s="113" t="str">
        <f t="array" aca="1" ref="BE13" ca="1">IFERROR(OFFSET('[1](Fill In) SIAO'!$A$1,SMALL(IF(POL="Y",ROW(POL)),AL13)-1,COLUMN(StartDate)-1),"")</f>
        <v/>
      </c>
      <c r="BF13" s="113" t="str">
        <f t="array" aca="1" ref="BF13" ca="1">IFERROR(OFFSET('[1](Fill In) SIAO'!$A$1,SMALL(IF(POL="Y",ROW(POL)),AL13)-1,COLUMN(EndDate)-1),"")</f>
        <v/>
      </c>
    </row>
    <row r="14" spans="1:58">
      <c r="A14" s="8"/>
      <c r="B14" s="12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K14" s="191"/>
      <c r="AL14">
        <v>4</v>
      </c>
      <c r="AM14" t="str">
        <f t="array" aca="1" ref="AM14" ca="1">IFERROR(OFFSET('[1](Fill In) SIAO'!$A$1,SMALL(IF(Signals="Y",ROW(Signals)),AL14)-1,COLUMN(Conducts)-1),"")</f>
        <v/>
      </c>
      <c r="AN14" s="113" t="str">
        <f t="array" aca="1" ref="AN14" ca="1">IFERROR(OFFSET('[1](Fill In) SIAO'!$A$1,SMALL(IF(Signals="Y",ROW(Signals)),AL14)-1,COLUMN(StartDate)-1),"")</f>
        <v/>
      </c>
      <c r="AO14" s="113" t="str">
        <f t="array" aca="1" ref="AO14" ca="1">IFERROR(OFFSET('[1](Fill In) SIAO'!$A$1,SMALL(IF(Signals="Y",ROW(Signals)),AL14)-1,COLUMN(EndDate)-1),"")</f>
        <v/>
      </c>
      <c r="AP14" s="113" t="str">
        <f t="array" aca="1" ref="AP14" ca="1">IFERROR(OFFSET('[1](Fill In) SIAO'!$A$1,SMALL(IF(Optics="Y",ROW(Optics)),AL14)-1,COLUMN(Conducts)-1),"")</f>
        <v/>
      </c>
      <c r="AQ14" s="113" t="str">
        <f t="array" aca="1" ref="AQ14" ca="1">IFERROR(OFFSET('[1](Fill In) SIAO'!$A$1,SMALL(IF(Optics="Y",ROW(Optics)),AL14)-1,COLUMN(StartDate)-1),"")</f>
        <v/>
      </c>
      <c r="AR14" s="113" t="str">
        <f t="array" aca="1" ref="AR14" ca="1">IFERROR(OFFSET('[1](Fill In) SIAO'!$A$1,SMALL(IF(Optics="Y",ROW(Optics)),AL14)-1,COLUMN(EndDate)-1),"")</f>
        <v/>
      </c>
      <c r="AS14" s="113" t="str">
        <f t="array" aca="1" ref="AS14" ca="1">IFERROR(OFFSET('[1](Fill In) SIAO'!$A$1,SMALL(IF(ATMS="Y",ROW(ATMS)),AL14)-1,COLUMN(StartDate)-1),"")</f>
        <v/>
      </c>
      <c r="AT14" s="113" t="str">
        <f t="array" aca="1" ref="AT14" ca="1">IFERROR(OFFSET('[1](Fill In) SIAO'!$A$1,SMALL(IF(ATMS="Y",ROW(ATMS)),AL14)-1,COLUMN(EndDate)-1),"")</f>
        <v/>
      </c>
      <c r="AU14" s="113" t="str">
        <f t="array" aca="1" ref="AU14" ca="1">IFERROR(OFFSET('[1](Fill In) SIAO'!$A$1,SMALL(IF(UO="Y",ROW(UO)),AL14)-1,COLUMN(StartDate)-1),"")</f>
        <v/>
      </c>
      <c r="AV14" s="113" t="str">
        <f t="array" aca="1" ref="AV14" ca="1">IFERROR(OFFSET('[1](Fill In) SIAO'!$A$1,SMALL(IF(UO="Y",ROW(UO)),AL14)-1,COLUMN(EndDate)-1),"")</f>
        <v/>
      </c>
      <c r="AW14" s="113" t="str">
        <f t="array" aca="1" ref="AW14" ca="1">IFERROR(OFFSET('[1](Fill In) SIAO'!$A$1,SMALL(IF(HLT="Y",ROW(HLT)),AL14)-1,COLUMN(StartDate)-1),"")</f>
        <v/>
      </c>
      <c r="AX14" s="113" t="str">
        <f t="array" aca="1" ref="AX14" ca="1">IFERROR(OFFSET('[1](Fill In) SIAO'!$A$1,SMALL(IF(HLT="Y",ROW(HLT)),AL14)-1,COLUMN(EndDate)-1),"")</f>
        <v/>
      </c>
      <c r="AY14" s="113" t="str">
        <f t="array" aca="1" ref="AY14" ca="1">IFERROR(OFFSET('[1](Fill In) SIAO'!$A$1,SMALL(IF(PANTES="Y",ROW(PANTES)),AL14)-1,COLUMN(StartDate)-1),"")</f>
        <v/>
      </c>
      <c r="AZ14" s="113" t="str">
        <f t="array" aca="1" ref="AZ14" ca="1">IFERROR(OFFSET('[1](Fill In) SIAO'!$A$1,SMALL(IF(PANTES="Y",ROW(PANTES)),AL14)-1,COLUMN(EndDate)-1),"")</f>
        <v/>
      </c>
      <c r="BA14" s="113" t="str">
        <f t="array" aca="1" ref="BA14" ca="1">IFERROR(OFFSET('[1](Fill In) SIAO'!$A$1,SMALL(IF(Heli="Y",ROW(Heli)),AL14)-1,COLUMN(StartDate)-1),"")</f>
        <v/>
      </c>
      <c r="BB14" s="113" t="str">
        <f t="array" aca="1" ref="BB14" ca="1">IFERROR(OFFSET('[1](Fill In) SIAO'!$A$1,SMALL(IF(Heli="Y",ROW(Heli)),AL14)-1,COLUMN(EndDate)-1),"")</f>
        <v/>
      </c>
      <c r="BC14" s="113" t="str">
        <f t="array" aca="1" ref="BC14" ca="1">IFERROR(OFFSET('[1](Fill In) SIAO'!$A$1,SMALL(IF(MMR="Y",ROW(MMR)),AL14)-1,COLUMN(StartDate)-1),"")</f>
        <v/>
      </c>
      <c r="BD14" s="113" t="str">
        <f t="array" aca="1" ref="BD14" ca="1">IFERROR(OFFSET('[1](Fill In) SIAO'!$A$1,SMALL(IF(MMR="Y",ROW(MMR)),AL14)-1,COLUMN(EndDate)-1),"")</f>
        <v/>
      </c>
      <c r="BE14" s="113" t="str">
        <f t="array" aca="1" ref="BE14" ca="1">IFERROR(OFFSET('[1](Fill In) SIAO'!$A$1,SMALL(IF(POL="Y",ROW(POL)),AL14)-1,COLUMN(StartDate)-1),"")</f>
        <v/>
      </c>
      <c r="BF14" s="113" t="str">
        <f t="array" aca="1" ref="BF14" ca="1">IFERROR(OFFSET('[1](Fill In) SIAO'!$A$1,SMALL(IF(POL="Y",ROW(POL)),AL14)-1,COLUMN(EndDate)-1),"")</f>
        <v/>
      </c>
    </row>
    <row r="15" spans="1:58">
      <c r="A15" s="7" t="s">
        <v>90</v>
      </c>
      <c r="B15" s="1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K15" s="191"/>
      <c r="AL15">
        <v>5</v>
      </c>
      <c r="AM15" t="str">
        <f t="array" aca="1" ref="AM15" ca="1">IFERROR(OFFSET('[1](Fill In) SIAO'!$A$1,SMALL(IF(Signals="Y",ROW(Signals)),AL15)-1,COLUMN(Conducts)-1),"")</f>
        <v/>
      </c>
      <c r="AN15" s="113" t="str">
        <f t="array" aca="1" ref="AN15" ca="1">IFERROR(OFFSET('[1](Fill In) SIAO'!$A$1,SMALL(IF(Signals="Y",ROW(Signals)),AL15)-1,COLUMN(StartDate)-1),"")</f>
        <v/>
      </c>
      <c r="AO15" s="113" t="str">
        <f t="array" aca="1" ref="AO15" ca="1">IFERROR(OFFSET('[1](Fill In) SIAO'!$A$1,SMALL(IF(Signals="Y",ROW(Signals)),AL15)-1,COLUMN(EndDate)-1),"")</f>
        <v/>
      </c>
      <c r="AP15" s="113" t="str">
        <f t="array" aca="1" ref="AP15" ca="1">IFERROR(OFFSET('[1](Fill In) SIAO'!$A$1,SMALL(IF(Optics="Y",ROW(Optics)),AL15)-1,COLUMN(Conducts)-1),"")</f>
        <v/>
      </c>
      <c r="AQ15" s="113" t="str">
        <f t="array" aca="1" ref="AQ15" ca="1">IFERROR(OFFSET('[1](Fill In) SIAO'!$A$1,SMALL(IF(Optics="Y",ROW(Optics)),AL15)-1,COLUMN(StartDate)-1),"")</f>
        <v/>
      </c>
      <c r="AR15" s="113" t="str">
        <f t="array" aca="1" ref="AR15" ca="1">IFERROR(OFFSET('[1](Fill In) SIAO'!$A$1,SMALL(IF(Optics="Y",ROW(Optics)),AL15)-1,COLUMN(EndDate)-1),"")</f>
        <v/>
      </c>
      <c r="AS15" s="113" t="str">
        <f t="array" aca="1" ref="AS15" ca="1">IFERROR(OFFSET('[1](Fill In) SIAO'!$A$1,SMALL(IF(ATMS="Y",ROW(ATMS)),AL15)-1,COLUMN(StartDate)-1),"")</f>
        <v/>
      </c>
      <c r="AT15" s="113" t="str">
        <f t="array" aca="1" ref="AT15" ca="1">IFERROR(OFFSET('[1](Fill In) SIAO'!$A$1,SMALL(IF(ATMS="Y",ROW(ATMS)),AL15)-1,COLUMN(EndDate)-1),"")</f>
        <v/>
      </c>
      <c r="AU15" s="113" t="str">
        <f t="array" aca="1" ref="AU15" ca="1">IFERROR(OFFSET('[1](Fill In) SIAO'!$A$1,SMALL(IF(UO="Y",ROW(UO)),AL15)-1,COLUMN(StartDate)-1),"")</f>
        <v/>
      </c>
      <c r="AV15" s="113" t="str">
        <f t="array" aca="1" ref="AV15" ca="1">IFERROR(OFFSET('[1](Fill In) SIAO'!$A$1,SMALL(IF(UO="Y",ROW(UO)),AL15)-1,COLUMN(EndDate)-1),"")</f>
        <v/>
      </c>
      <c r="AW15" s="113" t="str">
        <f t="array" aca="1" ref="AW15" ca="1">IFERROR(OFFSET('[1](Fill In) SIAO'!$A$1,SMALL(IF(HLT="Y",ROW(HLT)),AL15)-1,COLUMN(StartDate)-1),"")</f>
        <v/>
      </c>
      <c r="AX15" s="113" t="str">
        <f t="array" aca="1" ref="AX15" ca="1">IFERROR(OFFSET('[1](Fill In) SIAO'!$A$1,SMALL(IF(HLT="Y",ROW(HLT)),AL15)-1,COLUMN(EndDate)-1),"")</f>
        <v/>
      </c>
      <c r="AY15" s="113" t="str">
        <f t="array" aca="1" ref="AY15" ca="1">IFERROR(OFFSET('[1](Fill In) SIAO'!$A$1,SMALL(IF(PANTES="Y",ROW(PANTES)),AL15)-1,COLUMN(StartDate)-1),"")</f>
        <v/>
      </c>
      <c r="AZ15" s="113" t="str">
        <f t="array" aca="1" ref="AZ15" ca="1">IFERROR(OFFSET('[1](Fill In) SIAO'!$A$1,SMALL(IF(PANTES="Y",ROW(PANTES)),AL15)-1,COLUMN(EndDate)-1),"")</f>
        <v/>
      </c>
      <c r="BA15" s="113" t="str">
        <f t="array" aca="1" ref="BA15" ca="1">IFERROR(OFFSET('[1](Fill In) SIAO'!$A$1,SMALL(IF(Heli="Y",ROW(Heli)),AL15)-1,COLUMN(StartDate)-1),"")</f>
        <v/>
      </c>
      <c r="BB15" s="113" t="str">
        <f t="array" aca="1" ref="BB15" ca="1">IFERROR(OFFSET('[1](Fill In) SIAO'!$A$1,SMALL(IF(Heli="Y",ROW(Heli)),AL15)-1,COLUMN(EndDate)-1),"")</f>
        <v/>
      </c>
      <c r="BC15" s="113" t="str">
        <f t="array" aca="1" ref="BC15" ca="1">IFERROR(OFFSET('[1](Fill In) SIAO'!$A$1,SMALL(IF(MMR="Y",ROW(MMR)),AL15)-1,COLUMN(StartDate)-1),"")</f>
        <v/>
      </c>
      <c r="BD15" s="113" t="str">
        <f t="array" aca="1" ref="BD15" ca="1">IFERROR(OFFSET('[1](Fill In) SIAO'!$A$1,SMALL(IF(MMR="Y",ROW(MMR)),AL15)-1,COLUMN(EndDate)-1),"")</f>
        <v/>
      </c>
      <c r="BE15" s="113" t="str">
        <f t="array" aca="1" ref="BE15" ca="1">IFERROR(OFFSET('[1](Fill In) SIAO'!$A$1,SMALL(IF(POL="Y",ROW(POL)),AL15)-1,COLUMN(StartDate)-1),"")</f>
        <v/>
      </c>
      <c r="BF15" s="113" t="str">
        <f t="array" aca="1" ref="BF15" ca="1">IFERROR(OFFSET('[1](Fill In) SIAO'!$A$1,SMALL(IF(POL="Y",ROW(POL)),AL15)-1,COLUMN(EndDate)-1),"")</f>
        <v/>
      </c>
    </row>
    <row r="16" spans="1:58">
      <c r="A16" s="75"/>
      <c r="B16" s="11" t="s">
        <v>154</v>
      </c>
      <c r="C16" s="112">
        <f>EOMONTH($A$1,-1)</f>
        <v>46112</v>
      </c>
      <c r="D16" s="112">
        <f t="shared" ref="D16:AI16" si="1">C16+1</f>
        <v>46113</v>
      </c>
      <c r="E16" s="112">
        <f t="shared" si="1"/>
        <v>46114</v>
      </c>
      <c r="F16" s="112">
        <f t="shared" si="1"/>
        <v>46115</v>
      </c>
      <c r="G16" s="112">
        <f t="shared" si="1"/>
        <v>46116</v>
      </c>
      <c r="H16" s="112">
        <f t="shared" si="1"/>
        <v>46117</v>
      </c>
      <c r="I16" s="112">
        <f t="shared" si="1"/>
        <v>46118</v>
      </c>
      <c r="J16" s="112">
        <f t="shared" si="1"/>
        <v>46119</v>
      </c>
      <c r="K16" s="112">
        <f t="shared" si="1"/>
        <v>46120</v>
      </c>
      <c r="L16" s="112">
        <f t="shared" si="1"/>
        <v>46121</v>
      </c>
      <c r="M16" s="112">
        <f t="shared" si="1"/>
        <v>46122</v>
      </c>
      <c r="N16" s="112">
        <f t="shared" si="1"/>
        <v>46123</v>
      </c>
      <c r="O16" s="112">
        <f t="shared" si="1"/>
        <v>46124</v>
      </c>
      <c r="P16" s="112">
        <f t="shared" si="1"/>
        <v>46125</v>
      </c>
      <c r="Q16" s="112">
        <f t="shared" si="1"/>
        <v>46126</v>
      </c>
      <c r="R16" s="112">
        <f t="shared" si="1"/>
        <v>46127</v>
      </c>
      <c r="S16" s="112">
        <f t="shared" si="1"/>
        <v>46128</v>
      </c>
      <c r="T16" s="112">
        <f t="shared" si="1"/>
        <v>46129</v>
      </c>
      <c r="U16" s="112">
        <f t="shared" si="1"/>
        <v>46130</v>
      </c>
      <c r="V16" s="112">
        <f t="shared" si="1"/>
        <v>46131</v>
      </c>
      <c r="W16" s="112">
        <f t="shared" si="1"/>
        <v>46132</v>
      </c>
      <c r="X16" s="112">
        <f t="shared" si="1"/>
        <v>46133</v>
      </c>
      <c r="Y16" s="112">
        <f t="shared" si="1"/>
        <v>46134</v>
      </c>
      <c r="Z16" s="112">
        <f t="shared" si="1"/>
        <v>46135</v>
      </c>
      <c r="AA16" s="112">
        <f t="shared" si="1"/>
        <v>46136</v>
      </c>
      <c r="AB16" s="112">
        <f t="shared" si="1"/>
        <v>46137</v>
      </c>
      <c r="AC16" s="112">
        <f t="shared" si="1"/>
        <v>46138</v>
      </c>
      <c r="AD16" s="112">
        <f t="shared" si="1"/>
        <v>46139</v>
      </c>
      <c r="AE16" s="112">
        <f t="shared" si="1"/>
        <v>46140</v>
      </c>
      <c r="AF16" s="112">
        <f t="shared" si="1"/>
        <v>46141</v>
      </c>
      <c r="AG16" s="112">
        <f t="shared" si="1"/>
        <v>46142</v>
      </c>
      <c r="AH16" s="112">
        <f t="shared" si="1"/>
        <v>46143</v>
      </c>
      <c r="AI16" s="112">
        <f t="shared" si="1"/>
        <v>46144</v>
      </c>
      <c r="AK16" s="191"/>
      <c r="AL16">
        <v>6</v>
      </c>
      <c r="AM16" t="str">
        <f t="array" aca="1" ref="AM16" ca="1">IFERROR(OFFSET('[1](Fill In) SIAO'!$A$1,SMALL(IF(Signals="Y",ROW(Signals)),AL16)-1,COLUMN(Conducts)-1),"")</f>
        <v/>
      </c>
      <c r="AN16" s="113" t="str">
        <f t="array" aca="1" ref="AN16" ca="1">IFERROR(OFFSET('[1](Fill In) SIAO'!$A$1,SMALL(IF(Signals="Y",ROW(Signals)),AL16)-1,COLUMN(StartDate)-1),"")</f>
        <v/>
      </c>
      <c r="AO16" s="113" t="str">
        <f t="array" aca="1" ref="AO16" ca="1">IFERROR(OFFSET('[1](Fill In) SIAO'!$A$1,SMALL(IF(Signals="Y",ROW(Signals)),AL16)-1,COLUMN(EndDate)-1),"")</f>
        <v/>
      </c>
      <c r="AP16" s="113" t="str">
        <f t="array" aca="1" ref="AP16" ca="1">IFERROR(OFFSET('[1](Fill In) SIAO'!$A$1,SMALL(IF(Optics="Y",ROW(Optics)),AL16)-1,COLUMN(Conducts)-1),"")</f>
        <v/>
      </c>
      <c r="AQ16" s="113" t="str">
        <f t="array" aca="1" ref="AQ16" ca="1">IFERROR(OFFSET('[1](Fill In) SIAO'!$A$1,SMALL(IF(Optics="Y",ROW(Optics)),AL16)-1,COLUMN(StartDate)-1),"")</f>
        <v/>
      </c>
      <c r="AR16" s="113" t="str">
        <f t="array" aca="1" ref="AR16" ca="1">IFERROR(OFFSET('[1](Fill In) SIAO'!$A$1,SMALL(IF(Optics="Y",ROW(Optics)),AL16)-1,COLUMN(EndDate)-1),"")</f>
        <v/>
      </c>
      <c r="AS16" s="113" t="str">
        <f t="array" aca="1" ref="AS16" ca="1">IFERROR(OFFSET('[1](Fill In) SIAO'!$A$1,SMALL(IF(ATMS="Y",ROW(ATMS)),AL16)-1,COLUMN(StartDate)-1),"")</f>
        <v/>
      </c>
      <c r="AT16" s="113" t="str">
        <f t="array" aca="1" ref="AT16" ca="1">IFERROR(OFFSET('[1](Fill In) SIAO'!$A$1,SMALL(IF(ATMS="Y",ROW(ATMS)),AL16)-1,COLUMN(EndDate)-1),"")</f>
        <v/>
      </c>
      <c r="AU16" s="113" t="str">
        <f t="array" aca="1" ref="AU16" ca="1">IFERROR(OFFSET('[1](Fill In) SIAO'!$A$1,SMALL(IF(UO="Y",ROW(UO)),AL16)-1,COLUMN(StartDate)-1),"")</f>
        <v/>
      </c>
      <c r="AV16" s="113" t="str">
        <f t="array" aca="1" ref="AV16" ca="1">IFERROR(OFFSET('[1](Fill In) SIAO'!$A$1,SMALL(IF(UO="Y",ROW(UO)),AL16)-1,COLUMN(EndDate)-1),"")</f>
        <v/>
      </c>
      <c r="AW16" s="113" t="str">
        <f t="array" aca="1" ref="AW16" ca="1">IFERROR(OFFSET('[1](Fill In) SIAO'!$A$1,SMALL(IF(HLT="Y",ROW(HLT)),AL16)-1,COLUMN(StartDate)-1),"")</f>
        <v/>
      </c>
      <c r="AX16" s="113" t="str">
        <f t="array" aca="1" ref="AX16" ca="1">IFERROR(OFFSET('[1](Fill In) SIAO'!$A$1,SMALL(IF(HLT="Y",ROW(HLT)),AL16)-1,COLUMN(EndDate)-1),"")</f>
        <v/>
      </c>
      <c r="AY16" s="113" t="str">
        <f t="array" aca="1" ref="AY16" ca="1">IFERROR(OFFSET('[1](Fill In) SIAO'!$A$1,SMALL(IF(PANTES="Y",ROW(PANTES)),AL16)-1,COLUMN(StartDate)-1),"")</f>
        <v/>
      </c>
      <c r="AZ16" s="113" t="str">
        <f t="array" aca="1" ref="AZ16" ca="1">IFERROR(OFFSET('[1](Fill In) SIAO'!$A$1,SMALL(IF(PANTES="Y",ROW(PANTES)),AL16)-1,COLUMN(EndDate)-1),"")</f>
        <v/>
      </c>
      <c r="BA16" s="113" t="str">
        <f t="array" aca="1" ref="BA16" ca="1">IFERROR(OFFSET('[1](Fill In) SIAO'!$A$1,SMALL(IF(Heli="Y",ROW(Heli)),AL16)-1,COLUMN(StartDate)-1),"")</f>
        <v/>
      </c>
      <c r="BB16" s="113" t="str">
        <f t="array" aca="1" ref="BB16" ca="1">IFERROR(OFFSET('[1](Fill In) SIAO'!$A$1,SMALL(IF(Heli="Y",ROW(Heli)),AL16)-1,COLUMN(EndDate)-1),"")</f>
        <v/>
      </c>
      <c r="BC16" s="113" t="str">
        <f t="array" aca="1" ref="BC16" ca="1">IFERROR(OFFSET('[1](Fill In) SIAO'!$A$1,SMALL(IF(MMR="Y",ROW(MMR)),AL16)-1,COLUMN(StartDate)-1),"")</f>
        <v/>
      </c>
      <c r="BD16" s="113" t="str">
        <f t="array" aca="1" ref="BD16" ca="1">IFERROR(OFFSET('[1](Fill In) SIAO'!$A$1,SMALL(IF(MMR="Y",ROW(MMR)),AL16)-1,COLUMN(EndDate)-1),"")</f>
        <v/>
      </c>
      <c r="BE16" s="113" t="str">
        <f t="array" aca="1" ref="BE16" ca="1">IFERROR(OFFSET('[1](Fill In) SIAO'!$A$1,SMALL(IF(POL="Y",ROW(POL)),AL16)-1,COLUMN(StartDate)-1),"")</f>
        <v/>
      </c>
      <c r="BF16" s="113" t="str">
        <f t="array" aca="1" ref="BF16" ca="1">IFERROR(OFFSET('[1](Fill In) SIAO'!$A$1,SMALL(IF(POL="Y",ROW(POL)),AL16)-1,COLUMN(EndDate)-1),"")</f>
        <v/>
      </c>
    </row>
    <row r="17" spans="1:58">
      <c r="A17" s="75" t="s">
        <v>167</v>
      </c>
      <c r="B17" s="74">
        <v>12</v>
      </c>
      <c r="C17" s="84" t="str">
        <f t="array" aca="1" ref="C17" ca="1">IF(OR((C$4&gt;=$AS$11:$AS$74)*(C$4&lt;=$AT$11:$AT$74)&gt;0),$B17,"")</f>
        <v/>
      </c>
      <c r="D17" s="84" t="str">
        <f t="array" aca="1" ref="D17" ca="1">IF(OR((D$4&gt;=$AS$11:$AS$74)*(D$4&lt;=$AT$11:$AT$74)&gt;0),$B17,"")</f>
        <v/>
      </c>
      <c r="E17" s="84" t="str">
        <f t="array" aca="1" ref="E17" ca="1">IF(OR((E$4&gt;=$AS$11:$AS$74)*(E$4&lt;=$AT$11:$AT$74)&gt;0),$B17,"")</f>
        <v/>
      </c>
      <c r="F17" s="84" t="str">
        <f t="array" aca="1" ref="F17" ca="1">IF(OR((F$4&gt;=$AS$11:$AS$74)*(F$4&lt;=$AT$11:$AT$74)&gt;0),$B17,"")</f>
        <v/>
      </c>
      <c r="G17" s="84" t="str">
        <f t="array" aca="1" ref="G17" ca="1">IF(OR((G$4&gt;=$AS$11:$AS$74)*(G$4&lt;=$AT$11:$AT$74)&gt;0),$B17,"")</f>
        <v/>
      </c>
      <c r="H17" s="84" t="str">
        <f t="array" aca="1" ref="H17" ca="1">IF(OR((H$4&gt;=$AS$11:$AS$74)*(H$4&lt;=$AT$11:$AT$74)&gt;0),$B17,"")</f>
        <v/>
      </c>
      <c r="I17" s="84" t="str">
        <f t="array" aca="1" ref="I17" ca="1">IF(OR((I$4&gt;=$AS$11:$AS$74)*(I$4&lt;=$AT$11:$AT$74)&gt;0),$B17,"")</f>
        <v/>
      </c>
      <c r="J17" s="84" t="str">
        <f t="array" aca="1" ref="J17" ca="1">IF(OR((J$4&gt;=$AS$11:$AS$74)*(J$4&lt;=$AT$11:$AT$74)&gt;0),$B17,"")</f>
        <v/>
      </c>
      <c r="K17" s="84" t="str">
        <f t="array" aca="1" ref="K17" ca="1">IF(OR((K$4&gt;=$AS$11:$AS$74)*(K$4&lt;=$AT$11:$AT$74)&gt;0),$B17,"")</f>
        <v/>
      </c>
      <c r="L17" s="84">
        <v>12</v>
      </c>
      <c r="M17" s="84">
        <v>12</v>
      </c>
      <c r="N17" s="84">
        <v>12</v>
      </c>
      <c r="O17" s="84">
        <v>12</v>
      </c>
      <c r="P17" s="84">
        <v>12</v>
      </c>
      <c r="Q17" s="84">
        <v>12</v>
      </c>
      <c r="R17" s="84">
        <v>12</v>
      </c>
      <c r="S17" s="84">
        <v>12</v>
      </c>
      <c r="T17" s="84">
        <v>12</v>
      </c>
      <c r="U17" s="84">
        <v>12</v>
      </c>
      <c r="V17" s="84">
        <v>12</v>
      </c>
      <c r="W17" s="84">
        <v>12</v>
      </c>
      <c r="X17" s="84">
        <v>12</v>
      </c>
      <c r="Y17" s="84" t="str">
        <f t="array" aca="1" ref="Y17" ca="1">IF(OR((Y$4&gt;=$AS$11:$AS$74)*(Y$4&lt;=$AT$11:$AT$74)&gt;0),$B17,"")</f>
        <v/>
      </c>
      <c r="Z17" s="84" t="str">
        <f t="array" aca="1" ref="Z17" ca="1">IF(OR((Z$4&gt;=$AS$11:$AS$74)*(Z$4&lt;=$AT$11:$AT$74)&gt;0),$B17,"")</f>
        <v/>
      </c>
      <c r="AA17" s="84" t="str">
        <f t="array" aca="1" ref="AA17" ca="1">IF(OR((AA$4&gt;=$AS$11:$AS$74)*(AA$4&lt;=$AT$11:$AT$74)&gt;0),$B17,"")</f>
        <v/>
      </c>
      <c r="AB17" s="84"/>
      <c r="AC17" s="84"/>
      <c r="AD17" s="84"/>
      <c r="AE17" s="84"/>
      <c r="AF17" s="84" t="str">
        <f t="array" aca="1" ref="AF17" ca="1">IF(OR((AF$4&gt;=$AS$11:$AS$74)*(AF$4&lt;=$AT$11:$AT$74)&gt;0),$B17,"")</f>
        <v/>
      </c>
      <c r="AG17" s="84"/>
      <c r="AH17" s="84"/>
      <c r="AI17" s="84"/>
      <c r="AK17" s="191"/>
      <c r="AL17">
        <v>7</v>
      </c>
      <c r="AM17" t="str">
        <f t="array" aca="1" ref="AM17" ca="1">IFERROR(OFFSET('[1](Fill In) SIAO'!$A$1,SMALL(IF(Signals="Y",ROW(Signals)),AL17)-1,COLUMN(Conducts)-1),"")</f>
        <v/>
      </c>
      <c r="AN17" s="113" t="str">
        <f t="array" aca="1" ref="AN17" ca="1">IFERROR(OFFSET('[1](Fill In) SIAO'!$A$1,SMALL(IF(Signals="Y",ROW(Signals)),AL17)-1,COLUMN(StartDate)-1),"")</f>
        <v/>
      </c>
      <c r="AO17" s="113" t="str">
        <f t="array" aca="1" ref="AO17" ca="1">IFERROR(OFFSET('[1](Fill In) SIAO'!$A$1,SMALL(IF(Signals="Y",ROW(Signals)),AL17)-1,COLUMN(EndDate)-1),"")</f>
        <v/>
      </c>
      <c r="AP17" s="113" t="str">
        <f t="array" aca="1" ref="AP17" ca="1">IFERROR(OFFSET('[1](Fill In) SIAO'!$A$1,SMALL(IF(Optics="Y",ROW(Optics)),AL17)-1,COLUMN(Conducts)-1),"")</f>
        <v/>
      </c>
      <c r="AQ17" s="113" t="str">
        <f t="array" aca="1" ref="AQ17" ca="1">IFERROR(OFFSET('[1](Fill In) SIAO'!$A$1,SMALL(IF(Optics="Y",ROW(Optics)),AL17)-1,COLUMN(StartDate)-1),"")</f>
        <v/>
      </c>
      <c r="AR17" s="113" t="str">
        <f t="array" aca="1" ref="AR17" ca="1">IFERROR(OFFSET('[1](Fill In) SIAO'!$A$1,SMALL(IF(Optics="Y",ROW(Optics)),AL17)-1,COLUMN(EndDate)-1),"")</f>
        <v/>
      </c>
      <c r="AS17" s="113" t="str">
        <f t="array" aca="1" ref="AS17" ca="1">IFERROR(OFFSET('[1](Fill In) SIAO'!$A$1,SMALL(IF(ATMS="Y",ROW(ATMS)),AL17)-1,COLUMN(StartDate)-1),"")</f>
        <v/>
      </c>
      <c r="AT17" s="113" t="str">
        <f t="array" aca="1" ref="AT17" ca="1">IFERROR(OFFSET('[1](Fill In) SIAO'!$A$1,SMALL(IF(ATMS="Y",ROW(ATMS)),AL17)-1,COLUMN(EndDate)-1),"")</f>
        <v/>
      </c>
      <c r="AU17" s="113" t="str">
        <f t="array" aca="1" ref="AU17" ca="1">IFERROR(OFFSET('[1](Fill In) SIAO'!$A$1,SMALL(IF(UO="Y",ROW(UO)),AL17)-1,COLUMN(StartDate)-1),"")</f>
        <v/>
      </c>
      <c r="AV17" s="113" t="str">
        <f t="array" aca="1" ref="AV17" ca="1">IFERROR(OFFSET('[1](Fill In) SIAO'!$A$1,SMALL(IF(UO="Y",ROW(UO)),AL17)-1,COLUMN(EndDate)-1),"")</f>
        <v/>
      </c>
      <c r="AW17" s="113" t="str">
        <f t="array" aca="1" ref="AW17" ca="1">IFERROR(OFFSET('[1](Fill In) SIAO'!$A$1,SMALL(IF(HLT="Y",ROW(HLT)),AL17)-1,COLUMN(StartDate)-1),"")</f>
        <v/>
      </c>
      <c r="AX17" s="113" t="str">
        <f t="array" aca="1" ref="AX17" ca="1">IFERROR(OFFSET('[1](Fill In) SIAO'!$A$1,SMALL(IF(HLT="Y",ROW(HLT)),AL17)-1,COLUMN(EndDate)-1),"")</f>
        <v/>
      </c>
      <c r="AY17" s="113" t="str">
        <f t="array" aca="1" ref="AY17" ca="1">IFERROR(OFFSET('[1](Fill In) SIAO'!$A$1,SMALL(IF(PANTES="Y",ROW(PANTES)),AL17)-1,COLUMN(StartDate)-1),"")</f>
        <v/>
      </c>
      <c r="AZ17" s="113" t="str">
        <f t="array" aca="1" ref="AZ17" ca="1">IFERROR(OFFSET('[1](Fill In) SIAO'!$A$1,SMALL(IF(PANTES="Y",ROW(PANTES)),AL17)-1,COLUMN(EndDate)-1),"")</f>
        <v/>
      </c>
      <c r="BA17" s="113" t="str">
        <f t="array" aca="1" ref="BA17" ca="1">IFERROR(OFFSET('[1](Fill In) SIAO'!$A$1,SMALL(IF(Heli="Y",ROW(Heli)),AL17)-1,COLUMN(StartDate)-1),"")</f>
        <v/>
      </c>
      <c r="BB17" s="113" t="str">
        <f t="array" aca="1" ref="BB17" ca="1">IFERROR(OFFSET('[1](Fill In) SIAO'!$A$1,SMALL(IF(Heli="Y",ROW(Heli)),AL17)-1,COLUMN(EndDate)-1),"")</f>
        <v/>
      </c>
      <c r="BC17" s="113" t="str">
        <f t="array" aca="1" ref="BC17" ca="1">IFERROR(OFFSET('[1](Fill In) SIAO'!$A$1,SMALL(IF(MMR="Y",ROW(MMR)),AL17)-1,COLUMN(StartDate)-1),"")</f>
        <v/>
      </c>
      <c r="BD17" s="113" t="str">
        <f t="array" aca="1" ref="BD17" ca="1">IFERROR(OFFSET('[1](Fill In) SIAO'!$A$1,SMALL(IF(MMR="Y",ROW(MMR)),AL17)-1,COLUMN(EndDate)-1),"")</f>
        <v/>
      </c>
      <c r="BE17" s="113" t="str">
        <f t="array" aca="1" ref="BE17" ca="1">IFERROR(OFFSET('[1](Fill In) SIAO'!$A$1,SMALL(IF(POL="Y",ROW(POL)),AL17)-1,COLUMN(StartDate)-1),"")</f>
        <v/>
      </c>
      <c r="BF17" s="113" t="str">
        <f t="array" aca="1" ref="BF17" ca="1">IFERROR(OFFSET('[1](Fill In) SIAO'!$A$1,SMALL(IF(POL="Y",ROW(POL)),AL17)-1,COLUMN(EndDate)-1),"")</f>
        <v/>
      </c>
    </row>
    <row r="18" spans="1:58">
      <c r="A18" s="75" t="s">
        <v>168</v>
      </c>
      <c r="B18" s="74">
        <v>12</v>
      </c>
      <c r="C18" s="84" t="str">
        <f t="array" aca="1" ref="C18" ca="1">IF(OR((C$4&gt;=$AS$11:$AS$74)*(C$4&lt;=$AT$11:$AT$74)&gt;0),$B18,"")</f>
        <v/>
      </c>
      <c r="D18" s="84" t="str">
        <f t="array" aca="1" ref="D18" ca="1">IF(OR((D$4&gt;=$AS$11:$AS$74)*(D$4&lt;=$AT$11:$AT$74)&gt;0),$B18,"")</f>
        <v/>
      </c>
      <c r="E18" s="84" t="str">
        <f t="array" aca="1" ref="E18" ca="1">IF(OR((E$4&gt;=$AS$11:$AS$74)*(E$4&lt;=$AT$11:$AT$74)&gt;0),$B18,"")</f>
        <v/>
      </c>
      <c r="F18" s="84" t="str">
        <f t="array" aca="1" ref="F18" ca="1">IF(OR((F$4&gt;=$AS$11:$AS$74)*(F$4&lt;=$AT$11:$AT$74)&gt;0),$B18,"")</f>
        <v/>
      </c>
      <c r="G18" s="84" t="str">
        <f t="array" aca="1" ref="G18" ca="1">IF(OR((G$4&gt;=$AS$11:$AS$74)*(G$4&lt;=$AT$11:$AT$74)&gt;0),$B18,"")</f>
        <v/>
      </c>
      <c r="H18" s="84" t="str">
        <f t="array" aca="1" ref="H18" ca="1">IF(OR((H$4&gt;=$AS$11:$AS$74)*(H$4&lt;=$AT$11:$AT$74)&gt;0),$B18,"")</f>
        <v/>
      </c>
      <c r="I18" s="84" t="str">
        <f t="array" aca="1" ref="I18" ca="1">IF(OR((I$4&gt;=$AS$11:$AS$74)*(I$4&lt;=$AT$11:$AT$74)&gt;0),$B18,"")</f>
        <v/>
      </c>
      <c r="J18" s="84" t="str">
        <f t="array" aca="1" ref="J18" ca="1">IF(OR((J$4&gt;=$AS$11:$AS$74)*(J$4&lt;=$AT$11:$AT$74)&gt;0),$B18,"")</f>
        <v/>
      </c>
      <c r="K18" s="84" t="str">
        <f t="array" aca="1" ref="K18" ca="1">IF(OR((K$4&gt;=$AS$11:$AS$74)*(K$4&lt;=$AT$11:$AT$74)&gt;0),$B18,"")</f>
        <v/>
      </c>
      <c r="L18" s="84">
        <v>12</v>
      </c>
      <c r="M18" s="84">
        <v>12</v>
      </c>
      <c r="N18" s="84">
        <v>12</v>
      </c>
      <c r="O18" s="84">
        <v>12</v>
      </c>
      <c r="P18" s="84">
        <v>12</v>
      </c>
      <c r="Q18" s="84">
        <v>12</v>
      </c>
      <c r="R18" s="84">
        <v>12</v>
      </c>
      <c r="S18" s="84">
        <v>12</v>
      </c>
      <c r="T18" s="84">
        <v>12</v>
      </c>
      <c r="U18" s="84">
        <v>12</v>
      </c>
      <c r="V18" s="84">
        <v>12</v>
      </c>
      <c r="W18" s="84">
        <v>12</v>
      </c>
      <c r="X18" s="84">
        <v>12</v>
      </c>
      <c r="Y18" s="84" t="str">
        <f t="array" aca="1" ref="Y18" ca="1">IF(OR((Y$4&gt;=$AS$11:$AS$74)*(Y$4&lt;=$AT$11:$AT$74)&gt;0),$B18,"")</f>
        <v/>
      </c>
      <c r="Z18" s="84" t="str">
        <f t="array" aca="1" ref="Z18" ca="1">IF(OR((Z$4&gt;=$AS$11:$AS$74)*(Z$4&lt;=$AT$11:$AT$74)&gt;0),$B18,"")</f>
        <v/>
      </c>
      <c r="AA18" s="84" t="str">
        <f t="array" aca="1" ref="AA18" ca="1">IF(OR((AA$4&gt;=$AS$11:$AS$74)*(AA$4&lt;=$AT$11:$AT$74)&gt;0),$B18,"")</f>
        <v/>
      </c>
      <c r="AB18" s="84"/>
      <c r="AC18" s="84" t="str">
        <f t="array" aca="1" ref="AC18" ca="1">IF(OR((AC$4&gt;=$AS$11:$AS$74)*(AC$4&lt;=$AT$11:$AT$74)&gt;0),$B18,"")</f>
        <v/>
      </c>
      <c r="AD18" s="84" t="str">
        <f t="array" aca="1" ref="AD18" ca="1">IF(OR((AD$4&gt;=$AS$11:$AS$74)*(AD$4&lt;=$AT$11:$AT$74)&gt;0),$B18,"")</f>
        <v/>
      </c>
      <c r="AE18" s="84" t="str">
        <f t="array" aca="1" ref="AE18" ca="1">IF(OR((AE$4&gt;=$AS$11:$AS$74)*(AE$4&lt;=$AT$11:$AT$74)&gt;0),$B18,"")</f>
        <v/>
      </c>
      <c r="AF18" s="84" t="str">
        <f t="array" aca="1" ref="AF18" ca="1">IF(OR((AF$4&gt;=$AS$11:$AS$74)*(AF$4&lt;=$AT$11:$AT$74)&gt;0),$B18,"")</f>
        <v/>
      </c>
      <c r="AG18" s="84" t="str">
        <f t="array" aca="1" ref="AG18" ca="1">IF(OR((AG$4&gt;=$AS$11:$AS$74)*(AG$4&lt;=$AT$11:$AT$74)&gt;0),$B18,"")</f>
        <v/>
      </c>
      <c r="AH18" s="84" t="str">
        <f t="array" aca="1" ref="AH18" ca="1">IF(OR((AH$4&gt;=$AS$11:$AS$74)*(AH$4&lt;=$AT$11:$AT$74)&gt;0),$B18,"")</f>
        <v/>
      </c>
      <c r="AI18" s="84" t="str">
        <f t="array" aca="1" ref="AI18" ca="1">IF(OR((AI$4&gt;=$AS$11:$AS$74)*(AI$4&lt;=$AT$11:$AT$74)&gt;0),$B18,"")</f>
        <v/>
      </c>
      <c r="AK18" s="191"/>
      <c r="AL18">
        <v>8</v>
      </c>
      <c r="AM18" t="str">
        <f t="array" aca="1" ref="AM18" ca="1">IFERROR(OFFSET('[1](Fill In) SIAO'!$A$1,SMALL(IF(Signals="Y",ROW(Signals)),AL18)-1,COLUMN(Conducts)-1),"")</f>
        <v/>
      </c>
      <c r="AN18" s="113" t="str">
        <f t="array" aca="1" ref="AN18" ca="1">IFERROR(OFFSET('[1](Fill In) SIAO'!$A$1,SMALL(IF(Signals="Y",ROW(Signals)),AL18)-1,COLUMN(StartDate)-1),"")</f>
        <v/>
      </c>
      <c r="AO18" s="113" t="str">
        <f t="array" aca="1" ref="AO18" ca="1">IFERROR(OFFSET('[1](Fill In) SIAO'!$A$1,SMALL(IF(Signals="Y",ROW(Signals)),AL18)-1,COLUMN(EndDate)-1),"")</f>
        <v/>
      </c>
      <c r="AP18" s="113" t="str">
        <f t="array" aca="1" ref="AP18" ca="1">IFERROR(OFFSET('[1](Fill In) SIAO'!$A$1,SMALL(IF(Optics="Y",ROW(Optics)),AL18)-1,COLUMN(Conducts)-1),"")</f>
        <v/>
      </c>
      <c r="AQ18" s="113" t="str">
        <f t="array" aca="1" ref="AQ18" ca="1">IFERROR(OFFSET('[1](Fill In) SIAO'!$A$1,SMALL(IF(Optics="Y",ROW(Optics)),AL18)-1,COLUMN(StartDate)-1),"")</f>
        <v/>
      </c>
      <c r="AR18" s="113" t="str">
        <f t="array" aca="1" ref="AR18" ca="1">IFERROR(OFFSET('[1](Fill In) SIAO'!$A$1,SMALL(IF(Optics="Y",ROW(Optics)),AL18)-1,COLUMN(EndDate)-1),"")</f>
        <v/>
      </c>
      <c r="AS18" s="113" t="str">
        <f t="array" aca="1" ref="AS18" ca="1">IFERROR(OFFSET('[1](Fill In) SIAO'!$A$1,SMALL(IF(ATMS="Y",ROW(ATMS)),AL18)-1,COLUMN(StartDate)-1),"")</f>
        <v/>
      </c>
      <c r="AT18" s="113" t="str">
        <f t="array" aca="1" ref="AT18" ca="1">IFERROR(OFFSET('[1](Fill In) SIAO'!$A$1,SMALL(IF(ATMS="Y",ROW(ATMS)),AL18)-1,COLUMN(EndDate)-1),"")</f>
        <v/>
      </c>
      <c r="AU18" s="113" t="str">
        <f t="array" aca="1" ref="AU18" ca="1">IFERROR(OFFSET('[1](Fill In) SIAO'!$A$1,SMALL(IF(UO="Y",ROW(UO)),AL18)-1,COLUMN(StartDate)-1),"")</f>
        <v/>
      </c>
      <c r="AV18" s="113" t="str">
        <f t="array" aca="1" ref="AV18" ca="1">IFERROR(OFFSET('[1](Fill In) SIAO'!$A$1,SMALL(IF(UO="Y",ROW(UO)),AL18)-1,COLUMN(EndDate)-1),"")</f>
        <v/>
      </c>
      <c r="AW18" s="113" t="str">
        <f t="array" aca="1" ref="AW18" ca="1">IFERROR(OFFSET('[1](Fill In) SIAO'!$A$1,SMALL(IF(HLT="Y",ROW(HLT)),AL18)-1,COLUMN(StartDate)-1),"")</f>
        <v/>
      </c>
      <c r="AX18" s="113" t="str">
        <f t="array" aca="1" ref="AX18" ca="1">IFERROR(OFFSET('[1](Fill In) SIAO'!$A$1,SMALL(IF(HLT="Y",ROW(HLT)),AL18)-1,COLUMN(EndDate)-1),"")</f>
        <v/>
      </c>
      <c r="AY18" s="113" t="str">
        <f t="array" aca="1" ref="AY18" ca="1">IFERROR(OFFSET('[1](Fill In) SIAO'!$A$1,SMALL(IF(PANTES="Y",ROW(PANTES)),AL18)-1,COLUMN(StartDate)-1),"")</f>
        <v/>
      </c>
      <c r="AZ18" s="113" t="str">
        <f t="array" aca="1" ref="AZ18" ca="1">IFERROR(OFFSET('[1](Fill In) SIAO'!$A$1,SMALL(IF(PANTES="Y",ROW(PANTES)),AL18)-1,COLUMN(EndDate)-1),"")</f>
        <v/>
      </c>
      <c r="BA18" s="113" t="str">
        <f t="array" aca="1" ref="BA18" ca="1">IFERROR(OFFSET('[1](Fill In) SIAO'!$A$1,SMALL(IF(Heli="Y",ROW(Heli)),AL18)-1,COLUMN(StartDate)-1),"")</f>
        <v/>
      </c>
      <c r="BB18" s="113" t="str">
        <f t="array" aca="1" ref="BB18" ca="1">IFERROR(OFFSET('[1](Fill In) SIAO'!$A$1,SMALL(IF(Heli="Y",ROW(Heli)),AL18)-1,COLUMN(EndDate)-1),"")</f>
        <v/>
      </c>
      <c r="BC18" s="113" t="str">
        <f t="array" aca="1" ref="BC18" ca="1">IFERROR(OFFSET('[1](Fill In) SIAO'!$A$1,SMALL(IF(MMR="Y",ROW(MMR)),AL18)-1,COLUMN(StartDate)-1),"")</f>
        <v/>
      </c>
      <c r="BD18" s="113" t="str">
        <f t="array" aca="1" ref="BD18" ca="1">IFERROR(OFFSET('[1](Fill In) SIAO'!$A$1,SMALL(IF(MMR="Y",ROW(MMR)),AL18)-1,COLUMN(EndDate)-1),"")</f>
        <v/>
      </c>
      <c r="BE18" s="113" t="str">
        <f t="array" aca="1" ref="BE18" ca="1">IFERROR(OFFSET('[1](Fill In) SIAO'!$A$1,SMALL(IF(POL="Y",ROW(POL)),AL18)-1,COLUMN(StartDate)-1),"")</f>
        <v/>
      </c>
      <c r="BF18" s="113" t="str">
        <f t="array" aca="1" ref="BF18" ca="1">IFERROR(OFFSET('[1](Fill In) SIAO'!$A$1,SMALL(IF(POL="Y",ROW(POL)),AL18)-1,COLUMN(EndDate)-1),"")</f>
        <v/>
      </c>
    </row>
    <row r="19" spans="1:58">
      <c r="A19" s="75" t="s">
        <v>169</v>
      </c>
      <c r="B19" s="74">
        <v>4</v>
      </c>
      <c r="C19" s="84" t="str">
        <f t="array" aca="1" ref="C19" ca="1">IF(OR((C$4&gt;=$AS$11:$AS$74)*(C$4&lt;=$AT$11:$AT$74)&gt;0),$B19,"")</f>
        <v/>
      </c>
      <c r="D19" s="84" t="str">
        <f t="array" aca="1" ref="D19" ca="1">IF(OR((D$4&gt;=$AS$11:$AS$74)*(D$4&lt;=$AT$11:$AT$74)&gt;0),$B19,"")</f>
        <v/>
      </c>
      <c r="E19" s="84" t="str">
        <f t="array" aca="1" ref="E19" ca="1">IF(OR((E$4&gt;=$AS$11:$AS$74)*(E$4&lt;=$AT$11:$AT$74)&gt;0),$B19,"")</f>
        <v/>
      </c>
      <c r="F19" s="84" t="str">
        <f t="array" aca="1" ref="F19" ca="1">IF(OR((F$4&gt;=$AS$11:$AS$74)*(F$4&lt;=$AT$11:$AT$74)&gt;0),$B19,"")</f>
        <v/>
      </c>
      <c r="G19" s="84" t="str">
        <f t="array" aca="1" ref="G19" ca="1">IF(OR((G$4&gt;=$AS$11:$AS$74)*(G$4&lt;=$AT$11:$AT$74)&gt;0),$B19,"")</f>
        <v/>
      </c>
      <c r="H19" s="84" t="str">
        <f t="array" aca="1" ref="H19" ca="1">IF(OR((H$4&gt;=$AS$11:$AS$74)*(H$4&lt;=$AT$11:$AT$74)&gt;0),$B19,"")</f>
        <v/>
      </c>
      <c r="I19" s="84" t="str">
        <f t="array" aca="1" ref="I19" ca="1">IF(OR((I$4&gt;=$AS$11:$AS$74)*(I$4&lt;=$AT$11:$AT$74)&gt;0),$B19,"")</f>
        <v/>
      </c>
      <c r="J19" s="84" t="str">
        <f t="array" aca="1" ref="J19" ca="1">IF(OR((J$4&gt;=$AS$11:$AS$74)*(J$4&lt;=$AT$11:$AT$74)&gt;0),$B19,"")</f>
        <v/>
      </c>
      <c r="K19" s="84" t="str">
        <f t="array" aca="1" ref="K19" ca="1">IF(OR((K$4&gt;=$AS$11:$AS$74)*(K$4&lt;=$AT$11:$AT$74)&gt;0),$B19,"")</f>
        <v/>
      </c>
      <c r="L19" s="84">
        <v>4</v>
      </c>
      <c r="M19" s="84">
        <v>4</v>
      </c>
      <c r="N19" s="84">
        <v>4</v>
      </c>
      <c r="O19" s="84">
        <v>4</v>
      </c>
      <c r="P19" s="84">
        <v>4</v>
      </c>
      <c r="Q19" s="84">
        <v>4</v>
      </c>
      <c r="R19" s="84">
        <v>4</v>
      </c>
      <c r="S19" s="84">
        <v>4</v>
      </c>
      <c r="T19" s="84">
        <v>4</v>
      </c>
      <c r="U19" s="84">
        <v>4</v>
      </c>
      <c r="V19" s="84">
        <v>4</v>
      </c>
      <c r="W19" s="84">
        <v>4</v>
      </c>
      <c r="X19" s="84">
        <v>4</v>
      </c>
      <c r="Y19" s="84" t="str">
        <f t="array" aca="1" ref="Y19" ca="1">IF(OR((Y$4&gt;=$AS$11:$AS$74)*(Y$4&lt;=$AT$11:$AT$74)&gt;0),$B19,"")</f>
        <v/>
      </c>
      <c r="Z19" s="84" t="str">
        <f t="array" aca="1" ref="Z19" ca="1">IF(OR((Z$4&gt;=$AS$11:$AS$74)*(Z$4&lt;=$AT$11:$AT$74)&gt;0),$B19,"")</f>
        <v/>
      </c>
      <c r="AA19" s="84" t="str">
        <f t="array" aca="1" ref="AA19" ca="1">IF(OR((AA$4&gt;=$AS$11:$AS$74)*(AA$4&lt;=$AT$11:$AT$74)&gt;0),$B19,"")</f>
        <v/>
      </c>
      <c r="AB19" s="84"/>
      <c r="AC19" s="84" t="str">
        <f t="array" aca="1" ref="AC19" ca="1">IF(OR((AC$4&gt;=$AS$11:$AS$74)*(AC$4&lt;=$AT$11:$AT$74)&gt;0),$B19,"")</f>
        <v/>
      </c>
      <c r="AD19" s="84" t="str">
        <f t="array" aca="1" ref="AD19" ca="1">IF(OR((AD$4&gt;=$AS$11:$AS$74)*(AD$4&lt;=$AT$11:$AT$74)&gt;0),$B19,"")</f>
        <v/>
      </c>
      <c r="AE19" s="84" t="str">
        <f t="array" aca="1" ref="AE19" ca="1">IF(OR((AE$4&gt;=$AS$11:$AS$74)*(AE$4&lt;=$AT$11:$AT$74)&gt;0),$B19,"")</f>
        <v/>
      </c>
      <c r="AF19" s="84" t="str">
        <f t="array" aca="1" ref="AF19" ca="1">IF(OR((AF$4&gt;=$AS$11:$AS$74)*(AF$4&lt;=$AT$11:$AT$74)&gt;0),$B19,"")</f>
        <v/>
      </c>
      <c r="AG19" s="84" t="str">
        <f t="array" aca="1" ref="AG19" ca="1">IF(OR((AG$4&gt;=$AS$11:$AS$74)*(AG$4&lt;=$AT$11:$AT$74)&gt;0),$B19,"")</f>
        <v/>
      </c>
      <c r="AH19" s="84" t="str">
        <f t="array" aca="1" ref="AH19" ca="1">IF(OR((AH$4&gt;=$AS$11:$AS$74)*(AH$4&lt;=$AT$11:$AT$74)&gt;0),$B19,"")</f>
        <v/>
      </c>
      <c r="AI19" s="84" t="str">
        <f t="array" aca="1" ref="AI19" ca="1">IF(OR((AI$4&gt;=$AS$11:$AS$74)*(AI$4&lt;=$AT$11:$AT$74)&gt;0),$B19,"")</f>
        <v/>
      </c>
      <c r="AK19" s="191"/>
      <c r="AL19">
        <v>9</v>
      </c>
      <c r="AM19" t="str">
        <f t="array" aca="1" ref="AM19" ca="1">IFERROR(OFFSET('[1](Fill In) SIAO'!$A$1,SMALL(IF(Signals="Y",ROW(Signals)),AL19)-1,COLUMN(Conducts)-1),"")</f>
        <v/>
      </c>
      <c r="AN19" s="113" t="str">
        <f t="array" aca="1" ref="AN19" ca="1">IFERROR(OFFSET('[1](Fill In) SIAO'!$A$1,SMALL(IF(Signals="Y",ROW(Signals)),AL19)-1,COLUMN(StartDate)-1),"")</f>
        <v/>
      </c>
      <c r="AO19" s="113" t="str">
        <f t="array" aca="1" ref="AO19" ca="1">IFERROR(OFFSET('[1](Fill In) SIAO'!$A$1,SMALL(IF(Signals="Y",ROW(Signals)),AL19)-1,COLUMN(EndDate)-1),"")</f>
        <v/>
      </c>
      <c r="AP19" s="113" t="str">
        <f t="array" aca="1" ref="AP19" ca="1">IFERROR(OFFSET('[1](Fill In) SIAO'!$A$1,SMALL(IF(Optics="Y",ROW(Optics)),AL19)-1,COLUMN(Conducts)-1),"")</f>
        <v/>
      </c>
      <c r="AQ19" s="113" t="str">
        <f t="array" aca="1" ref="AQ19" ca="1">IFERROR(OFFSET('[1](Fill In) SIAO'!$A$1,SMALL(IF(Optics="Y",ROW(Optics)),AL19)-1,COLUMN(StartDate)-1),"")</f>
        <v/>
      </c>
      <c r="AR19" s="113" t="str">
        <f t="array" aca="1" ref="AR19" ca="1">IFERROR(OFFSET('[1](Fill In) SIAO'!$A$1,SMALL(IF(Optics="Y",ROW(Optics)),AL19)-1,COLUMN(EndDate)-1),"")</f>
        <v/>
      </c>
      <c r="AS19" s="113" t="str">
        <f t="array" aca="1" ref="AS19" ca="1">IFERROR(OFFSET('[1](Fill In) SIAO'!$A$1,SMALL(IF(ATMS="Y",ROW(ATMS)),AL19)-1,COLUMN(StartDate)-1),"")</f>
        <v/>
      </c>
      <c r="AT19" s="113" t="str">
        <f t="array" aca="1" ref="AT19" ca="1">IFERROR(OFFSET('[1](Fill In) SIAO'!$A$1,SMALL(IF(ATMS="Y",ROW(ATMS)),AL19)-1,COLUMN(EndDate)-1),"")</f>
        <v/>
      </c>
      <c r="AU19" s="113" t="str">
        <f t="array" aca="1" ref="AU19" ca="1">IFERROR(OFFSET('[1](Fill In) SIAO'!$A$1,SMALL(IF(UO="Y",ROW(UO)),AL19)-1,COLUMN(StartDate)-1),"")</f>
        <v/>
      </c>
      <c r="AV19" s="113" t="str">
        <f t="array" aca="1" ref="AV19" ca="1">IFERROR(OFFSET('[1](Fill In) SIAO'!$A$1,SMALL(IF(UO="Y",ROW(UO)),AL19)-1,COLUMN(EndDate)-1),"")</f>
        <v/>
      </c>
      <c r="AW19" s="113" t="str">
        <f t="array" aca="1" ref="AW19" ca="1">IFERROR(OFFSET('[1](Fill In) SIAO'!$A$1,SMALL(IF(HLT="Y",ROW(HLT)),AL19)-1,COLUMN(StartDate)-1),"")</f>
        <v/>
      </c>
      <c r="AX19" s="113" t="str">
        <f t="array" aca="1" ref="AX19" ca="1">IFERROR(OFFSET('[1](Fill In) SIAO'!$A$1,SMALL(IF(HLT="Y",ROW(HLT)),AL19)-1,COLUMN(EndDate)-1),"")</f>
        <v/>
      </c>
      <c r="AY19" s="113" t="str">
        <f t="array" aca="1" ref="AY19" ca="1">IFERROR(OFFSET('[1](Fill In) SIAO'!$A$1,SMALL(IF(PANTES="Y",ROW(PANTES)),AL19)-1,COLUMN(StartDate)-1),"")</f>
        <v/>
      </c>
      <c r="AZ19" s="113" t="str">
        <f t="array" aca="1" ref="AZ19" ca="1">IFERROR(OFFSET('[1](Fill In) SIAO'!$A$1,SMALL(IF(PANTES="Y",ROW(PANTES)),AL19)-1,COLUMN(EndDate)-1),"")</f>
        <v/>
      </c>
      <c r="BA19" s="113" t="str">
        <f t="array" aca="1" ref="BA19" ca="1">IFERROR(OFFSET('[1](Fill In) SIAO'!$A$1,SMALL(IF(Heli="Y",ROW(Heli)),AL19)-1,COLUMN(StartDate)-1),"")</f>
        <v/>
      </c>
      <c r="BB19" s="113" t="str">
        <f t="array" aca="1" ref="BB19" ca="1">IFERROR(OFFSET('[1](Fill In) SIAO'!$A$1,SMALL(IF(Heli="Y",ROW(Heli)),AL19)-1,COLUMN(EndDate)-1),"")</f>
        <v/>
      </c>
      <c r="BC19" s="113" t="str">
        <f t="array" aca="1" ref="BC19" ca="1">IFERROR(OFFSET('[1](Fill In) SIAO'!$A$1,SMALL(IF(MMR="Y",ROW(MMR)),AL19)-1,COLUMN(StartDate)-1),"")</f>
        <v/>
      </c>
      <c r="BD19" s="113" t="str">
        <f t="array" aca="1" ref="BD19" ca="1">IFERROR(OFFSET('[1](Fill In) SIAO'!$A$1,SMALL(IF(MMR="Y",ROW(MMR)),AL19)-1,COLUMN(EndDate)-1),"")</f>
        <v/>
      </c>
      <c r="BE19" s="113" t="str">
        <f t="array" aca="1" ref="BE19" ca="1">IFERROR(OFFSET('[1](Fill In) SIAO'!$A$1,SMALL(IF(POL="Y",ROW(POL)),AL19)-1,COLUMN(StartDate)-1),"")</f>
        <v/>
      </c>
      <c r="BF19" s="113" t="str">
        <f t="array" aca="1" ref="BF19" ca="1">IFERROR(OFFSET('[1](Fill In) SIAO'!$A$1,SMALL(IF(POL="Y",ROW(POL)),AL19)-1,COLUMN(EndDate)-1),"")</f>
        <v/>
      </c>
    </row>
    <row r="20" spans="1:58">
      <c r="A20" s="75" t="s">
        <v>170</v>
      </c>
      <c r="B20" s="74">
        <v>12</v>
      </c>
      <c r="C20" s="84" t="str">
        <f t="array" aca="1" ref="C20" ca="1">IF(OR((C$4&gt;=$AS$11:$AS$74)*(C$4&lt;=$AT$11:$AT$74)&gt;0),$B20,"")</f>
        <v/>
      </c>
      <c r="D20" s="84" t="str">
        <f t="array" aca="1" ref="D20" ca="1">IF(OR((D$4&gt;=$AS$11:$AS$74)*(D$4&lt;=$AT$11:$AT$74)&gt;0),$B20,"")</f>
        <v/>
      </c>
      <c r="E20" s="84" t="str">
        <f t="array" aca="1" ref="E20" ca="1">IF(OR((E$4&gt;=$AS$11:$AS$74)*(E$4&lt;=$AT$11:$AT$74)&gt;0),$B20,"")</f>
        <v/>
      </c>
      <c r="F20" s="84" t="str">
        <f t="array" aca="1" ref="F20" ca="1">IF(OR((F$4&gt;=$AS$11:$AS$74)*(F$4&lt;=$AT$11:$AT$74)&gt;0),$B20,"")</f>
        <v/>
      </c>
      <c r="G20" s="84" t="str">
        <f t="array" aca="1" ref="G20" ca="1">IF(OR((G$4&gt;=$AS$11:$AS$74)*(G$4&lt;=$AT$11:$AT$74)&gt;0),$B20,"")</f>
        <v/>
      </c>
      <c r="H20" s="84" t="str">
        <f t="array" aca="1" ref="H20" ca="1">IF(OR((H$4&gt;=$AS$11:$AS$74)*(H$4&lt;=$AT$11:$AT$74)&gt;0),$B20,"")</f>
        <v/>
      </c>
      <c r="I20" s="84" t="str">
        <f t="array" aca="1" ref="I20" ca="1">IF(OR((I$4&gt;=$AS$11:$AS$74)*(I$4&lt;=$AT$11:$AT$74)&gt;0),$B20,"")</f>
        <v/>
      </c>
      <c r="J20" s="84" t="str">
        <f t="array" aca="1" ref="J20" ca="1">IF(OR((J$4&gt;=$AS$11:$AS$74)*(J$4&lt;=$AT$11:$AT$74)&gt;0),$B20,"")</f>
        <v/>
      </c>
      <c r="K20" s="84" t="str">
        <f t="array" aca="1" ref="K20" ca="1">IF(OR((K$4&gt;=$AS$11:$AS$74)*(K$4&lt;=$AT$11:$AT$74)&gt;0),$B20,"")</f>
        <v/>
      </c>
      <c r="L20" s="84">
        <v>12</v>
      </c>
      <c r="M20" s="84">
        <v>12</v>
      </c>
      <c r="N20" s="84">
        <v>12</v>
      </c>
      <c r="O20" s="84">
        <v>12</v>
      </c>
      <c r="P20" s="84">
        <v>12</v>
      </c>
      <c r="Q20" s="84">
        <v>12</v>
      </c>
      <c r="R20" s="84">
        <v>12</v>
      </c>
      <c r="S20" s="84">
        <v>12</v>
      </c>
      <c r="T20" s="84">
        <v>12</v>
      </c>
      <c r="U20" s="84">
        <v>12</v>
      </c>
      <c r="V20" s="84">
        <v>12</v>
      </c>
      <c r="W20" s="84">
        <v>12</v>
      </c>
      <c r="X20" s="84">
        <v>12</v>
      </c>
      <c r="Y20" s="84" t="str">
        <f t="array" aca="1" ref="Y20" ca="1">IF(OR((Y$4&gt;=$AS$11:$AS$74)*(Y$4&lt;=$AT$11:$AT$74)&gt;0),$B20,"")</f>
        <v/>
      </c>
      <c r="Z20" s="84" t="str">
        <f t="array" aca="1" ref="Z20" ca="1">IF(OR((Z$4&gt;=$AS$11:$AS$74)*(Z$4&lt;=$AT$11:$AT$74)&gt;0),$B20,"")</f>
        <v/>
      </c>
      <c r="AA20" s="84" t="str">
        <f t="array" aca="1" ref="AA20" ca="1">IF(OR((AA$4&gt;=$AS$11:$AS$74)*(AA$4&lt;=$AT$11:$AT$74)&gt;0),$B20,"")</f>
        <v/>
      </c>
      <c r="AB20" s="84"/>
      <c r="AC20" s="84" t="str">
        <f t="array" aca="1" ref="AC20" ca="1">IF(OR((AC$4&gt;=$AS$11:$AS$74)*(AC$4&lt;=$AT$11:$AT$74)&gt;0),$B20,"")</f>
        <v/>
      </c>
      <c r="AD20" s="84" t="str">
        <f t="array" aca="1" ref="AD20" ca="1">IF(OR((AD$4&gt;=$AS$11:$AS$74)*(AD$4&lt;=$AT$11:$AT$74)&gt;0),$B20,"")</f>
        <v/>
      </c>
      <c r="AE20" s="84" t="str">
        <f t="array" aca="1" ref="AE20" ca="1">IF(OR((AE$4&gt;=$AS$11:$AS$74)*(AE$4&lt;=$AT$11:$AT$74)&gt;0),$B20,"")</f>
        <v/>
      </c>
      <c r="AF20" s="84" t="str">
        <f t="array" aca="1" ref="AF20" ca="1">IF(OR((AF$4&gt;=$AS$11:$AS$74)*(AF$4&lt;=$AT$11:$AT$74)&gt;0),$B20,"")</f>
        <v/>
      </c>
      <c r="AG20" s="84" t="str">
        <f t="array" aca="1" ref="AG20" ca="1">IF(OR((AG$4&gt;=$AS$11:$AS$74)*(AG$4&lt;=$AT$11:$AT$74)&gt;0),$B20,"")</f>
        <v/>
      </c>
      <c r="AH20" s="84" t="str">
        <f t="array" aca="1" ref="AH20" ca="1">IF(OR((AH$4&gt;=$AS$11:$AS$74)*(AH$4&lt;=$AT$11:$AT$74)&gt;0),$B20,"")</f>
        <v/>
      </c>
      <c r="AI20" s="84" t="str">
        <f t="array" aca="1" ref="AI20" ca="1">IF(OR((AI$4&gt;=$AS$11:$AS$74)*(AI$4&lt;=$AT$11:$AT$74)&gt;0),$B20,"")</f>
        <v/>
      </c>
      <c r="AK20" s="191"/>
      <c r="AL20">
        <v>10</v>
      </c>
      <c r="AM20" t="str">
        <f t="array" aca="1" ref="AM20" ca="1">IFERROR(OFFSET('[1](Fill In) SIAO'!$A$1,SMALL(IF(Signals="Y",ROW(Signals)),AL20)-1,COLUMN(Conducts)-1),"")</f>
        <v/>
      </c>
      <c r="AN20" s="113" t="str">
        <f t="array" aca="1" ref="AN20" ca="1">IFERROR(OFFSET('[1](Fill In) SIAO'!$A$1,SMALL(IF(Signals="Y",ROW(Signals)),AL20)-1,COLUMN(StartDate)-1),"")</f>
        <v/>
      </c>
      <c r="AO20" s="113" t="str">
        <f t="array" aca="1" ref="AO20" ca="1">IFERROR(OFFSET('[1](Fill In) SIAO'!$A$1,SMALL(IF(Signals="Y",ROW(Signals)),AL20)-1,COLUMN(EndDate)-1),"")</f>
        <v/>
      </c>
      <c r="AP20" s="113" t="str">
        <f t="array" aca="1" ref="AP20" ca="1">IFERROR(OFFSET('[1](Fill In) SIAO'!$A$1,SMALL(IF(Optics="Y",ROW(Optics)),AL20)-1,COLUMN(Conducts)-1),"")</f>
        <v/>
      </c>
      <c r="AQ20" s="113" t="str">
        <f t="array" aca="1" ref="AQ20" ca="1">IFERROR(OFFSET('[1](Fill In) SIAO'!$A$1,SMALL(IF(Optics="Y",ROW(Optics)),AL20)-1,COLUMN(StartDate)-1),"")</f>
        <v/>
      </c>
      <c r="AR20" s="113" t="str">
        <f t="array" aca="1" ref="AR20" ca="1">IFERROR(OFFSET('[1](Fill In) SIAO'!$A$1,SMALL(IF(Optics="Y",ROW(Optics)),AL20)-1,COLUMN(EndDate)-1),"")</f>
        <v/>
      </c>
      <c r="AS20" s="113" t="str">
        <f t="array" aca="1" ref="AS20" ca="1">IFERROR(OFFSET('[1](Fill In) SIAO'!$A$1,SMALL(IF(ATMS="Y",ROW(ATMS)),AL20)-1,COLUMN(StartDate)-1),"")</f>
        <v/>
      </c>
      <c r="AT20" s="113" t="str">
        <f t="array" aca="1" ref="AT20" ca="1">IFERROR(OFFSET('[1](Fill In) SIAO'!$A$1,SMALL(IF(ATMS="Y",ROW(ATMS)),AL20)-1,COLUMN(EndDate)-1),"")</f>
        <v/>
      </c>
      <c r="AU20" s="113" t="str">
        <f t="array" aca="1" ref="AU20" ca="1">IFERROR(OFFSET('[1](Fill In) SIAO'!$A$1,SMALL(IF(UO="Y",ROW(UO)),AL20)-1,COLUMN(StartDate)-1),"")</f>
        <v/>
      </c>
      <c r="AV20" s="113" t="str">
        <f t="array" aca="1" ref="AV20" ca="1">IFERROR(OFFSET('[1](Fill In) SIAO'!$A$1,SMALL(IF(UO="Y",ROW(UO)),AL20)-1,COLUMN(EndDate)-1),"")</f>
        <v/>
      </c>
      <c r="AW20" s="113" t="str">
        <f t="array" aca="1" ref="AW20" ca="1">IFERROR(OFFSET('[1](Fill In) SIAO'!$A$1,SMALL(IF(HLT="Y",ROW(HLT)),AL20)-1,COLUMN(StartDate)-1),"")</f>
        <v/>
      </c>
      <c r="AX20" s="113" t="str">
        <f t="array" aca="1" ref="AX20" ca="1">IFERROR(OFFSET('[1](Fill In) SIAO'!$A$1,SMALL(IF(HLT="Y",ROW(HLT)),AL20)-1,COLUMN(EndDate)-1),"")</f>
        <v/>
      </c>
      <c r="AY20" s="113" t="str">
        <f t="array" aca="1" ref="AY20" ca="1">IFERROR(OFFSET('[1](Fill In) SIAO'!$A$1,SMALL(IF(PANTES="Y",ROW(PANTES)),AL20)-1,COLUMN(StartDate)-1),"")</f>
        <v/>
      </c>
      <c r="AZ20" s="113" t="str">
        <f t="array" aca="1" ref="AZ20" ca="1">IFERROR(OFFSET('[1](Fill In) SIAO'!$A$1,SMALL(IF(PANTES="Y",ROW(PANTES)),AL20)-1,COLUMN(EndDate)-1),"")</f>
        <v/>
      </c>
      <c r="BA20" s="113" t="str">
        <f t="array" aca="1" ref="BA20" ca="1">IFERROR(OFFSET('[1](Fill In) SIAO'!$A$1,SMALL(IF(Heli="Y",ROW(Heli)),AL20)-1,COLUMN(StartDate)-1),"")</f>
        <v/>
      </c>
      <c r="BB20" s="113" t="str">
        <f t="array" aca="1" ref="BB20" ca="1">IFERROR(OFFSET('[1](Fill In) SIAO'!$A$1,SMALL(IF(Heli="Y",ROW(Heli)),AL20)-1,COLUMN(EndDate)-1),"")</f>
        <v/>
      </c>
      <c r="BC20" s="113" t="str">
        <f t="array" aca="1" ref="BC20" ca="1">IFERROR(OFFSET('[1](Fill In) SIAO'!$A$1,SMALL(IF(MMR="Y",ROW(MMR)),AL20)-1,COLUMN(StartDate)-1),"")</f>
        <v/>
      </c>
      <c r="BD20" s="113" t="str">
        <f t="array" aca="1" ref="BD20" ca="1">IFERROR(OFFSET('[1](Fill In) SIAO'!$A$1,SMALL(IF(MMR="Y",ROW(MMR)),AL20)-1,COLUMN(EndDate)-1),"")</f>
        <v/>
      </c>
      <c r="BE20" s="113" t="str">
        <f t="array" aca="1" ref="BE20" ca="1">IFERROR(OFFSET('[1](Fill In) SIAO'!$A$1,SMALL(IF(POL="Y",ROW(POL)),AL20)-1,COLUMN(StartDate)-1),"")</f>
        <v/>
      </c>
      <c r="BF20" s="113" t="str">
        <f t="array" aca="1" ref="BF20" ca="1">IFERROR(OFFSET('[1](Fill In) SIAO'!$A$1,SMALL(IF(POL="Y",ROW(POL)),AL20)-1,COLUMN(EndDate)-1),"")</f>
        <v/>
      </c>
    </row>
    <row r="21" spans="1:58">
      <c r="A21" s="8"/>
      <c r="B21" s="12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K21" s="191"/>
      <c r="AL21">
        <v>11</v>
      </c>
      <c r="AM21" t="str">
        <f t="array" aca="1" ref="AM21" ca="1">IFERROR(OFFSET('[1](Fill In) SIAO'!$A$1,SMALL(IF(Signals="Y",ROW(Signals)),AL21)-1,COLUMN(Conducts)-1),"")</f>
        <v/>
      </c>
      <c r="AN21" s="113" t="str">
        <f t="array" aca="1" ref="AN21" ca="1">IFERROR(OFFSET('[1](Fill In) SIAO'!$A$1,SMALL(IF(Signals="Y",ROW(Signals)),AL21)-1,COLUMN(StartDate)-1),"")</f>
        <v/>
      </c>
      <c r="AO21" s="113" t="str">
        <f t="array" aca="1" ref="AO21" ca="1">IFERROR(OFFSET('[1](Fill In) SIAO'!$A$1,SMALL(IF(Signals="Y",ROW(Signals)),AL21)-1,COLUMN(EndDate)-1),"")</f>
        <v/>
      </c>
      <c r="AP21" s="113" t="str">
        <f t="array" aca="1" ref="AP21" ca="1">IFERROR(OFFSET('[1](Fill In) SIAO'!$A$1,SMALL(IF(Optics="Y",ROW(Optics)),AL21)-1,COLUMN(Conducts)-1),"")</f>
        <v/>
      </c>
      <c r="AQ21" s="113" t="str">
        <f t="array" aca="1" ref="AQ21" ca="1">IFERROR(OFFSET('[1](Fill In) SIAO'!$A$1,SMALL(IF(Optics="Y",ROW(Optics)),AL21)-1,COLUMN(StartDate)-1),"")</f>
        <v/>
      </c>
      <c r="AR21" s="113" t="str">
        <f t="array" aca="1" ref="AR21" ca="1">IFERROR(OFFSET('[1](Fill In) SIAO'!$A$1,SMALL(IF(Optics="Y",ROW(Optics)),AL21)-1,COLUMN(EndDate)-1),"")</f>
        <v/>
      </c>
      <c r="AS21" s="113" t="str">
        <f t="array" aca="1" ref="AS21" ca="1">IFERROR(OFFSET('[1](Fill In) SIAO'!$A$1,SMALL(IF(ATMS="Y",ROW(ATMS)),AL21)-1,COLUMN(StartDate)-1),"")</f>
        <v/>
      </c>
      <c r="AT21" s="113" t="str">
        <f t="array" aca="1" ref="AT21" ca="1">IFERROR(OFFSET('[1](Fill In) SIAO'!$A$1,SMALL(IF(ATMS="Y",ROW(ATMS)),AL21)-1,COLUMN(EndDate)-1),"")</f>
        <v/>
      </c>
      <c r="AU21" s="113" t="str">
        <f t="array" aca="1" ref="AU21" ca="1">IFERROR(OFFSET('[1](Fill In) SIAO'!$A$1,SMALL(IF(UO="Y",ROW(UO)),AL21)-1,COLUMN(StartDate)-1),"")</f>
        <v/>
      </c>
      <c r="AV21" s="113" t="str">
        <f t="array" aca="1" ref="AV21" ca="1">IFERROR(OFFSET('[1](Fill In) SIAO'!$A$1,SMALL(IF(UO="Y",ROW(UO)),AL21)-1,COLUMN(EndDate)-1),"")</f>
        <v/>
      </c>
      <c r="AW21" s="113" t="str">
        <f t="array" aca="1" ref="AW21" ca="1">IFERROR(OFFSET('[1](Fill In) SIAO'!$A$1,SMALL(IF(HLT="Y",ROW(HLT)),AL21)-1,COLUMN(StartDate)-1),"")</f>
        <v/>
      </c>
      <c r="AX21" s="113" t="str">
        <f t="array" aca="1" ref="AX21" ca="1">IFERROR(OFFSET('[1](Fill In) SIAO'!$A$1,SMALL(IF(HLT="Y",ROW(HLT)),AL21)-1,COLUMN(EndDate)-1),"")</f>
        <v/>
      </c>
      <c r="AY21" s="113" t="str">
        <f t="array" aca="1" ref="AY21" ca="1">IFERROR(OFFSET('[1](Fill In) SIAO'!$A$1,SMALL(IF(PANTES="Y",ROW(PANTES)),AL21)-1,COLUMN(StartDate)-1),"")</f>
        <v/>
      </c>
      <c r="AZ21" s="113" t="str">
        <f t="array" aca="1" ref="AZ21" ca="1">IFERROR(OFFSET('[1](Fill In) SIAO'!$A$1,SMALL(IF(PANTES="Y",ROW(PANTES)),AL21)-1,COLUMN(EndDate)-1),"")</f>
        <v/>
      </c>
      <c r="BA21" s="113" t="str">
        <f t="array" aca="1" ref="BA21" ca="1">IFERROR(OFFSET('[1](Fill In) SIAO'!$A$1,SMALL(IF(Heli="Y",ROW(Heli)),AL21)-1,COLUMN(StartDate)-1),"")</f>
        <v/>
      </c>
      <c r="BB21" s="113" t="str">
        <f t="array" aca="1" ref="BB21" ca="1">IFERROR(OFFSET('[1](Fill In) SIAO'!$A$1,SMALL(IF(Heli="Y",ROW(Heli)),AL21)-1,COLUMN(EndDate)-1),"")</f>
        <v/>
      </c>
      <c r="BC21" s="113" t="str">
        <f t="array" aca="1" ref="BC21" ca="1">IFERROR(OFFSET('[1](Fill In) SIAO'!$A$1,SMALL(IF(MMR="Y",ROW(MMR)),AL21)-1,COLUMN(StartDate)-1),"")</f>
        <v/>
      </c>
      <c r="BD21" s="113" t="str">
        <f t="array" aca="1" ref="BD21" ca="1">IFERROR(OFFSET('[1](Fill In) SIAO'!$A$1,SMALL(IF(MMR="Y",ROW(MMR)),AL21)-1,COLUMN(EndDate)-1),"")</f>
        <v/>
      </c>
      <c r="BE21" s="113" t="str">
        <f t="array" aca="1" ref="BE21" ca="1">IFERROR(OFFSET('[1](Fill In) SIAO'!$A$1,SMALL(IF(POL="Y",ROW(POL)),AL21)-1,COLUMN(StartDate)-1),"")</f>
        <v/>
      </c>
      <c r="BF21" s="113" t="str">
        <f t="array" aca="1" ref="BF21" ca="1">IFERROR(OFFSET('[1](Fill In) SIAO'!$A$1,SMALL(IF(POL="Y",ROW(POL)),AL21)-1,COLUMN(EndDate)-1),"")</f>
        <v/>
      </c>
    </row>
    <row r="22" spans="1:58">
      <c r="A22" s="72" t="s">
        <v>215</v>
      </c>
      <c r="B22" s="10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K22" s="191"/>
      <c r="AL22">
        <v>12</v>
      </c>
      <c r="AM22" t="str">
        <f t="array" aca="1" ref="AM22" ca="1">IFERROR(OFFSET('[1](Fill In) SIAO'!$A$1,SMALL(IF(Signals="Y",ROW(Signals)),AL22)-1,COLUMN(Conducts)-1),"")</f>
        <v/>
      </c>
      <c r="AN22" s="113" t="str">
        <f t="array" aca="1" ref="AN22" ca="1">IFERROR(OFFSET('[1](Fill In) SIAO'!$A$1,SMALL(IF(Signals="Y",ROW(Signals)),AL22)-1,COLUMN(StartDate)-1),"")</f>
        <v/>
      </c>
      <c r="AO22" s="113" t="str">
        <f t="array" aca="1" ref="AO22" ca="1">IFERROR(OFFSET('[1](Fill In) SIAO'!$A$1,SMALL(IF(Signals="Y",ROW(Signals)),AL22)-1,COLUMN(EndDate)-1),"")</f>
        <v/>
      </c>
      <c r="AP22" s="113" t="str">
        <f t="array" aca="1" ref="AP22" ca="1">IFERROR(OFFSET('[1](Fill In) SIAO'!$A$1,SMALL(IF(Optics="Y",ROW(Optics)),AL22)-1,COLUMN(Conducts)-1),"")</f>
        <v/>
      </c>
      <c r="AQ22" s="113" t="str">
        <f t="array" aca="1" ref="AQ22" ca="1">IFERROR(OFFSET('[1](Fill In) SIAO'!$A$1,SMALL(IF(Optics="Y",ROW(Optics)),AL22)-1,COLUMN(StartDate)-1),"")</f>
        <v/>
      </c>
      <c r="AR22" s="113" t="str">
        <f t="array" aca="1" ref="AR22" ca="1">IFERROR(OFFSET('[1](Fill In) SIAO'!$A$1,SMALL(IF(Optics="Y",ROW(Optics)),AL22)-1,COLUMN(EndDate)-1),"")</f>
        <v/>
      </c>
      <c r="AS22" s="113" t="str">
        <f t="array" aca="1" ref="AS22" ca="1">IFERROR(OFFSET('[1](Fill In) SIAO'!$A$1,SMALL(IF(ATMS="Y",ROW(ATMS)),AL22)-1,COLUMN(StartDate)-1),"")</f>
        <v/>
      </c>
      <c r="AT22" s="113" t="str">
        <f t="array" aca="1" ref="AT22" ca="1">IFERROR(OFFSET('[1](Fill In) SIAO'!$A$1,SMALL(IF(ATMS="Y",ROW(ATMS)),AL22)-1,COLUMN(EndDate)-1),"")</f>
        <v/>
      </c>
      <c r="AU22" s="113" t="str">
        <f t="array" aca="1" ref="AU22" ca="1">IFERROR(OFFSET('[1](Fill In) SIAO'!$A$1,SMALL(IF(UO="Y",ROW(UO)),AL22)-1,COLUMN(StartDate)-1),"")</f>
        <v/>
      </c>
      <c r="AV22" s="113" t="str">
        <f t="array" aca="1" ref="AV22" ca="1">IFERROR(OFFSET('[1](Fill In) SIAO'!$A$1,SMALL(IF(UO="Y",ROW(UO)),AL22)-1,COLUMN(EndDate)-1),"")</f>
        <v/>
      </c>
      <c r="AW22" s="113" t="str">
        <f t="array" aca="1" ref="AW22" ca="1">IFERROR(OFFSET('[1](Fill In) SIAO'!$A$1,SMALL(IF(HLT="Y",ROW(HLT)),AL22)-1,COLUMN(StartDate)-1),"")</f>
        <v/>
      </c>
      <c r="AX22" s="113" t="str">
        <f t="array" aca="1" ref="AX22" ca="1">IFERROR(OFFSET('[1](Fill In) SIAO'!$A$1,SMALL(IF(HLT="Y",ROW(HLT)),AL22)-1,COLUMN(EndDate)-1),"")</f>
        <v/>
      </c>
      <c r="AY22" s="113" t="str">
        <f t="array" aca="1" ref="AY22" ca="1">IFERROR(OFFSET('[1](Fill In) SIAO'!$A$1,SMALL(IF(PANTES="Y",ROW(PANTES)),AL22)-1,COLUMN(StartDate)-1),"")</f>
        <v/>
      </c>
      <c r="AZ22" s="113" t="str">
        <f t="array" aca="1" ref="AZ22" ca="1">IFERROR(OFFSET('[1](Fill In) SIAO'!$A$1,SMALL(IF(PANTES="Y",ROW(PANTES)),AL22)-1,COLUMN(EndDate)-1),"")</f>
        <v/>
      </c>
      <c r="BA22" s="113" t="str">
        <f t="array" aca="1" ref="BA22" ca="1">IFERROR(OFFSET('[1](Fill In) SIAO'!$A$1,SMALL(IF(Heli="Y",ROW(Heli)),AL22)-1,COLUMN(StartDate)-1),"")</f>
        <v/>
      </c>
      <c r="BB22" s="113" t="str">
        <f t="array" aca="1" ref="BB22" ca="1">IFERROR(OFFSET('[1](Fill In) SIAO'!$A$1,SMALL(IF(Heli="Y",ROW(Heli)),AL22)-1,COLUMN(EndDate)-1),"")</f>
        <v/>
      </c>
      <c r="BC22" s="113" t="str">
        <f t="array" aca="1" ref="BC22" ca="1">IFERROR(OFFSET('[1](Fill In) SIAO'!$A$1,SMALL(IF(MMR="Y",ROW(MMR)),AL22)-1,COLUMN(StartDate)-1),"")</f>
        <v/>
      </c>
      <c r="BD22" s="113" t="str">
        <f t="array" aca="1" ref="BD22" ca="1">IFERROR(OFFSET('[1](Fill In) SIAO'!$A$1,SMALL(IF(MMR="Y",ROW(MMR)),AL22)-1,COLUMN(EndDate)-1),"")</f>
        <v/>
      </c>
      <c r="BE22" s="113" t="str">
        <f t="array" aca="1" ref="BE22" ca="1">IFERROR(OFFSET('[1](Fill In) SIAO'!$A$1,SMALL(IF(POL="Y",ROW(POL)),AL22)-1,COLUMN(StartDate)-1),"")</f>
        <v/>
      </c>
      <c r="BF22" s="113" t="str">
        <f t="array" aca="1" ref="BF22" ca="1">IFERROR(OFFSET('[1](Fill In) SIAO'!$A$1,SMALL(IF(POL="Y",ROW(POL)),AL22)-1,COLUMN(EndDate)-1),"")</f>
        <v/>
      </c>
    </row>
    <row r="23" spans="1:58">
      <c r="B23" s="11" t="s">
        <v>154</v>
      </c>
      <c r="C23" s="112">
        <f>EOMONTH($A$1,-1)</f>
        <v>46112</v>
      </c>
      <c r="D23" s="112">
        <f t="shared" ref="D23:AI23" si="2">C23+1</f>
        <v>46113</v>
      </c>
      <c r="E23" s="112">
        <f t="shared" si="2"/>
        <v>46114</v>
      </c>
      <c r="F23" s="112">
        <f t="shared" si="2"/>
        <v>46115</v>
      </c>
      <c r="G23" s="112">
        <f t="shared" si="2"/>
        <v>46116</v>
      </c>
      <c r="H23" s="112">
        <f t="shared" si="2"/>
        <v>46117</v>
      </c>
      <c r="I23" s="112">
        <f t="shared" si="2"/>
        <v>46118</v>
      </c>
      <c r="J23" s="112">
        <f t="shared" si="2"/>
        <v>46119</v>
      </c>
      <c r="K23" s="112">
        <f t="shared" si="2"/>
        <v>46120</v>
      </c>
      <c r="L23" s="112">
        <f t="shared" si="2"/>
        <v>46121</v>
      </c>
      <c r="M23" s="112">
        <f t="shared" si="2"/>
        <v>46122</v>
      </c>
      <c r="N23" s="112">
        <f t="shared" si="2"/>
        <v>46123</v>
      </c>
      <c r="O23" s="112">
        <f t="shared" si="2"/>
        <v>46124</v>
      </c>
      <c r="P23" s="112">
        <f t="shared" si="2"/>
        <v>46125</v>
      </c>
      <c r="Q23" s="112">
        <f t="shared" si="2"/>
        <v>46126</v>
      </c>
      <c r="R23" s="112">
        <f t="shared" si="2"/>
        <v>46127</v>
      </c>
      <c r="S23" s="112">
        <f t="shared" si="2"/>
        <v>46128</v>
      </c>
      <c r="T23" s="112">
        <f t="shared" si="2"/>
        <v>46129</v>
      </c>
      <c r="U23" s="112">
        <f t="shared" si="2"/>
        <v>46130</v>
      </c>
      <c r="V23" s="112">
        <f t="shared" si="2"/>
        <v>46131</v>
      </c>
      <c r="W23" s="112">
        <f t="shared" si="2"/>
        <v>46132</v>
      </c>
      <c r="X23" s="112">
        <f t="shared" si="2"/>
        <v>46133</v>
      </c>
      <c r="Y23" s="112">
        <f t="shared" si="2"/>
        <v>46134</v>
      </c>
      <c r="Z23" s="112">
        <f t="shared" si="2"/>
        <v>46135</v>
      </c>
      <c r="AA23" s="112">
        <f t="shared" si="2"/>
        <v>46136</v>
      </c>
      <c r="AB23" s="112">
        <f t="shared" si="2"/>
        <v>46137</v>
      </c>
      <c r="AC23" s="112">
        <f t="shared" si="2"/>
        <v>46138</v>
      </c>
      <c r="AD23" s="112">
        <f t="shared" si="2"/>
        <v>46139</v>
      </c>
      <c r="AE23" s="112">
        <f t="shared" si="2"/>
        <v>46140</v>
      </c>
      <c r="AF23" s="112">
        <f t="shared" si="2"/>
        <v>46141</v>
      </c>
      <c r="AG23" s="112">
        <f t="shared" si="2"/>
        <v>46142</v>
      </c>
      <c r="AH23" s="112">
        <f t="shared" si="2"/>
        <v>46143</v>
      </c>
      <c r="AI23" s="112">
        <f t="shared" si="2"/>
        <v>46144</v>
      </c>
      <c r="AK23" s="191"/>
      <c r="AN23" s="186" t="s">
        <v>3</v>
      </c>
      <c r="AO23" s="187"/>
      <c r="AP23" s="126"/>
      <c r="AQ23" s="186" t="s">
        <v>60</v>
      </c>
      <c r="AR23" s="187"/>
      <c r="AS23" s="186" t="s">
        <v>89</v>
      </c>
      <c r="AT23" s="187"/>
      <c r="AU23" s="186" t="s">
        <v>90</v>
      </c>
      <c r="AV23" s="187"/>
      <c r="AW23" s="186" t="s">
        <v>148</v>
      </c>
      <c r="AX23" s="187"/>
      <c r="AY23" s="186" t="s">
        <v>92</v>
      </c>
      <c r="AZ23" s="187"/>
      <c r="BA23" s="186" t="s">
        <v>149</v>
      </c>
      <c r="BB23" s="187"/>
      <c r="BC23" s="186" t="s">
        <v>150</v>
      </c>
      <c r="BD23" s="187"/>
      <c r="BE23" s="186" t="s">
        <v>96</v>
      </c>
      <c r="BF23" s="187"/>
    </row>
    <row r="24" spans="1:58">
      <c r="A24" s="80" t="s">
        <v>172</v>
      </c>
      <c r="B24" s="128">
        <v>7</v>
      </c>
      <c r="C24" s="84"/>
      <c r="D24" s="84"/>
      <c r="E24" s="84"/>
      <c r="F24" s="84"/>
      <c r="G24" s="84"/>
      <c r="H24" s="84"/>
      <c r="I24" s="84"/>
      <c r="J24" s="84"/>
      <c r="K24" s="84"/>
      <c r="L24" s="84">
        <v>7</v>
      </c>
      <c r="M24" s="84">
        <v>7</v>
      </c>
      <c r="N24" s="84">
        <v>7</v>
      </c>
      <c r="O24" s="84">
        <v>7</v>
      </c>
      <c r="P24" s="84">
        <v>7</v>
      </c>
      <c r="Q24" s="84">
        <v>7</v>
      </c>
      <c r="R24" s="84">
        <v>7</v>
      </c>
      <c r="S24" s="84">
        <v>7</v>
      </c>
      <c r="T24" s="84">
        <v>7</v>
      </c>
      <c r="U24" s="84">
        <v>7</v>
      </c>
      <c r="V24" s="86">
        <v>7</v>
      </c>
      <c r="W24" s="84">
        <v>7</v>
      </c>
      <c r="X24" s="84">
        <v>7</v>
      </c>
      <c r="Y24" s="84">
        <v>7</v>
      </c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K24" s="191"/>
      <c r="AN24" s="126"/>
      <c r="AO24" s="126"/>
      <c r="AP24" s="126"/>
      <c r="AQ24" s="126"/>
      <c r="AR24" s="126"/>
      <c r="AS24" s="126"/>
      <c r="AT24" s="126"/>
      <c r="AU24" s="126"/>
      <c r="AV24" s="126"/>
      <c r="AW24" s="126"/>
      <c r="AX24" s="126"/>
      <c r="AY24" s="126"/>
      <c r="AZ24" s="126"/>
      <c r="BA24" s="126"/>
      <c r="BB24" s="126"/>
      <c r="BC24" s="126"/>
      <c r="BD24" s="126"/>
      <c r="BE24" s="126"/>
      <c r="BF24" s="126"/>
    </row>
    <row r="25" spans="1:58">
      <c r="A25" s="80" t="s">
        <v>173</v>
      </c>
      <c r="B25" s="128">
        <v>21</v>
      </c>
      <c r="C25" s="84"/>
      <c r="D25" s="84"/>
      <c r="E25" s="84"/>
      <c r="F25" s="84"/>
      <c r="G25" s="84"/>
      <c r="H25" s="84"/>
      <c r="I25" s="84"/>
      <c r="J25" s="84"/>
      <c r="K25" s="84"/>
      <c r="L25" s="128">
        <v>21</v>
      </c>
      <c r="M25" s="128">
        <v>21</v>
      </c>
      <c r="N25" s="87">
        <v>21</v>
      </c>
      <c r="O25" s="87">
        <v>21</v>
      </c>
      <c r="P25" s="128">
        <v>21</v>
      </c>
      <c r="Q25" s="128">
        <v>21</v>
      </c>
      <c r="R25" s="128">
        <v>21</v>
      </c>
      <c r="S25" s="128">
        <v>21</v>
      </c>
      <c r="T25" s="128">
        <v>21</v>
      </c>
      <c r="U25" s="87">
        <v>21</v>
      </c>
      <c r="V25" s="87">
        <v>21</v>
      </c>
      <c r="W25" s="128">
        <v>21</v>
      </c>
      <c r="X25" s="84">
        <v>21</v>
      </c>
      <c r="Y25" s="84">
        <v>21</v>
      </c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K25" s="191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6"/>
      <c r="BD25" s="126"/>
      <c r="BE25" s="126"/>
      <c r="BF25" s="126"/>
    </row>
    <row r="26" spans="1:58">
      <c r="A26" s="80" t="s">
        <v>174</v>
      </c>
      <c r="B26" s="128">
        <v>19</v>
      </c>
      <c r="C26" s="84"/>
      <c r="D26" s="84"/>
      <c r="E26" s="84"/>
      <c r="F26" s="84"/>
      <c r="G26" s="84"/>
      <c r="H26" s="84"/>
      <c r="I26" s="84"/>
      <c r="J26" s="84"/>
      <c r="K26" s="84"/>
      <c r="L26" s="128">
        <v>19</v>
      </c>
      <c r="M26" s="128">
        <v>19</v>
      </c>
      <c r="N26" s="87">
        <v>19</v>
      </c>
      <c r="O26" s="87">
        <v>19</v>
      </c>
      <c r="P26" s="128">
        <v>19</v>
      </c>
      <c r="Q26" s="128">
        <v>19</v>
      </c>
      <c r="R26" s="128">
        <v>19</v>
      </c>
      <c r="S26" s="128">
        <v>19</v>
      </c>
      <c r="T26" s="128">
        <v>19</v>
      </c>
      <c r="U26" s="87">
        <v>19</v>
      </c>
      <c r="V26" s="87">
        <v>19</v>
      </c>
      <c r="W26" s="128">
        <v>19</v>
      </c>
      <c r="X26" s="84">
        <v>19</v>
      </c>
      <c r="Y26" s="84">
        <v>19</v>
      </c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K26" s="191"/>
      <c r="AN26" s="126"/>
      <c r="AO26" s="126"/>
      <c r="AP26" s="126"/>
      <c r="AQ26" s="126"/>
      <c r="AR26" s="126"/>
      <c r="AS26" s="126"/>
      <c r="AT26" s="126"/>
      <c r="AU26" s="126"/>
      <c r="AV26" s="126"/>
      <c r="AW26" s="126"/>
      <c r="AX26" s="126"/>
      <c r="AY26" s="126"/>
      <c r="AZ26" s="126"/>
      <c r="BA26" s="126"/>
      <c r="BB26" s="126"/>
      <c r="BC26" s="126"/>
      <c r="BD26" s="126"/>
      <c r="BE26" s="126"/>
      <c r="BF26" s="126"/>
    </row>
    <row r="27" spans="1:58">
      <c r="A27" s="80" t="s">
        <v>175</v>
      </c>
      <c r="B27" s="128">
        <v>4</v>
      </c>
      <c r="C27" s="84"/>
      <c r="D27" s="84"/>
      <c r="E27" s="84"/>
      <c r="F27" s="84"/>
      <c r="G27" s="84"/>
      <c r="H27" s="84"/>
      <c r="I27" s="84"/>
      <c r="J27" s="84"/>
      <c r="K27" s="84"/>
      <c r="L27" s="128">
        <v>4</v>
      </c>
      <c r="M27" s="128">
        <v>4</v>
      </c>
      <c r="N27" s="87">
        <v>4</v>
      </c>
      <c r="O27" s="87">
        <v>4</v>
      </c>
      <c r="P27" s="128">
        <v>4</v>
      </c>
      <c r="Q27" s="128">
        <v>4</v>
      </c>
      <c r="R27" s="128">
        <v>4</v>
      </c>
      <c r="S27" s="128">
        <v>4</v>
      </c>
      <c r="T27" s="128">
        <v>4</v>
      </c>
      <c r="U27" s="87">
        <v>4</v>
      </c>
      <c r="V27" s="87">
        <v>4</v>
      </c>
      <c r="W27" s="128">
        <v>4</v>
      </c>
      <c r="X27" s="84">
        <v>4</v>
      </c>
      <c r="Y27" s="84">
        <v>4</v>
      </c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K27" s="191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6"/>
      <c r="BD27" s="126"/>
      <c r="BE27" s="126"/>
      <c r="BF27" s="126"/>
    </row>
    <row r="28" spans="1:58">
      <c r="A28" s="80" t="s">
        <v>176</v>
      </c>
      <c r="B28" s="128">
        <v>12</v>
      </c>
      <c r="C28" s="84"/>
      <c r="D28" s="84"/>
      <c r="E28" s="84"/>
      <c r="F28" s="84"/>
      <c r="G28" s="84"/>
      <c r="H28" s="84"/>
      <c r="I28" s="84"/>
      <c r="J28" s="84"/>
      <c r="K28" s="84"/>
      <c r="L28" s="128">
        <v>12</v>
      </c>
      <c r="M28" s="128">
        <v>12</v>
      </c>
      <c r="N28" s="87">
        <v>12</v>
      </c>
      <c r="O28" s="87">
        <v>12</v>
      </c>
      <c r="P28" s="128">
        <v>12</v>
      </c>
      <c r="Q28" s="128">
        <v>12</v>
      </c>
      <c r="R28" s="128">
        <v>12</v>
      </c>
      <c r="S28" s="128">
        <v>12</v>
      </c>
      <c r="T28" s="128">
        <v>12</v>
      </c>
      <c r="U28" s="87">
        <v>12</v>
      </c>
      <c r="V28" s="87">
        <v>12</v>
      </c>
      <c r="W28" s="128">
        <v>12</v>
      </c>
      <c r="X28" s="84">
        <v>12</v>
      </c>
      <c r="Y28" s="84">
        <v>12</v>
      </c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K28" s="191"/>
      <c r="AN28" s="126"/>
      <c r="AO28" s="126"/>
      <c r="AP28" s="126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6"/>
      <c r="BD28" s="126"/>
      <c r="BE28" s="126"/>
      <c r="BF28" s="126"/>
    </row>
    <row r="29" spans="1:58">
      <c r="A29" s="80" t="s">
        <v>177</v>
      </c>
      <c r="B29" s="128">
        <v>4</v>
      </c>
      <c r="C29" s="84"/>
      <c r="D29" s="84"/>
      <c r="E29" s="84"/>
      <c r="F29" s="84"/>
      <c r="G29" s="84"/>
      <c r="H29" s="84"/>
      <c r="I29" s="84"/>
      <c r="J29" s="84"/>
      <c r="K29" s="84"/>
      <c r="L29" s="128">
        <v>4</v>
      </c>
      <c r="M29" s="128">
        <v>4</v>
      </c>
      <c r="N29" s="87">
        <v>4</v>
      </c>
      <c r="O29" s="87">
        <v>4</v>
      </c>
      <c r="P29" s="128">
        <v>4</v>
      </c>
      <c r="Q29" s="128">
        <v>4</v>
      </c>
      <c r="R29" s="128">
        <v>4</v>
      </c>
      <c r="S29" s="128">
        <v>4</v>
      </c>
      <c r="T29" s="128">
        <v>4</v>
      </c>
      <c r="U29" s="87">
        <v>4</v>
      </c>
      <c r="V29" s="87">
        <v>4</v>
      </c>
      <c r="W29" s="128">
        <v>4</v>
      </c>
      <c r="X29" s="84">
        <v>4</v>
      </c>
      <c r="Y29" s="84">
        <v>4</v>
      </c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K29" s="191"/>
      <c r="AN29" s="126"/>
      <c r="AO29" s="126"/>
      <c r="AP29" s="126"/>
      <c r="AQ29" s="126"/>
      <c r="AR29" s="126"/>
      <c r="AS29" s="126"/>
      <c r="AT29" s="126"/>
      <c r="AU29" s="126"/>
      <c r="AV29" s="126"/>
      <c r="AW29" s="126"/>
      <c r="AX29" s="126"/>
      <c r="AY29" s="126"/>
      <c r="AZ29" s="126"/>
      <c r="BA29" s="126"/>
      <c r="BB29" s="126"/>
      <c r="BC29" s="126"/>
      <c r="BD29" s="126"/>
      <c r="BE29" s="126"/>
      <c r="BF29" s="126"/>
    </row>
    <row r="30" spans="1:58">
      <c r="A30" s="80" t="s">
        <v>178</v>
      </c>
      <c r="B30" s="128">
        <v>4</v>
      </c>
      <c r="C30" s="84"/>
      <c r="D30" s="84"/>
      <c r="E30" s="84"/>
      <c r="F30" s="84"/>
      <c r="G30" s="84"/>
      <c r="H30" s="84"/>
      <c r="I30" s="84"/>
      <c r="J30" s="84"/>
      <c r="K30" s="84"/>
      <c r="L30" s="128">
        <v>4</v>
      </c>
      <c r="M30" s="128">
        <v>4</v>
      </c>
      <c r="N30" s="87">
        <v>4</v>
      </c>
      <c r="O30" s="87">
        <v>4</v>
      </c>
      <c r="P30" s="128">
        <v>4</v>
      </c>
      <c r="Q30" s="128">
        <v>4</v>
      </c>
      <c r="R30" s="128">
        <v>4</v>
      </c>
      <c r="S30" s="128">
        <v>4</v>
      </c>
      <c r="T30" s="128">
        <v>4</v>
      </c>
      <c r="U30" s="87">
        <v>4</v>
      </c>
      <c r="V30" s="87">
        <v>4</v>
      </c>
      <c r="W30" s="128">
        <v>4</v>
      </c>
      <c r="X30" s="84">
        <v>4</v>
      </c>
      <c r="Y30" s="84">
        <v>4</v>
      </c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K30" s="191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6"/>
      <c r="BD30" s="126"/>
      <c r="BE30" s="126"/>
      <c r="BF30" s="126"/>
    </row>
    <row r="31" spans="1:58">
      <c r="A31" s="80" t="s">
        <v>179</v>
      </c>
      <c r="B31" s="128">
        <v>2</v>
      </c>
      <c r="C31" s="84"/>
      <c r="D31" s="84"/>
      <c r="E31" s="84"/>
      <c r="F31" s="84"/>
      <c r="G31" s="84"/>
      <c r="H31" s="84"/>
      <c r="I31" s="84"/>
      <c r="J31" s="84"/>
      <c r="K31" s="84"/>
      <c r="L31" s="84">
        <v>2</v>
      </c>
      <c r="M31" s="84">
        <v>2</v>
      </c>
      <c r="N31" s="79">
        <v>2</v>
      </c>
      <c r="O31" s="79">
        <v>2</v>
      </c>
      <c r="P31" s="84">
        <v>2</v>
      </c>
      <c r="Q31" s="84">
        <v>2</v>
      </c>
      <c r="R31" s="84">
        <v>2</v>
      </c>
      <c r="S31" s="84">
        <v>2</v>
      </c>
      <c r="T31" s="84">
        <v>2</v>
      </c>
      <c r="U31" s="84">
        <v>2</v>
      </c>
      <c r="V31" s="79">
        <v>2</v>
      </c>
      <c r="W31" s="84">
        <v>2</v>
      </c>
      <c r="X31" s="84">
        <v>2</v>
      </c>
      <c r="Y31" s="84">
        <v>2</v>
      </c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K31" s="191"/>
      <c r="AL31">
        <v>13</v>
      </c>
      <c r="AM31" t="str">
        <f t="array" aca="1" ref="AM31" ca="1">IFERROR(OFFSET('[1](Fill In) SIAO'!$A$1,SMALL(IF(Signals="Y",ROW(Signals)),AL31)-1,COLUMN(Conducts)-1),"")</f>
        <v/>
      </c>
      <c r="AN31" s="113" t="str">
        <f t="array" aca="1" ref="AN31" ca="1">IFERROR(OFFSET('[1](Fill In) SIAO'!$A$1,SMALL(IF(Signals="Y",ROW(Signals)),AL31)-1,COLUMN(StartDate)-1),"")</f>
        <v/>
      </c>
      <c r="AO31" s="113" t="str">
        <f t="array" aca="1" ref="AO31" ca="1">IFERROR(OFFSET('[1](Fill In) SIAO'!$A$1,SMALL(IF(Signals="Y",ROW(Signals)),AL31)-1,COLUMN(EndDate)-1),"")</f>
        <v/>
      </c>
      <c r="AP31" s="113" t="str">
        <f t="array" aca="1" ref="AP31" ca="1">IFERROR(OFFSET('[1](Fill In) SIAO'!$A$1,SMALL(IF(Optics="Y",ROW(Optics)),AL31)-1,COLUMN(Conducts)-1),"")</f>
        <v/>
      </c>
      <c r="AQ31" s="113" t="str">
        <f t="array" aca="1" ref="AQ31" ca="1">IFERROR(OFFSET('[1](Fill In) SIAO'!$A$1,SMALL(IF(Optics="Y",ROW(Optics)),AL31)-1,COLUMN(StartDate)-1),"")</f>
        <v/>
      </c>
      <c r="AR31" s="113" t="str">
        <f t="array" aca="1" ref="AR31" ca="1">IFERROR(OFFSET('[1](Fill In) SIAO'!$A$1,SMALL(IF(Optics="Y",ROW(Optics)),AL31)-1,COLUMN(EndDate)-1),"")</f>
        <v/>
      </c>
      <c r="AS31" s="113" t="str">
        <f t="array" aca="1" ref="AS31" ca="1">IFERROR(OFFSET('[1](Fill In) SIAO'!$A$1,SMALL(IF(ATMS="Y",ROW(ATMS)),AL31)-1,COLUMN(StartDate)-1),"")</f>
        <v/>
      </c>
      <c r="AT31" s="113" t="str">
        <f t="array" aca="1" ref="AT31" ca="1">IFERROR(OFFSET('[1](Fill In) SIAO'!$A$1,SMALL(IF(ATMS="Y",ROW(ATMS)),AL31)-1,COLUMN(EndDate)-1),"")</f>
        <v/>
      </c>
      <c r="AU31" s="113" t="str">
        <f t="array" aca="1" ref="AU31" ca="1">IFERROR(OFFSET('[1](Fill In) SIAO'!$A$1,SMALL(IF(UO="Y",ROW(UO)),AL31)-1,COLUMN(StartDate)-1),"")</f>
        <v/>
      </c>
      <c r="AV31" s="113" t="str">
        <f t="array" aca="1" ref="AV31" ca="1">IFERROR(OFFSET('[1](Fill In) SIAO'!$A$1,SMALL(IF(UO="Y",ROW(UO)),AL31)-1,COLUMN(EndDate)-1),"")</f>
        <v/>
      </c>
      <c r="AW31" s="113" t="str">
        <f t="array" aca="1" ref="AW31" ca="1">IFERROR(OFFSET('[1](Fill In) SIAO'!$A$1,SMALL(IF(HLT="Y",ROW(HLT)),AL31)-1,COLUMN(StartDate)-1),"")</f>
        <v/>
      </c>
      <c r="AX31" s="113" t="str">
        <f t="array" aca="1" ref="AX31" ca="1">IFERROR(OFFSET('[1](Fill In) SIAO'!$A$1,SMALL(IF(HLT="Y",ROW(HLT)),AL31)-1,COLUMN(EndDate)-1),"")</f>
        <v/>
      </c>
      <c r="AY31" s="113" t="str">
        <f t="array" aca="1" ref="AY31" ca="1">IFERROR(OFFSET('[1](Fill In) SIAO'!$A$1,SMALL(IF(PANTES="Y",ROW(PANTES)),AL31)-1,COLUMN(StartDate)-1),"")</f>
        <v/>
      </c>
      <c r="AZ31" s="113" t="str">
        <f t="array" aca="1" ref="AZ31" ca="1">IFERROR(OFFSET('[1](Fill In) SIAO'!$A$1,SMALL(IF(PANTES="Y",ROW(PANTES)),AL31)-1,COLUMN(EndDate)-1),"")</f>
        <v/>
      </c>
      <c r="BA31" s="113" t="str">
        <f t="array" aca="1" ref="BA31" ca="1">IFERROR(OFFSET('[1](Fill In) SIAO'!$A$1,SMALL(IF(Heli="Y",ROW(Heli)),AL31)-1,COLUMN(StartDate)-1),"")</f>
        <v/>
      </c>
      <c r="BB31" s="113" t="str">
        <f t="array" aca="1" ref="BB31" ca="1">IFERROR(OFFSET('[1](Fill In) SIAO'!$A$1,SMALL(IF(Heli="Y",ROW(Heli)),AL31)-1,COLUMN(EndDate)-1),"")</f>
        <v/>
      </c>
      <c r="BC31" s="113" t="str">
        <f t="array" aca="1" ref="BC31" ca="1">IFERROR(OFFSET('[1](Fill In) SIAO'!$A$1,SMALL(IF(MMR="Y",ROW(MMR)),AL31)-1,COLUMN(StartDate)-1),"")</f>
        <v/>
      </c>
      <c r="BD31" s="113" t="str">
        <f t="array" aca="1" ref="BD31" ca="1">IFERROR(OFFSET('[1](Fill In) SIAO'!$A$1,SMALL(IF(MMR="Y",ROW(MMR)),AL31)-1,COLUMN(EndDate)-1),"")</f>
        <v/>
      </c>
      <c r="BE31" s="113" t="str">
        <f t="array" aca="1" ref="BE31" ca="1">IFERROR(OFFSET('[1](Fill In) SIAO'!$A$1,SMALL(IF(POL="Y",ROW(POL)),AL31)-1,COLUMN(StartDate)-1),"")</f>
        <v/>
      </c>
      <c r="BF31" s="113" t="str">
        <f t="array" aca="1" ref="BF31" ca="1">IFERROR(OFFSET('[1](Fill In) SIAO'!$A$1,SMALL(IF(POL="Y",ROW(POL)),AL31)-1,COLUMN(EndDate)-1),"")</f>
        <v/>
      </c>
    </row>
    <row r="32" spans="1:58">
      <c r="A32" s="80" t="s">
        <v>180</v>
      </c>
      <c r="B32" s="128">
        <v>3</v>
      </c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79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K32" s="191"/>
      <c r="AL32">
        <v>14</v>
      </c>
      <c r="AM32" t="str">
        <f t="array" aca="1" ref="AM32" ca="1">IFERROR(OFFSET('[1](Fill In) SIAO'!$A$1,SMALL(IF(Signals="Y",ROW(Signals)),AL32)-1,COLUMN(Conducts)-1),"")</f>
        <v/>
      </c>
      <c r="AN32" s="113" t="str">
        <f t="array" aca="1" ref="AN32" ca="1">IFERROR(OFFSET('[1](Fill In) SIAO'!$A$1,SMALL(IF(Signals="Y",ROW(Signals)),AL32)-1,COLUMN(StartDate)-1),"")</f>
        <v/>
      </c>
      <c r="AO32" s="113" t="str">
        <f t="array" aca="1" ref="AO32" ca="1">IFERROR(OFFSET('[1](Fill In) SIAO'!$A$1,SMALL(IF(Signals="Y",ROW(Signals)),AL32)-1,COLUMN(EndDate)-1),"")</f>
        <v/>
      </c>
      <c r="AP32" s="113" t="str">
        <f t="array" aca="1" ref="AP32" ca="1">IFERROR(OFFSET('[1](Fill In) SIAO'!$A$1,SMALL(IF(Optics="Y",ROW(Optics)),AL32)-1,COLUMN(Conducts)-1),"")</f>
        <v/>
      </c>
      <c r="AQ32" s="113" t="str">
        <f t="array" aca="1" ref="AQ32" ca="1">IFERROR(OFFSET('[1](Fill In) SIAO'!$A$1,SMALL(IF(Optics="Y",ROW(Optics)),AL32)-1,COLUMN(StartDate)-1),"")</f>
        <v/>
      </c>
      <c r="AR32" s="113" t="str">
        <f t="array" aca="1" ref="AR32" ca="1">IFERROR(OFFSET('[1](Fill In) SIAO'!$A$1,SMALL(IF(Optics="Y",ROW(Optics)),AL32)-1,COLUMN(EndDate)-1),"")</f>
        <v/>
      </c>
      <c r="AS32" s="113" t="str">
        <f t="array" aca="1" ref="AS32" ca="1">IFERROR(OFFSET('[1](Fill In) SIAO'!$A$1,SMALL(IF(ATMS="Y",ROW(ATMS)),AL32)-1,COLUMN(StartDate)-1),"")</f>
        <v/>
      </c>
      <c r="AT32" s="113" t="str">
        <f t="array" aca="1" ref="AT32" ca="1">IFERROR(OFFSET('[1](Fill In) SIAO'!$A$1,SMALL(IF(ATMS="Y",ROW(ATMS)),AL32)-1,COLUMN(EndDate)-1),"")</f>
        <v/>
      </c>
      <c r="AU32" s="113" t="str">
        <f t="array" aca="1" ref="AU32" ca="1">IFERROR(OFFSET('[1](Fill In) SIAO'!$A$1,SMALL(IF(UO="Y",ROW(UO)),AL32)-1,COLUMN(StartDate)-1),"")</f>
        <v/>
      </c>
      <c r="AV32" s="113" t="str">
        <f t="array" aca="1" ref="AV32" ca="1">IFERROR(OFFSET('[1](Fill In) SIAO'!$A$1,SMALL(IF(UO="Y",ROW(UO)),AL32)-1,COLUMN(EndDate)-1),"")</f>
        <v/>
      </c>
      <c r="AW32" s="113" t="str">
        <f t="array" aca="1" ref="AW32" ca="1">IFERROR(OFFSET('[1](Fill In) SIAO'!$A$1,SMALL(IF(HLT="Y",ROW(HLT)),AL32)-1,COLUMN(StartDate)-1),"")</f>
        <v/>
      </c>
      <c r="AX32" s="113" t="str">
        <f t="array" aca="1" ref="AX32" ca="1">IFERROR(OFFSET('[1](Fill In) SIAO'!$A$1,SMALL(IF(HLT="Y",ROW(HLT)),AL32)-1,COLUMN(EndDate)-1),"")</f>
        <v/>
      </c>
      <c r="AY32" s="113" t="str">
        <f t="array" aca="1" ref="AY32" ca="1">IFERROR(OFFSET('[1](Fill In) SIAO'!$A$1,SMALL(IF(PANTES="Y",ROW(PANTES)),AL32)-1,COLUMN(StartDate)-1),"")</f>
        <v/>
      </c>
      <c r="AZ32" s="113" t="str">
        <f t="array" aca="1" ref="AZ32" ca="1">IFERROR(OFFSET('[1](Fill In) SIAO'!$A$1,SMALL(IF(PANTES="Y",ROW(PANTES)),AL32)-1,COLUMN(EndDate)-1),"")</f>
        <v/>
      </c>
      <c r="BA32" s="113" t="str">
        <f t="array" aca="1" ref="BA32" ca="1">IFERROR(OFFSET('[1](Fill In) SIAO'!$A$1,SMALL(IF(Heli="Y",ROW(Heli)),AL32)-1,COLUMN(StartDate)-1),"")</f>
        <v/>
      </c>
      <c r="BB32" s="113" t="str">
        <f t="array" aca="1" ref="BB32" ca="1">IFERROR(OFFSET('[1](Fill In) SIAO'!$A$1,SMALL(IF(Heli="Y",ROW(Heli)),AL32)-1,COLUMN(EndDate)-1),"")</f>
        <v/>
      </c>
      <c r="BC32" s="113" t="str">
        <f t="array" aca="1" ref="BC32" ca="1">IFERROR(OFFSET('[1](Fill In) SIAO'!$A$1,SMALL(IF(MMR="Y",ROW(MMR)),AL32)-1,COLUMN(StartDate)-1),"")</f>
        <v/>
      </c>
      <c r="BD32" s="113" t="str">
        <f t="array" aca="1" ref="BD32" ca="1">IFERROR(OFFSET('[1](Fill In) SIAO'!$A$1,SMALL(IF(MMR="Y",ROW(MMR)),AL32)-1,COLUMN(EndDate)-1),"")</f>
        <v/>
      </c>
      <c r="BE32" s="113" t="str">
        <f t="array" aca="1" ref="BE32" ca="1">IFERROR(OFFSET('[1](Fill In) SIAO'!$A$1,SMALL(IF(POL="Y",ROW(POL)),AL32)-1,COLUMN(StartDate)-1),"")</f>
        <v/>
      </c>
      <c r="BF32" s="113" t="str">
        <f t="array" aca="1" ref="BF32" ca="1">IFERROR(OFFSET('[1](Fill In) SIAO'!$A$1,SMALL(IF(POL="Y",ROW(POL)),AL32)-1,COLUMN(EndDate)-1),"")</f>
        <v/>
      </c>
    </row>
    <row r="33" spans="1:58" ht="15" customHeight="1">
      <c r="A33" s="80" t="s">
        <v>181</v>
      </c>
      <c r="B33" s="128">
        <v>3</v>
      </c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79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K33" s="191"/>
      <c r="AL33">
        <v>15</v>
      </c>
      <c r="AM33" t="str">
        <f t="array" aca="1" ref="AM33" ca="1">IFERROR(OFFSET('[1](Fill In) SIAO'!$A$1,SMALL(IF(Signals="Y",ROW(Signals)),AL33)-1,COLUMN(Conducts)-1),"")</f>
        <v/>
      </c>
      <c r="AN33" s="113" t="str">
        <f t="array" aca="1" ref="AN33" ca="1">IFERROR(OFFSET('[1](Fill In) SIAO'!$A$1,SMALL(IF(Signals="Y",ROW(Signals)),AL33)-1,COLUMN(StartDate)-1),"")</f>
        <v/>
      </c>
      <c r="AO33" s="113" t="str">
        <f t="array" aca="1" ref="AO33" ca="1">IFERROR(OFFSET('[1](Fill In) SIAO'!$A$1,SMALL(IF(Signals="Y",ROW(Signals)),AL33)-1,COLUMN(EndDate)-1),"")</f>
        <v/>
      </c>
      <c r="AP33" s="113" t="str">
        <f t="array" aca="1" ref="AP33" ca="1">IFERROR(OFFSET('[1](Fill In) SIAO'!$A$1,SMALL(IF(Optics="Y",ROW(Optics)),AL33)-1,COLUMN(Conducts)-1),"")</f>
        <v/>
      </c>
      <c r="AQ33" s="113" t="str">
        <f t="array" aca="1" ref="AQ33" ca="1">IFERROR(OFFSET('[1](Fill In) SIAO'!$A$1,SMALL(IF(Optics="Y",ROW(Optics)),AL33)-1,COLUMN(StartDate)-1),"")</f>
        <v/>
      </c>
      <c r="AR33" s="113" t="str">
        <f t="array" aca="1" ref="AR33" ca="1">IFERROR(OFFSET('[1](Fill In) SIAO'!$A$1,SMALL(IF(Optics="Y",ROW(Optics)),AL33)-1,COLUMN(EndDate)-1),"")</f>
        <v/>
      </c>
      <c r="AS33" s="113" t="str">
        <f t="array" aca="1" ref="AS33" ca="1">IFERROR(OFFSET('[1](Fill In) SIAO'!$A$1,SMALL(IF(ATMS="Y",ROW(ATMS)),AL33)-1,COLUMN(StartDate)-1),"")</f>
        <v/>
      </c>
      <c r="AT33" s="113" t="str">
        <f t="array" aca="1" ref="AT33" ca="1">IFERROR(OFFSET('[1](Fill In) SIAO'!$A$1,SMALL(IF(ATMS="Y",ROW(ATMS)),AL33)-1,COLUMN(EndDate)-1),"")</f>
        <v/>
      </c>
      <c r="AU33" s="113" t="str">
        <f t="array" aca="1" ref="AU33" ca="1">IFERROR(OFFSET('[1](Fill In) SIAO'!$A$1,SMALL(IF(UO="Y",ROW(UO)),AL33)-1,COLUMN(StartDate)-1),"")</f>
        <v/>
      </c>
      <c r="AV33" s="113" t="str">
        <f t="array" aca="1" ref="AV33" ca="1">IFERROR(OFFSET('[1](Fill In) SIAO'!$A$1,SMALL(IF(UO="Y",ROW(UO)),AL33)-1,COLUMN(EndDate)-1),"")</f>
        <v/>
      </c>
      <c r="AW33" s="113" t="str">
        <f t="array" aca="1" ref="AW33" ca="1">IFERROR(OFFSET('[1](Fill In) SIAO'!$A$1,SMALL(IF(HLT="Y",ROW(HLT)),AL33)-1,COLUMN(StartDate)-1),"")</f>
        <v/>
      </c>
      <c r="AX33" s="113" t="str">
        <f t="array" aca="1" ref="AX33" ca="1">IFERROR(OFFSET('[1](Fill In) SIAO'!$A$1,SMALL(IF(HLT="Y",ROW(HLT)),AL33)-1,COLUMN(EndDate)-1),"")</f>
        <v/>
      </c>
      <c r="AY33" s="113" t="str">
        <f t="array" aca="1" ref="AY33" ca="1">IFERROR(OFFSET('[1](Fill In) SIAO'!$A$1,SMALL(IF(PANTES="Y",ROW(PANTES)),AL33)-1,COLUMN(StartDate)-1),"")</f>
        <v/>
      </c>
      <c r="AZ33" s="113" t="str">
        <f t="array" aca="1" ref="AZ33" ca="1">IFERROR(OFFSET('[1](Fill In) SIAO'!$A$1,SMALL(IF(PANTES="Y",ROW(PANTES)),AL33)-1,COLUMN(EndDate)-1),"")</f>
        <v/>
      </c>
      <c r="BA33" s="113" t="str">
        <f t="array" aca="1" ref="BA33" ca="1">IFERROR(OFFSET('[1](Fill In) SIAO'!$A$1,SMALL(IF(Heli="Y",ROW(Heli)),AL33)-1,COLUMN(StartDate)-1),"")</f>
        <v/>
      </c>
      <c r="BB33" s="113" t="str">
        <f t="array" aca="1" ref="BB33" ca="1">IFERROR(OFFSET('[1](Fill In) SIAO'!$A$1,SMALL(IF(Heli="Y",ROW(Heli)),AL33)-1,COLUMN(EndDate)-1),"")</f>
        <v/>
      </c>
      <c r="BC33" s="113" t="str">
        <f t="array" aca="1" ref="BC33" ca="1">IFERROR(OFFSET('[1](Fill In) SIAO'!$A$1,SMALL(IF(MMR="Y",ROW(MMR)),AL33)-1,COLUMN(StartDate)-1),"")</f>
        <v/>
      </c>
      <c r="BD33" s="113" t="str">
        <f t="array" aca="1" ref="BD33" ca="1">IFERROR(OFFSET('[1](Fill In) SIAO'!$A$1,SMALL(IF(MMR="Y",ROW(MMR)),AL33)-1,COLUMN(EndDate)-1),"")</f>
        <v/>
      </c>
      <c r="BE33" s="113" t="str">
        <f t="array" aca="1" ref="BE33" ca="1">IFERROR(OFFSET('[1](Fill In) SIAO'!$A$1,SMALL(IF(POL="Y",ROW(POL)),AL33)-1,COLUMN(StartDate)-1),"")</f>
        <v/>
      </c>
      <c r="BF33" s="113" t="str">
        <f t="array" aca="1" ref="BF33" ca="1">IFERROR(OFFSET('[1](Fill In) SIAO'!$A$1,SMALL(IF(POL="Y",ROW(POL)),AL33)-1,COLUMN(EndDate)-1),"")</f>
        <v/>
      </c>
    </row>
    <row r="34" spans="1:58">
      <c r="A34" s="80" t="s">
        <v>182</v>
      </c>
      <c r="B34" s="128">
        <v>3</v>
      </c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K34" s="191"/>
      <c r="AL34">
        <v>16</v>
      </c>
      <c r="AM34" t="str">
        <f t="array" aca="1" ref="AM34" ca="1">IFERROR(OFFSET('[1](Fill In) SIAO'!$A$1,SMALL(IF(Signals="Y",ROW(Signals)),AL34)-1,COLUMN(Conducts)-1),"")</f>
        <v/>
      </c>
      <c r="AN34" s="113" t="str">
        <f t="array" aca="1" ref="AN34" ca="1">IFERROR(OFFSET('[1](Fill In) SIAO'!$A$1,SMALL(IF(Signals="Y",ROW(Signals)),AL34)-1,COLUMN(StartDate)-1),"")</f>
        <v/>
      </c>
      <c r="AO34" s="113" t="str">
        <f t="array" aca="1" ref="AO34" ca="1">IFERROR(OFFSET('[1](Fill In) SIAO'!$A$1,SMALL(IF(Signals="Y",ROW(Signals)),AL34)-1,COLUMN(EndDate)-1),"")</f>
        <v/>
      </c>
      <c r="AP34" s="113" t="str">
        <f t="array" aca="1" ref="AP34" ca="1">IFERROR(OFFSET('[1](Fill In) SIAO'!$A$1,SMALL(IF(Optics="Y",ROW(Optics)),AL34)-1,COLUMN(Conducts)-1),"")</f>
        <v/>
      </c>
      <c r="AQ34" s="113" t="str">
        <f t="array" aca="1" ref="AQ34" ca="1">IFERROR(OFFSET('[1](Fill In) SIAO'!$A$1,SMALL(IF(Optics="Y",ROW(Optics)),AL34)-1,COLUMN(StartDate)-1),"")</f>
        <v/>
      </c>
      <c r="AR34" s="113" t="str">
        <f t="array" aca="1" ref="AR34" ca="1">IFERROR(OFFSET('[1](Fill In) SIAO'!$A$1,SMALL(IF(Optics="Y",ROW(Optics)),AL34)-1,COLUMN(EndDate)-1),"")</f>
        <v/>
      </c>
      <c r="AS34" s="113" t="str">
        <f t="array" aca="1" ref="AS34" ca="1">IFERROR(OFFSET('[1](Fill In) SIAO'!$A$1,SMALL(IF(ATMS="Y",ROW(ATMS)),AL34)-1,COLUMN(StartDate)-1),"")</f>
        <v/>
      </c>
      <c r="AT34" s="113" t="str">
        <f t="array" aca="1" ref="AT34" ca="1">IFERROR(OFFSET('[1](Fill In) SIAO'!$A$1,SMALL(IF(ATMS="Y",ROW(ATMS)),AL34)-1,COLUMN(EndDate)-1),"")</f>
        <v/>
      </c>
      <c r="AU34" s="113" t="str">
        <f t="array" aca="1" ref="AU34" ca="1">IFERROR(OFFSET('[1](Fill In) SIAO'!$A$1,SMALL(IF(UO="Y",ROW(UO)),AL34)-1,COLUMN(StartDate)-1),"")</f>
        <v/>
      </c>
      <c r="AV34" s="113" t="str">
        <f t="array" aca="1" ref="AV34" ca="1">IFERROR(OFFSET('[1](Fill In) SIAO'!$A$1,SMALL(IF(UO="Y",ROW(UO)),AL34)-1,COLUMN(EndDate)-1),"")</f>
        <v/>
      </c>
      <c r="AW34" s="113" t="str">
        <f t="array" aca="1" ref="AW34" ca="1">IFERROR(OFFSET('[1](Fill In) SIAO'!$A$1,SMALL(IF(HLT="Y",ROW(HLT)),AL34)-1,COLUMN(StartDate)-1),"")</f>
        <v/>
      </c>
      <c r="AX34" s="113" t="str">
        <f t="array" aca="1" ref="AX34" ca="1">IFERROR(OFFSET('[1](Fill In) SIAO'!$A$1,SMALL(IF(HLT="Y",ROW(HLT)),AL34)-1,COLUMN(EndDate)-1),"")</f>
        <v/>
      </c>
      <c r="AY34" s="113" t="str">
        <f t="array" aca="1" ref="AY34" ca="1">IFERROR(OFFSET('[1](Fill In) SIAO'!$A$1,SMALL(IF(PANTES="Y",ROW(PANTES)),AL34)-1,COLUMN(StartDate)-1),"")</f>
        <v/>
      </c>
      <c r="AZ34" s="113" t="str">
        <f t="array" aca="1" ref="AZ34" ca="1">IFERROR(OFFSET('[1](Fill In) SIAO'!$A$1,SMALL(IF(PANTES="Y",ROW(PANTES)),AL34)-1,COLUMN(EndDate)-1),"")</f>
        <v/>
      </c>
      <c r="BA34" s="113" t="str">
        <f t="array" aca="1" ref="BA34" ca="1">IFERROR(OFFSET('[1](Fill In) SIAO'!$A$1,SMALL(IF(Heli="Y",ROW(Heli)),AL34)-1,COLUMN(StartDate)-1),"")</f>
        <v/>
      </c>
      <c r="BB34" s="113" t="str">
        <f t="array" aca="1" ref="BB34" ca="1">IFERROR(OFFSET('[1](Fill In) SIAO'!$A$1,SMALL(IF(Heli="Y",ROW(Heli)),AL34)-1,COLUMN(EndDate)-1),"")</f>
        <v/>
      </c>
      <c r="BC34" s="113" t="str">
        <f t="array" aca="1" ref="BC34" ca="1">IFERROR(OFFSET('[1](Fill In) SIAO'!$A$1,SMALL(IF(MMR="Y",ROW(MMR)),AL34)-1,COLUMN(StartDate)-1),"")</f>
        <v/>
      </c>
      <c r="BD34" s="113" t="str">
        <f t="array" aca="1" ref="BD34" ca="1">IFERROR(OFFSET('[1](Fill In) SIAO'!$A$1,SMALL(IF(MMR="Y",ROW(MMR)),AL34)-1,COLUMN(EndDate)-1),"")</f>
        <v/>
      </c>
      <c r="BE34" s="113" t="str">
        <f t="array" aca="1" ref="BE34" ca="1">IFERROR(OFFSET('[1](Fill In) SIAO'!$A$1,SMALL(IF(POL="Y",ROW(POL)),AL34)-1,COLUMN(StartDate)-1),"")</f>
        <v/>
      </c>
      <c r="BF34" s="113" t="str">
        <f t="array" aca="1" ref="BF34" ca="1">IFERROR(OFFSET('[1](Fill In) SIAO'!$A$1,SMALL(IF(POL="Y",ROW(POL)),AL34)-1,COLUMN(EndDate)-1),"")</f>
        <v/>
      </c>
    </row>
    <row r="35" spans="1:58">
      <c r="A35" s="80" t="s">
        <v>183</v>
      </c>
      <c r="B35" s="128">
        <v>5</v>
      </c>
      <c r="C35" s="84" t="str">
        <f t="array" aca="1" ref="C35" ca="1">IF(OR((C$23&gt;=$AW$11:$AW$74)*(C$4&lt;=$AX$11:$AX$74)&gt;0),$B35,"")</f>
        <v/>
      </c>
      <c r="D35" s="84" t="str">
        <f t="array" aca="1" ref="D35" ca="1">IF(OR((D$23&gt;=$AW$11:$AW$74)*(D$4&lt;=$AX$11:$AX$74)&gt;0),$B35,"")</f>
        <v/>
      </c>
      <c r="E35" s="84" t="str">
        <f t="array" aca="1" ref="E35" ca="1">IF(OR((E$23&gt;=$AW$11:$AW$74)*(E$4&lt;=$AX$11:$AX$74)&gt;0),$B35,"")</f>
        <v/>
      </c>
      <c r="F35" s="84" t="str">
        <f t="array" aca="1" ref="F35" ca="1">IF(OR((F$23&gt;=$AW$11:$AW$74)*(F$4&lt;=$AX$11:$AX$74)&gt;0),$B35,"")</f>
        <v/>
      </c>
      <c r="G35" s="84" t="str">
        <f t="array" aca="1" ref="G35" ca="1">IF(OR((G$23&gt;=$AW$11:$AW$74)*(G$4&lt;=$AX$11:$AX$74)&gt;0),$B35,"")</f>
        <v/>
      </c>
      <c r="H35" s="84" t="str">
        <f t="array" aca="1" ref="H35" ca="1">IF(OR((H$23&gt;=$AW$11:$AW$74)*(H$4&lt;=$AX$11:$AX$74)&gt;0),$B35,"")</f>
        <v/>
      </c>
      <c r="I35" s="84" t="str">
        <f t="array" aca="1" ref="I35" ca="1">IF(OR((I$23&gt;=$AW$11:$AW$74)*(I$4&lt;=$AX$11:$AX$74)&gt;0),$B35,"")</f>
        <v/>
      </c>
      <c r="J35" s="84" t="str">
        <f t="array" aca="1" ref="J35" ca="1">IF(OR((J$23&gt;=$AW$11:$AW$74)*(J$4&lt;=$AX$11:$AX$74)&gt;0),$B35,"")</f>
        <v/>
      </c>
      <c r="K35" s="84" t="str">
        <f t="array" aca="1" ref="K35" ca="1">IF(OR((K$23&gt;=$AW$11:$AW$74)*(K$4&lt;=$AX$11:$AX$74)&gt;0),$B35,"")</f>
        <v/>
      </c>
      <c r="L35" s="84">
        <v>5</v>
      </c>
      <c r="M35" s="84">
        <v>5</v>
      </c>
      <c r="N35" s="84">
        <v>5</v>
      </c>
      <c r="O35" s="84">
        <v>5</v>
      </c>
      <c r="P35" s="84">
        <v>5</v>
      </c>
      <c r="Q35" s="84">
        <v>5</v>
      </c>
      <c r="R35" s="84">
        <v>5</v>
      </c>
      <c r="S35" s="84">
        <v>5</v>
      </c>
      <c r="T35" s="84">
        <v>5</v>
      </c>
      <c r="U35" s="84">
        <v>5</v>
      </c>
      <c r="V35" s="84">
        <v>5</v>
      </c>
      <c r="W35" s="84">
        <v>5</v>
      </c>
      <c r="X35" s="84">
        <v>5</v>
      </c>
      <c r="Y35" s="84">
        <v>5</v>
      </c>
      <c r="Z35" s="84" t="str">
        <f t="array" aca="1" ref="Z35" ca="1">IF(OR((Z$23&gt;=$AW$11:$AW$74)*(Z$4&lt;=$AX$11:$AX$74)&gt;0),$B35,"")</f>
        <v/>
      </c>
      <c r="AA35" s="84" t="str">
        <f t="array" aca="1" ref="AA35" ca="1">IF(OR((AA$23&gt;=$AW$11:$AW$74)*(AA$4&lt;=$AX$11:$AX$74)&gt;0),$B35,"")</f>
        <v/>
      </c>
      <c r="AB35" s="84" t="str">
        <f t="array" aca="1" ref="AB35" ca="1">IF(OR((AB$23&gt;=$AW$11:$AW$74)*(AB$4&lt;=$AX$11:$AX$74)&gt;0),$B35,"")</f>
        <v/>
      </c>
      <c r="AC35" s="84" t="str">
        <f t="array" aca="1" ref="AC35" ca="1">IF(OR((AC$23&gt;=$AW$11:$AW$74)*(AC$4&lt;=$AX$11:$AX$74)&gt;0),$B35,"")</f>
        <v/>
      </c>
      <c r="AD35" s="84" t="str">
        <f t="array" aca="1" ref="AD35" ca="1">IF(OR((AD$23&gt;=$AW$11:$AW$74)*(AD$4&lt;=$AX$11:$AX$74)&gt;0),$B35,"")</f>
        <v/>
      </c>
      <c r="AE35" s="84" t="str">
        <f t="array" aca="1" ref="AE35" ca="1">IF(OR((AE$23&gt;=$AW$11:$AW$74)*(AE$4&lt;=$AX$11:$AX$74)&gt;0),$B35,"")</f>
        <v/>
      </c>
      <c r="AF35" s="84" t="str">
        <f t="array" aca="1" ref="AF35" ca="1">IF(OR((AF$23&gt;=$AW$11:$AW$74)*(AF$4&lt;=$AX$11:$AX$74)&gt;0),$B35,"")</f>
        <v/>
      </c>
      <c r="AG35" s="84" t="str">
        <f t="array" aca="1" ref="AG35" ca="1">IF(OR((AG$23&gt;=$AW$11:$AW$74)*(AG$4&lt;=$AX$11:$AX$74)&gt;0),$B35,"")</f>
        <v/>
      </c>
      <c r="AH35" s="84" t="str">
        <f t="array" aca="1" ref="AH35" ca="1">IF(OR((AH$23&gt;=$AW$11:$AW$74)*(AH$4&lt;=$AX$11:$AX$74)&gt;0),$B35,"")</f>
        <v/>
      </c>
      <c r="AI35" s="84" t="str">
        <f t="array" aca="1" ref="AI35" ca="1">IF(OR((AI$23&gt;=$AW$11:$AW$74)*(AI$4&lt;=$AX$11:$AX$74)&gt;0),$B35,"")</f>
        <v/>
      </c>
      <c r="AK35" s="191"/>
      <c r="AL35">
        <v>17</v>
      </c>
      <c r="AM35" t="str">
        <f t="array" aca="1" ref="AM35" ca="1">IFERROR(OFFSET('[1](Fill In) SIAO'!$A$1,SMALL(IF(Signals="Y",ROW(Signals)),AL35)-1,COLUMN(Conducts)-1),"")</f>
        <v/>
      </c>
      <c r="AN35" s="113" t="str">
        <f t="array" aca="1" ref="AN35" ca="1">IFERROR(OFFSET('[1](Fill In) SIAO'!$A$1,SMALL(IF(Signals="Y",ROW(Signals)),AL35)-1,COLUMN(StartDate)-1),"")</f>
        <v/>
      </c>
      <c r="AO35" s="113" t="str">
        <f t="array" aca="1" ref="AO35" ca="1">IFERROR(OFFSET('[1](Fill In) SIAO'!$A$1,SMALL(IF(Signals="Y",ROW(Signals)),AL35)-1,COLUMN(EndDate)-1),"")</f>
        <v/>
      </c>
      <c r="AP35" s="113" t="str">
        <f t="array" aca="1" ref="AP35" ca="1">IFERROR(OFFSET('[1](Fill In) SIAO'!$A$1,SMALL(IF(Optics="Y",ROW(Optics)),AL35)-1,COLUMN(Conducts)-1),"")</f>
        <v/>
      </c>
      <c r="AQ35" s="113" t="str">
        <f t="array" aca="1" ref="AQ35" ca="1">IFERROR(OFFSET('[1](Fill In) SIAO'!$A$1,SMALL(IF(Optics="Y",ROW(Optics)),AL35)-1,COLUMN(StartDate)-1),"")</f>
        <v/>
      </c>
      <c r="AR35" s="113" t="str">
        <f t="array" aca="1" ref="AR35" ca="1">IFERROR(OFFSET('[1](Fill In) SIAO'!$A$1,SMALL(IF(Optics="Y",ROW(Optics)),AL35)-1,COLUMN(EndDate)-1),"")</f>
        <v/>
      </c>
      <c r="AS35" s="113" t="str">
        <f t="array" aca="1" ref="AS35" ca="1">IFERROR(OFFSET('[1](Fill In) SIAO'!$A$1,SMALL(IF(ATMS="Y",ROW(ATMS)),AL35)-1,COLUMN(StartDate)-1),"")</f>
        <v/>
      </c>
      <c r="AT35" s="113" t="str">
        <f t="array" aca="1" ref="AT35" ca="1">IFERROR(OFFSET('[1](Fill In) SIAO'!$A$1,SMALL(IF(ATMS="Y",ROW(ATMS)),AL35)-1,COLUMN(EndDate)-1),"")</f>
        <v/>
      </c>
      <c r="AU35" s="113" t="str">
        <f t="array" aca="1" ref="AU35" ca="1">IFERROR(OFFSET('[1](Fill In) SIAO'!$A$1,SMALL(IF(UO="Y",ROW(UO)),AL35)-1,COLUMN(StartDate)-1),"")</f>
        <v/>
      </c>
      <c r="AV35" s="113" t="str">
        <f t="array" aca="1" ref="AV35" ca="1">IFERROR(OFFSET('[1](Fill In) SIAO'!$A$1,SMALL(IF(UO="Y",ROW(UO)),AL35)-1,COLUMN(EndDate)-1),"")</f>
        <v/>
      </c>
      <c r="AW35" s="113" t="str">
        <f t="array" aca="1" ref="AW35" ca="1">IFERROR(OFFSET('[1](Fill In) SIAO'!$A$1,SMALL(IF(HLT="Y",ROW(HLT)),AL35)-1,COLUMN(StartDate)-1),"")</f>
        <v/>
      </c>
      <c r="AX35" s="113" t="str">
        <f t="array" aca="1" ref="AX35" ca="1">IFERROR(OFFSET('[1](Fill In) SIAO'!$A$1,SMALL(IF(HLT="Y",ROW(HLT)),AL35)-1,COLUMN(EndDate)-1),"")</f>
        <v/>
      </c>
      <c r="AY35" s="113" t="str">
        <f t="array" aca="1" ref="AY35" ca="1">IFERROR(OFFSET('[1](Fill In) SIAO'!$A$1,SMALL(IF(PANTES="Y",ROW(PANTES)),AL35)-1,COLUMN(StartDate)-1),"")</f>
        <v/>
      </c>
      <c r="AZ35" s="113" t="str">
        <f t="array" aca="1" ref="AZ35" ca="1">IFERROR(OFFSET('[1](Fill In) SIAO'!$A$1,SMALL(IF(PANTES="Y",ROW(PANTES)),AL35)-1,COLUMN(EndDate)-1),"")</f>
        <v/>
      </c>
      <c r="BA35" s="113" t="str">
        <f t="array" aca="1" ref="BA35" ca="1">IFERROR(OFFSET('[1](Fill In) SIAO'!$A$1,SMALL(IF(Heli="Y",ROW(Heli)),AL35)-1,COLUMN(StartDate)-1),"")</f>
        <v/>
      </c>
      <c r="BB35" s="113" t="str">
        <f t="array" aca="1" ref="BB35" ca="1">IFERROR(OFFSET('[1](Fill In) SIAO'!$A$1,SMALL(IF(Heli="Y",ROW(Heli)),AL35)-1,COLUMN(EndDate)-1),"")</f>
        <v/>
      </c>
      <c r="BC35" s="113" t="str">
        <f t="array" aca="1" ref="BC35" ca="1">IFERROR(OFFSET('[1](Fill In) SIAO'!$A$1,SMALL(IF(MMR="Y",ROW(MMR)),AL35)-1,COLUMN(StartDate)-1),"")</f>
        <v/>
      </c>
      <c r="BD35" s="113" t="str">
        <f t="array" aca="1" ref="BD35" ca="1">IFERROR(OFFSET('[1](Fill In) SIAO'!$A$1,SMALL(IF(MMR="Y",ROW(MMR)),AL35)-1,COLUMN(EndDate)-1),"")</f>
        <v/>
      </c>
      <c r="BE35" s="113" t="str">
        <f t="array" aca="1" ref="BE35" ca="1">IFERROR(OFFSET('[1](Fill In) SIAO'!$A$1,SMALL(IF(POL="Y",ROW(POL)),AL35)-1,COLUMN(StartDate)-1),"")</f>
        <v/>
      </c>
      <c r="BF35" s="113" t="str">
        <f t="array" aca="1" ref="BF35" ca="1">IFERROR(OFFSET('[1](Fill In) SIAO'!$A$1,SMALL(IF(POL="Y",ROW(POL)),AL35)-1,COLUMN(EndDate)-1),"")</f>
        <v/>
      </c>
    </row>
    <row r="36" spans="1:58">
      <c r="A36" s="80" t="s">
        <v>184</v>
      </c>
      <c r="B36" s="128">
        <v>1</v>
      </c>
      <c r="C36" s="84" t="str">
        <f t="array" aca="1" ref="C36" ca="1">IF(OR((C$23&gt;=$AW$11:$AW$74)*(C$4&lt;=$AX$11:$AX$74)&gt;0),$B36,"")</f>
        <v/>
      </c>
      <c r="D36" s="84" t="str">
        <f t="array" aca="1" ref="D36" ca="1">IF(OR((D$23&gt;=$AW$11:$AW$74)*(D$4&lt;=$AX$11:$AX$74)&gt;0),$B36,"")</f>
        <v/>
      </c>
      <c r="E36" s="84" t="str">
        <f t="array" aca="1" ref="E36" ca="1">IF(OR((E$23&gt;=$AW$11:$AW$74)*(E$4&lt;=$AX$11:$AX$74)&gt;0),$B36,"")</f>
        <v/>
      </c>
      <c r="F36" s="84" t="str">
        <f t="array" aca="1" ref="F36" ca="1">IF(OR((F$23&gt;=$AW$11:$AW$74)*(F$4&lt;=$AX$11:$AX$74)&gt;0),$B36,"")</f>
        <v/>
      </c>
      <c r="G36" s="84" t="str">
        <f t="array" aca="1" ref="G36" ca="1">IF(OR((G$23&gt;=$AW$11:$AW$74)*(G$4&lt;=$AX$11:$AX$74)&gt;0),$B36,"")</f>
        <v/>
      </c>
      <c r="H36" s="84" t="str">
        <f t="array" aca="1" ref="H36" ca="1">IF(OR((H$23&gt;=$AW$11:$AW$74)*(H$4&lt;=$AX$11:$AX$74)&gt;0),$B36,"")</f>
        <v/>
      </c>
      <c r="I36" s="84" t="str">
        <f t="array" aca="1" ref="I36" ca="1">IF(OR((I$23&gt;=$AW$11:$AW$74)*(I$4&lt;=$AX$11:$AX$74)&gt;0),$B36,"")</f>
        <v/>
      </c>
      <c r="J36" s="84" t="str">
        <f t="array" aca="1" ref="J36" ca="1">IF(OR((J$23&gt;=$AW$11:$AW$74)*(J$4&lt;=$AX$11:$AX$74)&gt;0),$B36,"")</f>
        <v/>
      </c>
      <c r="K36" s="84" t="str">
        <f t="array" aca="1" ref="K36" ca="1">IF(OR((K$23&gt;=$AW$11:$AW$74)*(K$4&lt;=$AX$11:$AX$74)&gt;0),$B36,"")</f>
        <v/>
      </c>
      <c r="L36" s="84" t="str">
        <f t="array" aca="1" ref="L36" ca="1">IF(OR((L$23&gt;=$AW$11:$AW$74)*(L$4&lt;=$AX$11:$AX$74)&gt;0),$B36,"")</f>
        <v/>
      </c>
      <c r="M36" s="84" t="str">
        <f t="array" aca="1" ref="M36" ca="1">IF(OR((M$23&gt;=$AW$11:$AW$74)*(M$4&lt;=$AX$11:$AX$74)&gt;0),$B36,"")</f>
        <v/>
      </c>
      <c r="N36" s="84" t="str">
        <f t="array" aca="1" ref="N36" ca="1">IF(OR((N$23&gt;=$AW$11:$AW$74)*(N$4&lt;=$AX$11:$AX$74)&gt;0),$B36,"")</f>
        <v/>
      </c>
      <c r="O36" s="84" t="str">
        <f t="array" aca="1" ref="O36" ca="1">IF(OR((O$23&gt;=$AW$11:$AW$74)*(O$4&lt;=$AX$11:$AX$74)&gt;0),$B36,"")</f>
        <v/>
      </c>
      <c r="P36" s="84" t="str">
        <f t="array" aca="1" ref="P36" ca="1">IF(OR((P$23&gt;=$AW$11:$AW$74)*(P$4&lt;=$AX$11:$AX$74)&gt;0),$B36,"")</f>
        <v/>
      </c>
      <c r="Q36" s="84" t="str">
        <f t="array" aca="1" ref="Q36" ca="1">IF(OR((Q$23&gt;=$AW$11:$AW$74)*(Q$4&lt;=$AX$11:$AX$74)&gt;0),$B36,"")</f>
        <v/>
      </c>
      <c r="R36" s="84" t="str">
        <f t="array" aca="1" ref="R36" ca="1">IF(OR((R$23&gt;=$AW$11:$AW$74)*(R$4&lt;=$AX$11:$AX$74)&gt;0),$B36,"")</f>
        <v/>
      </c>
      <c r="S36" s="84" t="str">
        <f t="array" aca="1" ref="S36" ca="1">IF(OR((S$23&gt;=$AW$11:$AW$74)*(S$4&lt;=$AX$11:$AX$74)&gt;0),$B36,"")</f>
        <v/>
      </c>
      <c r="T36" s="84" t="str">
        <f t="array" aca="1" ref="T36" ca="1">IF(OR((T$23&gt;=$AW$11:$AW$74)*(T$4&lt;=$AX$11:$AX$74)&gt;0),$B36,"")</f>
        <v/>
      </c>
      <c r="U36" s="84" t="str">
        <f t="array" aca="1" ref="U36" ca="1">IF(OR((U$23&gt;=$AW$11:$AW$74)*(U$4&lt;=$AX$11:$AX$74)&gt;0),$B36,"")</f>
        <v/>
      </c>
      <c r="V36" s="84" t="str">
        <f t="array" aca="1" ref="V36" ca="1">IF(OR((V$23&gt;=$AW$11:$AW$74)*(V$4&lt;=$AX$11:$AX$74)&gt;0),$B36,"")</f>
        <v/>
      </c>
      <c r="W36" s="84" t="str">
        <f t="array" aca="1" ref="W36" ca="1">IF(OR((W$23&gt;=$AW$11:$AW$74)*(W$4&lt;=$AX$11:$AX$74)&gt;0),$B36,"")</f>
        <v/>
      </c>
      <c r="X36" s="84" t="str">
        <f t="array" aca="1" ref="X36" ca="1">IF(OR((X$23&gt;=$AW$11:$AW$74)*(X$4&lt;=$AX$11:$AX$74)&gt;0),$B36,"")</f>
        <v/>
      </c>
      <c r="Y36" s="84" t="str">
        <f t="array" aca="1" ref="Y36" ca="1">IF(OR((Y$23&gt;=$AW$11:$AW$74)*(Y$4&lt;=$AX$11:$AX$74)&gt;0),$B36,"")</f>
        <v/>
      </c>
      <c r="Z36" s="84" t="str">
        <f t="array" aca="1" ref="Z36" ca="1">IF(OR((Z$23&gt;=$AW$11:$AW$74)*(Z$4&lt;=$AX$11:$AX$74)&gt;0),$B36,"")</f>
        <v/>
      </c>
      <c r="AA36" s="84" t="str">
        <f t="array" aca="1" ref="AA36" ca="1">IF(OR((AA$23&gt;=$AW$11:$AW$74)*(AA$4&lt;=$AX$11:$AX$74)&gt;0),$B36,"")</f>
        <v/>
      </c>
      <c r="AB36" s="84" t="str">
        <f t="array" aca="1" ref="AB36" ca="1">IF(OR((AB$23&gt;=$AW$11:$AW$74)*(AB$4&lt;=$AX$11:$AX$74)&gt;0),$B36,"")</f>
        <v/>
      </c>
      <c r="AC36" s="84" t="str">
        <f t="array" aca="1" ref="AC36" ca="1">IF(OR((AC$23&gt;=$AW$11:$AW$74)*(AC$4&lt;=$AX$11:$AX$74)&gt;0),$B36,"")</f>
        <v/>
      </c>
      <c r="AD36" s="84" t="str">
        <f t="array" aca="1" ref="AD36" ca="1">IF(OR((AD$23&gt;=$AW$11:$AW$74)*(AD$4&lt;=$AX$11:$AX$74)&gt;0),$B36,"")</f>
        <v/>
      </c>
      <c r="AE36" s="84" t="str">
        <f t="array" aca="1" ref="AE36" ca="1">IF(OR((AE$23&gt;=$AW$11:$AW$74)*(AE$4&lt;=$AX$11:$AX$74)&gt;0),$B36,"")</f>
        <v/>
      </c>
      <c r="AF36" s="84" t="str">
        <f t="array" aca="1" ref="AF36" ca="1">IF(OR((AF$23&gt;=$AW$11:$AW$74)*(AF$4&lt;=$AX$11:$AX$74)&gt;0),$B36,"")</f>
        <v/>
      </c>
      <c r="AG36" s="84" t="str">
        <f t="array" aca="1" ref="AG36" ca="1">IF(OR((AG$23&gt;=$AW$11:$AW$74)*(AG$4&lt;=$AX$11:$AX$74)&gt;0),$B36,"")</f>
        <v/>
      </c>
      <c r="AH36" s="84" t="str">
        <f t="array" aca="1" ref="AH36" ca="1">IF(OR((AH$23&gt;=$AW$11:$AW$74)*(AH$4&lt;=$AX$11:$AX$74)&gt;0),$B36,"")</f>
        <v/>
      </c>
      <c r="AI36" s="84" t="str">
        <f t="array" aca="1" ref="AI36" ca="1">IF(OR((AI$23&gt;=$AW$11:$AW$74)*(AI$4&lt;=$AX$11:$AX$74)&gt;0),$B36,"")</f>
        <v/>
      </c>
      <c r="AK36" s="191"/>
      <c r="AL36">
        <v>18</v>
      </c>
      <c r="AM36" t="str">
        <f t="array" aca="1" ref="AM36" ca="1">IFERROR(OFFSET('[1](Fill In) SIAO'!$A$1,SMALL(IF(Signals="Y",ROW(Signals)),AL36)-1,COLUMN(Conducts)-1),"")</f>
        <v/>
      </c>
      <c r="AN36" s="113" t="str">
        <f t="array" aca="1" ref="AN36" ca="1">IFERROR(OFFSET('[1](Fill In) SIAO'!$A$1,SMALL(IF(Signals="Y",ROW(Signals)),AL36)-1,COLUMN(StartDate)-1),"")</f>
        <v/>
      </c>
      <c r="AO36" s="113" t="str">
        <f t="array" aca="1" ref="AO36" ca="1">IFERROR(OFFSET('[1](Fill In) SIAO'!$A$1,SMALL(IF(Signals="Y",ROW(Signals)),AL36)-1,COLUMN(EndDate)-1),"")</f>
        <v/>
      </c>
      <c r="AP36" s="113" t="str">
        <f t="array" aca="1" ref="AP36" ca="1">IFERROR(OFFSET('[1](Fill In) SIAO'!$A$1,SMALL(IF(Optics="Y",ROW(Optics)),AL36)-1,COLUMN(Conducts)-1),"")</f>
        <v/>
      </c>
      <c r="AQ36" s="113" t="str">
        <f t="array" aca="1" ref="AQ36" ca="1">IFERROR(OFFSET('[1](Fill In) SIAO'!$A$1,SMALL(IF(Optics="Y",ROW(Optics)),AL36)-1,COLUMN(StartDate)-1),"")</f>
        <v/>
      </c>
      <c r="AR36" s="113" t="str">
        <f t="array" aca="1" ref="AR36" ca="1">IFERROR(OFFSET('[1](Fill In) SIAO'!$A$1,SMALL(IF(Optics="Y",ROW(Optics)),AL36)-1,COLUMN(EndDate)-1),"")</f>
        <v/>
      </c>
      <c r="AS36" s="113" t="str">
        <f t="array" aca="1" ref="AS36" ca="1">IFERROR(OFFSET('[1](Fill In) SIAO'!$A$1,SMALL(IF(ATMS="Y",ROW(ATMS)),AL36)-1,COLUMN(StartDate)-1),"")</f>
        <v/>
      </c>
      <c r="AT36" s="113" t="str">
        <f t="array" aca="1" ref="AT36" ca="1">IFERROR(OFFSET('[1](Fill In) SIAO'!$A$1,SMALL(IF(ATMS="Y",ROW(ATMS)),AL36)-1,COLUMN(EndDate)-1),"")</f>
        <v/>
      </c>
      <c r="AU36" s="113" t="str">
        <f t="array" aca="1" ref="AU36" ca="1">IFERROR(OFFSET('[1](Fill In) SIAO'!$A$1,SMALL(IF(UO="Y",ROW(UO)),AL36)-1,COLUMN(StartDate)-1),"")</f>
        <v/>
      </c>
      <c r="AV36" s="113" t="str">
        <f t="array" aca="1" ref="AV36" ca="1">IFERROR(OFFSET('[1](Fill In) SIAO'!$A$1,SMALL(IF(UO="Y",ROW(UO)),AL36)-1,COLUMN(EndDate)-1),"")</f>
        <v/>
      </c>
      <c r="AW36" s="113" t="str">
        <f t="array" aca="1" ref="AW36" ca="1">IFERROR(OFFSET('[1](Fill In) SIAO'!$A$1,SMALL(IF(HLT="Y",ROW(HLT)),AL36)-1,COLUMN(StartDate)-1),"")</f>
        <v/>
      </c>
      <c r="AX36" s="113" t="str">
        <f t="array" aca="1" ref="AX36" ca="1">IFERROR(OFFSET('[1](Fill In) SIAO'!$A$1,SMALL(IF(HLT="Y",ROW(HLT)),AL36)-1,COLUMN(EndDate)-1),"")</f>
        <v/>
      </c>
      <c r="AY36" s="113" t="str">
        <f t="array" aca="1" ref="AY36" ca="1">IFERROR(OFFSET('[1](Fill In) SIAO'!$A$1,SMALL(IF(PANTES="Y",ROW(PANTES)),AL36)-1,COLUMN(StartDate)-1),"")</f>
        <v/>
      </c>
      <c r="AZ36" s="113" t="str">
        <f t="array" aca="1" ref="AZ36" ca="1">IFERROR(OFFSET('[1](Fill In) SIAO'!$A$1,SMALL(IF(PANTES="Y",ROW(PANTES)),AL36)-1,COLUMN(EndDate)-1),"")</f>
        <v/>
      </c>
      <c r="BA36" s="113" t="str">
        <f t="array" aca="1" ref="BA36" ca="1">IFERROR(OFFSET('[1](Fill In) SIAO'!$A$1,SMALL(IF(Heli="Y",ROW(Heli)),AL36)-1,COLUMN(StartDate)-1),"")</f>
        <v/>
      </c>
      <c r="BB36" s="113" t="str">
        <f t="array" aca="1" ref="BB36" ca="1">IFERROR(OFFSET('[1](Fill In) SIAO'!$A$1,SMALL(IF(Heli="Y",ROW(Heli)),AL36)-1,COLUMN(EndDate)-1),"")</f>
        <v/>
      </c>
      <c r="BC36" s="113" t="str">
        <f t="array" aca="1" ref="BC36" ca="1">IFERROR(OFFSET('[1](Fill In) SIAO'!$A$1,SMALL(IF(MMR="Y",ROW(MMR)),AL36)-1,COLUMN(StartDate)-1),"")</f>
        <v/>
      </c>
      <c r="BD36" s="113" t="str">
        <f t="array" aca="1" ref="BD36" ca="1">IFERROR(OFFSET('[1](Fill In) SIAO'!$A$1,SMALL(IF(MMR="Y",ROW(MMR)),AL36)-1,COLUMN(EndDate)-1),"")</f>
        <v/>
      </c>
      <c r="BE36" s="113" t="str">
        <f t="array" aca="1" ref="BE36" ca="1">IFERROR(OFFSET('[1](Fill In) SIAO'!$A$1,SMALL(IF(POL="Y",ROW(POL)),AL36)-1,COLUMN(StartDate)-1),"")</f>
        <v/>
      </c>
      <c r="BF36" s="113" t="str">
        <f t="array" aca="1" ref="BF36" ca="1">IFERROR(OFFSET('[1](Fill In) SIAO'!$A$1,SMALL(IF(POL="Y",ROW(POL)),AL36)-1,COLUMN(EndDate)-1),"")</f>
        <v/>
      </c>
    </row>
    <row r="37" spans="1:58">
      <c r="A37" s="80" t="s">
        <v>185</v>
      </c>
      <c r="B37" s="128">
        <v>2</v>
      </c>
      <c r="C37" s="84" t="str">
        <f t="array" aca="1" ref="C37" ca="1">IF(OR((C$23&gt;=$AW$11:$AW$74)*(C$4&lt;=$AX$11:$AX$74)&gt;0),$B37,"")</f>
        <v/>
      </c>
      <c r="D37" s="84" t="str">
        <f t="array" aca="1" ref="D37" ca="1">IF(OR((D$23&gt;=$AW$11:$AW$74)*(D$4&lt;=$AX$11:$AX$74)&gt;0),$B37,"")</f>
        <v/>
      </c>
      <c r="E37" s="84" t="str">
        <f t="array" aca="1" ref="E37" ca="1">IF(OR((E$23&gt;=$AW$11:$AW$74)*(E$4&lt;=$AX$11:$AX$74)&gt;0),$B37,"")</f>
        <v/>
      </c>
      <c r="F37" s="84" t="str">
        <f t="array" aca="1" ref="F37" ca="1">IF(OR((F$23&gt;=$AW$11:$AW$74)*(F$4&lt;=$AX$11:$AX$74)&gt;0),$B37,"")</f>
        <v/>
      </c>
      <c r="G37" s="84" t="str">
        <f t="array" aca="1" ref="G37" ca="1">IF(OR((G$23&gt;=$AW$11:$AW$74)*(G$4&lt;=$AX$11:$AX$74)&gt;0),$B37,"")</f>
        <v/>
      </c>
      <c r="H37" s="84" t="str">
        <f t="array" aca="1" ref="H37" ca="1">IF(OR((H$23&gt;=$AW$11:$AW$74)*(H$4&lt;=$AX$11:$AX$74)&gt;0),$B37,"")</f>
        <v/>
      </c>
      <c r="I37" s="84" t="str">
        <f t="array" aca="1" ref="I37" ca="1">IF(OR((I$23&gt;=$AW$11:$AW$74)*(I$4&lt;=$AX$11:$AX$74)&gt;0),$B37,"")</f>
        <v/>
      </c>
      <c r="J37" s="84" t="str">
        <f t="array" aca="1" ref="J37" ca="1">IF(OR((J$23&gt;=$AW$11:$AW$74)*(J$4&lt;=$AX$11:$AX$74)&gt;0),$B37,"")</f>
        <v/>
      </c>
      <c r="K37" s="84" t="str">
        <f t="array" aca="1" ref="K37" ca="1">IF(OR((K$23&gt;=$AW$11:$AW$74)*(K$4&lt;=$AX$11:$AX$74)&gt;0),$B37,"")</f>
        <v/>
      </c>
      <c r="L37" s="84" t="str">
        <f t="array" aca="1" ref="L37" ca="1">IF(OR((L$23&gt;=$AW$11:$AW$74)*(L$4&lt;=$AX$11:$AX$74)&gt;0),$B37,"")</f>
        <v/>
      </c>
      <c r="M37" s="84" t="str">
        <f t="array" aca="1" ref="M37" ca="1">IF(OR((M$23&gt;=$AW$11:$AW$74)*(M$4&lt;=$AX$11:$AX$74)&gt;0),$B37,"")</f>
        <v/>
      </c>
      <c r="N37" s="84" t="str">
        <f t="array" aca="1" ref="N37" ca="1">IF(OR((N$23&gt;=$AW$11:$AW$74)*(N$4&lt;=$AX$11:$AX$74)&gt;0),$B37,"")</f>
        <v/>
      </c>
      <c r="O37" s="84" t="str">
        <f t="array" aca="1" ref="O37" ca="1">IF(OR((O$23&gt;=$AW$11:$AW$74)*(O$4&lt;=$AX$11:$AX$74)&gt;0),$B37,"")</f>
        <v/>
      </c>
      <c r="P37" s="84" t="str">
        <f t="array" aca="1" ref="P37" ca="1">IF(OR((P$23&gt;=$AW$11:$AW$74)*(P$4&lt;=$AX$11:$AX$74)&gt;0),$B37,"")</f>
        <v/>
      </c>
      <c r="Q37" s="84" t="str">
        <f t="array" aca="1" ref="Q37" ca="1">IF(OR((Q$23&gt;=$AW$11:$AW$74)*(Q$4&lt;=$AX$11:$AX$74)&gt;0),$B37,"")</f>
        <v/>
      </c>
      <c r="R37" s="84" t="str">
        <f t="array" aca="1" ref="R37" ca="1">IF(OR((R$23&gt;=$AW$11:$AW$74)*(R$4&lt;=$AX$11:$AX$74)&gt;0),$B37,"")</f>
        <v/>
      </c>
      <c r="S37" s="84" t="str">
        <f t="array" aca="1" ref="S37" ca="1">IF(OR((S$23&gt;=$AW$11:$AW$74)*(S$4&lt;=$AX$11:$AX$74)&gt;0),$B37,"")</f>
        <v/>
      </c>
      <c r="T37" s="84" t="str">
        <f t="array" aca="1" ref="T37" ca="1">IF(OR((T$23&gt;=$AW$11:$AW$74)*(T$4&lt;=$AX$11:$AX$74)&gt;0),$B37,"")</f>
        <v/>
      </c>
      <c r="U37" s="84" t="str">
        <f t="array" aca="1" ref="U37" ca="1">IF(OR((U$23&gt;=$AW$11:$AW$74)*(U$4&lt;=$AX$11:$AX$74)&gt;0),$B37,"")</f>
        <v/>
      </c>
      <c r="V37" s="84" t="str">
        <f t="array" aca="1" ref="V37" ca="1">IF(OR((V$23&gt;=$AW$11:$AW$74)*(V$4&lt;=$AX$11:$AX$74)&gt;0),$B37,"")</f>
        <v/>
      </c>
      <c r="W37" s="84" t="str">
        <f t="array" aca="1" ref="W37" ca="1">IF(OR((W$23&gt;=$AW$11:$AW$74)*(W$4&lt;=$AX$11:$AX$74)&gt;0),$B37,"")</f>
        <v/>
      </c>
      <c r="X37" s="84" t="str">
        <f t="array" aca="1" ref="X37" ca="1">IF(OR((X$23&gt;=$AW$11:$AW$74)*(X$4&lt;=$AX$11:$AX$74)&gt;0),$B37,"")</f>
        <v/>
      </c>
      <c r="Y37" s="84" t="str">
        <f t="array" aca="1" ref="Y37" ca="1">IF(OR((Y$23&gt;=$AW$11:$AW$74)*(Y$4&lt;=$AX$11:$AX$74)&gt;0),$B37,"")</f>
        <v/>
      </c>
      <c r="Z37" s="84" t="str">
        <f t="array" aca="1" ref="Z37" ca="1">IF(OR((Z$23&gt;=$AW$11:$AW$74)*(Z$4&lt;=$AX$11:$AX$74)&gt;0),$B37,"")</f>
        <v/>
      </c>
      <c r="AA37" s="84" t="str">
        <f t="array" aca="1" ref="AA37" ca="1">IF(OR((AA$23&gt;=$AW$11:$AW$74)*(AA$4&lt;=$AX$11:$AX$74)&gt;0),$B37,"")</f>
        <v/>
      </c>
      <c r="AB37" s="84" t="str">
        <f t="array" aca="1" ref="AB37" ca="1">IF(OR((AB$23&gt;=$AW$11:$AW$74)*(AB$4&lt;=$AX$11:$AX$74)&gt;0),$B37,"")</f>
        <v/>
      </c>
      <c r="AC37" s="84" t="str">
        <f t="array" aca="1" ref="AC37" ca="1">IF(OR((AC$23&gt;=$AW$11:$AW$74)*(AC$4&lt;=$AX$11:$AX$74)&gt;0),$B37,"")</f>
        <v/>
      </c>
      <c r="AD37" s="84" t="str">
        <f t="array" aca="1" ref="AD37" ca="1">IF(OR((AD$23&gt;=$AW$11:$AW$74)*(AD$4&lt;=$AX$11:$AX$74)&gt;0),$B37,"")</f>
        <v/>
      </c>
      <c r="AE37" s="84" t="str">
        <f t="array" aca="1" ref="AE37" ca="1">IF(OR((AE$23&gt;=$AW$11:$AW$74)*(AE$4&lt;=$AX$11:$AX$74)&gt;0),$B37,"")</f>
        <v/>
      </c>
      <c r="AF37" s="84" t="str">
        <f t="array" aca="1" ref="AF37" ca="1">IF(OR((AF$23&gt;=$AW$11:$AW$74)*(AF$4&lt;=$AX$11:$AX$74)&gt;0),$B37,"")</f>
        <v/>
      </c>
      <c r="AG37" s="84" t="str">
        <f t="array" aca="1" ref="AG37" ca="1">IF(OR((AG$23&gt;=$AW$11:$AW$74)*(AG$4&lt;=$AX$11:$AX$74)&gt;0),$B37,"")</f>
        <v/>
      </c>
      <c r="AH37" s="84" t="str">
        <f t="array" aca="1" ref="AH37" ca="1">IF(OR((AH$23&gt;=$AW$11:$AW$74)*(AH$4&lt;=$AX$11:$AX$74)&gt;0),$B37,"")</f>
        <v/>
      </c>
      <c r="AI37" s="84" t="str">
        <f t="array" aca="1" ref="AI37" ca="1">IF(OR((AI$23&gt;=$AW$11:$AW$74)*(AI$4&lt;=$AX$11:$AX$74)&gt;0),$B37,"")</f>
        <v/>
      </c>
      <c r="AK37" s="191"/>
      <c r="AL37">
        <v>19</v>
      </c>
      <c r="AM37" t="str">
        <f t="array" aca="1" ref="AM37" ca="1">IFERROR(OFFSET('[1](Fill In) SIAO'!$A$1,SMALL(IF(Signals="Y",ROW(Signals)),AL37)-1,COLUMN(Conducts)-1),"")</f>
        <v/>
      </c>
      <c r="AN37" s="113" t="str">
        <f t="array" aca="1" ref="AN37" ca="1">IFERROR(OFFSET('[1](Fill In) SIAO'!$A$1,SMALL(IF(Signals="Y",ROW(Signals)),AL37)-1,COLUMN(StartDate)-1),"")</f>
        <v/>
      </c>
      <c r="AO37" s="113" t="str">
        <f t="array" aca="1" ref="AO37" ca="1">IFERROR(OFFSET('[1](Fill In) SIAO'!$A$1,SMALL(IF(Signals="Y",ROW(Signals)),AL37)-1,COLUMN(EndDate)-1),"")</f>
        <v/>
      </c>
      <c r="AP37" s="113" t="str">
        <f t="array" aca="1" ref="AP37" ca="1">IFERROR(OFFSET('[1](Fill In) SIAO'!$A$1,SMALL(IF(Optics="Y",ROW(Optics)),AL37)-1,COLUMN(Conducts)-1),"")</f>
        <v/>
      </c>
      <c r="AQ37" s="113" t="str">
        <f t="array" aca="1" ref="AQ37" ca="1">IFERROR(OFFSET('[1](Fill In) SIAO'!$A$1,SMALL(IF(Optics="Y",ROW(Optics)),AL37)-1,COLUMN(StartDate)-1),"")</f>
        <v/>
      </c>
      <c r="AR37" s="113" t="str">
        <f t="array" aca="1" ref="AR37" ca="1">IFERROR(OFFSET('[1](Fill In) SIAO'!$A$1,SMALL(IF(Optics="Y",ROW(Optics)),AL37)-1,COLUMN(EndDate)-1),"")</f>
        <v/>
      </c>
      <c r="AS37" s="113" t="str">
        <f t="array" aca="1" ref="AS37" ca="1">IFERROR(OFFSET('[1](Fill In) SIAO'!$A$1,SMALL(IF(ATMS="Y",ROW(ATMS)),AL37)-1,COLUMN(StartDate)-1),"")</f>
        <v/>
      </c>
      <c r="AT37" s="113" t="str">
        <f t="array" aca="1" ref="AT37" ca="1">IFERROR(OFFSET('[1](Fill In) SIAO'!$A$1,SMALL(IF(ATMS="Y",ROW(ATMS)),AL37)-1,COLUMN(EndDate)-1),"")</f>
        <v/>
      </c>
      <c r="AU37" s="113" t="str">
        <f t="array" aca="1" ref="AU37" ca="1">IFERROR(OFFSET('[1](Fill In) SIAO'!$A$1,SMALL(IF(UO="Y",ROW(UO)),AL37)-1,COLUMN(StartDate)-1),"")</f>
        <v/>
      </c>
      <c r="AV37" s="113" t="str">
        <f t="array" aca="1" ref="AV37" ca="1">IFERROR(OFFSET('[1](Fill In) SIAO'!$A$1,SMALL(IF(UO="Y",ROW(UO)),AL37)-1,COLUMN(EndDate)-1),"")</f>
        <v/>
      </c>
      <c r="AW37" s="113" t="str">
        <f t="array" aca="1" ref="AW37" ca="1">IFERROR(OFFSET('[1](Fill In) SIAO'!$A$1,SMALL(IF(HLT="Y",ROW(HLT)),AL37)-1,COLUMN(StartDate)-1),"")</f>
        <v/>
      </c>
      <c r="AX37" s="113" t="str">
        <f t="array" aca="1" ref="AX37" ca="1">IFERROR(OFFSET('[1](Fill In) SIAO'!$A$1,SMALL(IF(HLT="Y",ROW(HLT)),AL37)-1,COLUMN(EndDate)-1),"")</f>
        <v/>
      </c>
      <c r="AY37" s="113" t="str">
        <f t="array" aca="1" ref="AY37" ca="1">IFERROR(OFFSET('[1](Fill In) SIAO'!$A$1,SMALL(IF(PANTES="Y",ROW(PANTES)),AL37)-1,COLUMN(StartDate)-1),"")</f>
        <v/>
      </c>
      <c r="AZ37" s="113" t="str">
        <f t="array" aca="1" ref="AZ37" ca="1">IFERROR(OFFSET('[1](Fill In) SIAO'!$A$1,SMALL(IF(PANTES="Y",ROW(PANTES)),AL37)-1,COLUMN(EndDate)-1),"")</f>
        <v/>
      </c>
      <c r="BA37" s="113" t="str">
        <f t="array" aca="1" ref="BA37" ca="1">IFERROR(OFFSET('[1](Fill In) SIAO'!$A$1,SMALL(IF(Heli="Y",ROW(Heli)),AL37)-1,COLUMN(StartDate)-1),"")</f>
        <v/>
      </c>
      <c r="BB37" s="113" t="str">
        <f t="array" aca="1" ref="BB37" ca="1">IFERROR(OFFSET('[1](Fill In) SIAO'!$A$1,SMALL(IF(Heli="Y",ROW(Heli)),AL37)-1,COLUMN(EndDate)-1),"")</f>
        <v/>
      </c>
      <c r="BC37" s="113" t="str">
        <f t="array" aca="1" ref="BC37" ca="1">IFERROR(OFFSET('[1](Fill In) SIAO'!$A$1,SMALL(IF(MMR="Y",ROW(MMR)),AL37)-1,COLUMN(StartDate)-1),"")</f>
        <v/>
      </c>
      <c r="BD37" s="113" t="str">
        <f t="array" aca="1" ref="BD37" ca="1">IFERROR(OFFSET('[1](Fill In) SIAO'!$A$1,SMALL(IF(MMR="Y",ROW(MMR)),AL37)-1,COLUMN(EndDate)-1),"")</f>
        <v/>
      </c>
      <c r="BE37" s="113" t="str">
        <f t="array" aca="1" ref="BE37" ca="1">IFERROR(OFFSET('[1](Fill In) SIAO'!$A$1,SMALL(IF(POL="Y",ROW(POL)),AL37)-1,COLUMN(StartDate)-1),"")</f>
        <v/>
      </c>
      <c r="BF37" s="113" t="str">
        <f t="array" aca="1" ref="BF37" ca="1">IFERROR(OFFSET('[1](Fill In) SIAO'!$A$1,SMALL(IF(POL="Y",ROW(POL)),AL37)-1,COLUMN(EndDate)-1),"")</f>
        <v/>
      </c>
    </row>
    <row r="38" spans="1:58">
      <c r="A38" s="80" t="s">
        <v>186</v>
      </c>
      <c r="B38" s="128">
        <v>5</v>
      </c>
      <c r="C38" s="84" t="str">
        <f t="array" aca="1" ref="C38" ca="1">IF(OR((C$23&gt;=$AW$11:$AW$74)*(C$4&lt;=$AX$11:$AX$74)&gt;0),$B38,"")</f>
        <v/>
      </c>
      <c r="D38" s="84" t="str">
        <f t="array" aca="1" ref="D38" ca="1">IF(OR((D$23&gt;=$AW$11:$AW$74)*(D$4&lt;=$AX$11:$AX$74)&gt;0),$B38,"")</f>
        <v/>
      </c>
      <c r="E38" s="84" t="str">
        <f t="array" aca="1" ref="E38" ca="1">IF(OR((E$23&gt;=$AW$11:$AW$74)*(E$4&lt;=$AX$11:$AX$74)&gt;0),$B38,"")</f>
        <v/>
      </c>
      <c r="F38" s="84" t="str">
        <f t="array" aca="1" ref="F38" ca="1">IF(OR((F$23&gt;=$AW$11:$AW$74)*(F$4&lt;=$AX$11:$AX$74)&gt;0),$B38,"")</f>
        <v/>
      </c>
      <c r="G38" s="84" t="str">
        <f t="array" aca="1" ref="G38" ca="1">IF(OR((G$23&gt;=$AW$11:$AW$74)*(G$4&lt;=$AX$11:$AX$74)&gt;0),$B38,"")</f>
        <v/>
      </c>
      <c r="H38" s="84" t="str">
        <f t="array" aca="1" ref="H38" ca="1">IF(OR((H$23&gt;=$AW$11:$AW$74)*(H$4&lt;=$AX$11:$AX$74)&gt;0),$B38,"")</f>
        <v/>
      </c>
      <c r="I38" s="84" t="str">
        <f t="array" aca="1" ref="I38" ca="1">IF(OR((I$23&gt;=$AW$11:$AW$74)*(I$4&lt;=$AX$11:$AX$74)&gt;0),$B38,"")</f>
        <v/>
      </c>
      <c r="J38" s="84" t="str">
        <f t="array" aca="1" ref="J38" ca="1">IF(OR((J$23&gt;=$AW$11:$AW$74)*(J$4&lt;=$AX$11:$AX$74)&gt;0),$B38,"")</f>
        <v/>
      </c>
      <c r="K38" s="84" t="str">
        <f t="array" aca="1" ref="K38" ca="1">IF(OR((K$23&gt;=$AW$11:$AW$74)*(K$4&lt;=$AX$11:$AX$74)&gt;0),$B38,"")</f>
        <v/>
      </c>
      <c r="L38" s="84" t="str">
        <f t="array" aca="1" ref="L38" ca="1">IF(OR((L$23&gt;=$AW$11:$AW$74)*(L$4&lt;=$AX$11:$AX$74)&gt;0),$B38,"")</f>
        <v/>
      </c>
      <c r="M38" s="84" t="str">
        <f t="array" aca="1" ref="M38" ca="1">IF(OR((M$23&gt;=$AW$11:$AW$74)*(M$4&lt;=$AX$11:$AX$74)&gt;0),$B38,"")</f>
        <v/>
      </c>
      <c r="N38" s="84" t="str">
        <f t="array" aca="1" ref="N38" ca="1">IF(OR((N$23&gt;=$AW$11:$AW$74)*(N$4&lt;=$AX$11:$AX$74)&gt;0),$B38,"")</f>
        <v/>
      </c>
      <c r="O38" s="84" t="str">
        <f t="array" aca="1" ref="O38" ca="1">IF(OR((O$23&gt;=$AW$11:$AW$74)*(O$4&lt;=$AX$11:$AX$74)&gt;0),$B38,"")</f>
        <v/>
      </c>
      <c r="P38" s="84" t="str">
        <f t="array" aca="1" ref="P38" ca="1">IF(OR((P$23&gt;=$AW$11:$AW$74)*(P$4&lt;=$AX$11:$AX$74)&gt;0),$B38,"")</f>
        <v/>
      </c>
      <c r="Q38" s="84" t="str">
        <f t="array" aca="1" ref="Q38" ca="1">IF(OR((Q$23&gt;=$AW$11:$AW$74)*(Q$4&lt;=$AX$11:$AX$74)&gt;0),$B38,"")</f>
        <v/>
      </c>
      <c r="R38" s="84" t="str">
        <f t="array" aca="1" ref="R38" ca="1">IF(OR((R$23&gt;=$AW$11:$AW$74)*(R$4&lt;=$AX$11:$AX$74)&gt;0),$B38,"")</f>
        <v/>
      </c>
      <c r="S38" s="84" t="str">
        <f t="array" aca="1" ref="S38" ca="1">IF(OR((S$23&gt;=$AW$11:$AW$74)*(S$4&lt;=$AX$11:$AX$74)&gt;0),$B38,"")</f>
        <v/>
      </c>
      <c r="T38" s="84" t="str">
        <f t="array" aca="1" ref="T38" ca="1">IF(OR((T$23&gt;=$AW$11:$AW$74)*(T$4&lt;=$AX$11:$AX$74)&gt;0),$B38,"")</f>
        <v/>
      </c>
      <c r="U38" s="84" t="str">
        <f t="array" aca="1" ref="U38" ca="1">IF(OR((U$23&gt;=$AW$11:$AW$74)*(U$4&lt;=$AX$11:$AX$74)&gt;0),$B38,"")</f>
        <v/>
      </c>
      <c r="V38" s="84" t="str">
        <f t="array" aca="1" ref="V38" ca="1">IF(OR((V$23&gt;=$AW$11:$AW$74)*(V$4&lt;=$AX$11:$AX$74)&gt;0),$B38,"")</f>
        <v/>
      </c>
      <c r="W38" s="84" t="str">
        <f t="array" aca="1" ref="W38" ca="1">IF(OR((W$23&gt;=$AW$11:$AW$74)*(W$4&lt;=$AX$11:$AX$74)&gt;0),$B38,"")</f>
        <v/>
      </c>
      <c r="X38" s="84" t="str">
        <f t="array" aca="1" ref="X38" ca="1">IF(OR((X$23&gt;=$AW$11:$AW$74)*(X$4&lt;=$AX$11:$AX$74)&gt;0),$B38,"")</f>
        <v/>
      </c>
      <c r="Y38" s="84" t="str">
        <f t="array" aca="1" ref="Y38" ca="1">IF(OR((Y$23&gt;=$AW$11:$AW$74)*(Y$4&lt;=$AX$11:$AX$74)&gt;0),$B38,"")</f>
        <v/>
      </c>
      <c r="Z38" s="84" t="str">
        <f t="array" aca="1" ref="Z38" ca="1">IF(OR((Z$23&gt;=$AW$11:$AW$74)*(Z$4&lt;=$AX$11:$AX$74)&gt;0),$B38,"")</f>
        <v/>
      </c>
      <c r="AA38" s="84" t="str">
        <f t="array" aca="1" ref="AA38" ca="1">IF(OR((AA$23&gt;=$AW$11:$AW$74)*(AA$4&lt;=$AX$11:$AX$74)&gt;0),$B38,"")</f>
        <v/>
      </c>
      <c r="AB38" s="84" t="str">
        <f t="array" aca="1" ref="AB38" ca="1">IF(OR((AB$23&gt;=$AW$11:$AW$74)*(AB$4&lt;=$AX$11:$AX$74)&gt;0),$B38,"")</f>
        <v/>
      </c>
      <c r="AC38" s="84" t="str">
        <f t="array" aca="1" ref="AC38" ca="1">IF(OR((AC$23&gt;=$AW$11:$AW$74)*(AC$4&lt;=$AX$11:$AX$74)&gt;0),$B38,"")</f>
        <v/>
      </c>
      <c r="AD38" s="84" t="str">
        <f t="array" aca="1" ref="AD38" ca="1">IF(OR((AD$23&gt;=$AW$11:$AW$74)*(AD$4&lt;=$AX$11:$AX$74)&gt;0),$B38,"")</f>
        <v/>
      </c>
      <c r="AE38" s="84" t="str">
        <f t="array" aca="1" ref="AE38" ca="1">IF(OR((AE$23&gt;=$AW$11:$AW$74)*(AE$4&lt;=$AX$11:$AX$74)&gt;0),$B38,"")</f>
        <v/>
      </c>
      <c r="AF38" s="84" t="str">
        <f t="array" aca="1" ref="AF38" ca="1">IF(OR((AF$23&gt;=$AW$11:$AW$74)*(AF$4&lt;=$AX$11:$AX$74)&gt;0),$B38,"")</f>
        <v/>
      </c>
      <c r="AG38" s="84" t="str">
        <f t="array" aca="1" ref="AG38" ca="1">IF(OR((AG$23&gt;=$AW$11:$AW$74)*(AG$4&lt;=$AX$11:$AX$74)&gt;0),$B38,"")</f>
        <v/>
      </c>
      <c r="AH38" s="84" t="str">
        <f t="array" aca="1" ref="AH38" ca="1">IF(OR((AH$23&gt;=$AW$11:$AW$74)*(AH$4&lt;=$AX$11:$AX$74)&gt;0),$B38,"")</f>
        <v/>
      </c>
      <c r="AI38" s="84" t="str">
        <f t="array" aca="1" ref="AI38" ca="1">IF(OR((AI$23&gt;=$AW$11:$AW$74)*(AI$4&lt;=$AX$11:$AX$74)&gt;0),$B38,"")</f>
        <v/>
      </c>
      <c r="AK38" s="191"/>
      <c r="AL38">
        <v>20</v>
      </c>
      <c r="AM38" t="str">
        <f t="array" aca="1" ref="AM38" ca="1">IFERROR(OFFSET('[1](Fill In) SIAO'!$A$1,SMALL(IF(Signals="Y",ROW(Signals)),AL38)-1,COLUMN(Conducts)-1),"")</f>
        <v/>
      </c>
      <c r="AN38" s="113" t="str">
        <f t="array" aca="1" ref="AN38" ca="1">IFERROR(OFFSET('[1](Fill In) SIAO'!$A$1,SMALL(IF(Signals="Y",ROW(Signals)),AL38)-1,COLUMN(StartDate)-1),"")</f>
        <v/>
      </c>
      <c r="AO38" s="113" t="str">
        <f t="array" aca="1" ref="AO38" ca="1">IFERROR(OFFSET('[1](Fill In) SIAO'!$A$1,SMALL(IF(Signals="Y",ROW(Signals)),AL38)-1,COLUMN(EndDate)-1),"")</f>
        <v/>
      </c>
      <c r="AP38" s="113" t="str">
        <f t="array" aca="1" ref="AP38" ca="1">IFERROR(OFFSET('[1](Fill In) SIAO'!$A$1,SMALL(IF(Optics="Y",ROW(Optics)),AL38)-1,COLUMN(Conducts)-1),"")</f>
        <v/>
      </c>
      <c r="AQ38" s="113" t="str">
        <f t="array" aca="1" ref="AQ38" ca="1">IFERROR(OFFSET('[1](Fill In) SIAO'!$A$1,SMALL(IF(Optics="Y",ROW(Optics)),AL38)-1,COLUMN(StartDate)-1),"")</f>
        <v/>
      </c>
      <c r="AR38" s="113" t="str">
        <f t="array" aca="1" ref="AR38" ca="1">IFERROR(OFFSET('[1](Fill In) SIAO'!$A$1,SMALL(IF(Optics="Y",ROW(Optics)),AL38)-1,COLUMN(EndDate)-1),"")</f>
        <v/>
      </c>
      <c r="AS38" s="113" t="str">
        <f t="array" aca="1" ref="AS38" ca="1">IFERROR(OFFSET('[1](Fill In) SIAO'!$A$1,SMALL(IF(ATMS="Y",ROW(ATMS)),AL38)-1,COLUMN(StartDate)-1),"")</f>
        <v/>
      </c>
      <c r="AT38" s="113" t="str">
        <f t="array" aca="1" ref="AT38" ca="1">IFERROR(OFFSET('[1](Fill In) SIAO'!$A$1,SMALL(IF(ATMS="Y",ROW(ATMS)),AL38)-1,COLUMN(EndDate)-1),"")</f>
        <v/>
      </c>
      <c r="AU38" s="113" t="str">
        <f t="array" aca="1" ref="AU38" ca="1">IFERROR(OFFSET('[1](Fill In) SIAO'!$A$1,SMALL(IF(UO="Y",ROW(UO)),AL38)-1,COLUMN(StartDate)-1),"")</f>
        <v/>
      </c>
      <c r="AV38" s="113" t="str">
        <f t="array" aca="1" ref="AV38" ca="1">IFERROR(OFFSET('[1](Fill In) SIAO'!$A$1,SMALL(IF(UO="Y",ROW(UO)),AL38)-1,COLUMN(EndDate)-1),"")</f>
        <v/>
      </c>
      <c r="AW38" s="113" t="str">
        <f t="array" aca="1" ref="AW38" ca="1">IFERROR(OFFSET('[1](Fill In) SIAO'!$A$1,SMALL(IF(HLT="Y",ROW(HLT)),AL38)-1,COLUMN(StartDate)-1),"")</f>
        <v/>
      </c>
      <c r="AX38" s="113" t="str">
        <f t="array" aca="1" ref="AX38" ca="1">IFERROR(OFFSET('[1](Fill In) SIAO'!$A$1,SMALL(IF(HLT="Y",ROW(HLT)),AL38)-1,COLUMN(EndDate)-1),"")</f>
        <v/>
      </c>
      <c r="AY38" s="113" t="str">
        <f t="array" aca="1" ref="AY38" ca="1">IFERROR(OFFSET('[1](Fill In) SIAO'!$A$1,SMALL(IF(PANTES="Y",ROW(PANTES)),AL38)-1,COLUMN(StartDate)-1),"")</f>
        <v/>
      </c>
      <c r="AZ38" s="113" t="str">
        <f t="array" aca="1" ref="AZ38" ca="1">IFERROR(OFFSET('[1](Fill In) SIAO'!$A$1,SMALL(IF(PANTES="Y",ROW(PANTES)),AL38)-1,COLUMN(EndDate)-1),"")</f>
        <v/>
      </c>
      <c r="BA38" s="113" t="str">
        <f t="array" aca="1" ref="BA38" ca="1">IFERROR(OFFSET('[1](Fill In) SIAO'!$A$1,SMALL(IF(Heli="Y",ROW(Heli)),AL38)-1,COLUMN(StartDate)-1),"")</f>
        <v/>
      </c>
      <c r="BB38" s="113" t="str">
        <f t="array" aca="1" ref="BB38" ca="1">IFERROR(OFFSET('[1](Fill In) SIAO'!$A$1,SMALL(IF(Heli="Y",ROW(Heli)),AL38)-1,COLUMN(EndDate)-1),"")</f>
        <v/>
      </c>
      <c r="BC38" s="113" t="str">
        <f t="array" aca="1" ref="BC38" ca="1">IFERROR(OFFSET('[1](Fill In) SIAO'!$A$1,SMALL(IF(MMR="Y",ROW(MMR)),AL38)-1,COLUMN(StartDate)-1),"")</f>
        <v/>
      </c>
      <c r="BD38" s="113" t="str">
        <f t="array" aca="1" ref="BD38" ca="1">IFERROR(OFFSET('[1](Fill In) SIAO'!$A$1,SMALL(IF(MMR="Y",ROW(MMR)),AL38)-1,COLUMN(EndDate)-1),"")</f>
        <v/>
      </c>
      <c r="BE38" s="113" t="str">
        <f t="array" aca="1" ref="BE38" ca="1">IFERROR(OFFSET('[1](Fill In) SIAO'!$A$1,SMALL(IF(POL="Y",ROW(POL)),AL38)-1,COLUMN(StartDate)-1),"")</f>
        <v/>
      </c>
      <c r="BF38" s="113" t="str">
        <f t="array" aca="1" ref="BF38" ca="1">IFERROR(OFFSET('[1](Fill In) SIAO'!$A$1,SMALL(IF(POL="Y",ROW(POL)),AL38)-1,COLUMN(EndDate)-1),"")</f>
        <v/>
      </c>
    </row>
    <row r="39" spans="1:58">
      <c r="A39" s="8"/>
      <c r="B39" s="12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</row>
    <row r="40" spans="1:58">
      <c r="A40" s="7" t="s">
        <v>92</v>
      </c>
      <c r="B40" s="10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  <c r="BC40" s="126"/>
      <c r="BD40" s="126"/>
      <c r="BE40" s="126"/>
      <c r="BF40" s="126"/>
    </row>
    <row r="41" spans="1:58">
      <c r="A41" s="75"/>
      <c r="B41" s="11" t="s">
        <v>154</v>
      </c>
      <c r="C41" s="112">
        <f>EOMONTH($A$1,-1)</f>
        <v>46112</v>
      </c>
      <c r="D41" s="112">
        <f t="shared" ref="D41:AI41" si="3">C41+1</f>
        <v>46113</v>
      </c>
      <c r="E41" s="112">
        <f t="shared" si="3"/>
        <v>46114</v>
      </c>
      <c r="F41" s="112">
        <f t="shared" si="3"/>
        <v>46115</v>
      </c>
      <c r="G41" s="112">
        <f t="shared" si="3"/>
        <v>46116</v>
      </c>
      <c r="H41" s="112">
        <f t="shared" si="3"/>
        <v>46117</v>
      </c>
      <c r="I41" s="112">
        <f t="shared" si="3"/>
        <v>46118</v>
      </c>
      <c r="J41" s="112">
        <f t="shared" si="3"/>
        <v>46119</v>
      </c>
      <c r="K41" s="112">
        <f t="shared" si="3"/>
        <v>46120</v>
      </c>
      <c r="L41" s="112">
        <f t="shared" si="3"/>
        <v>46121</v>
      </c>
      <c r="M41" s="112">
        <f t="shared" si="3"/>
        <v>46122</v>
      </c>
      <c r="N41" s="112">
        <f t="shared" si="3"/>
        <v>46123</v>
      </c>
      <c r="O41" s="112">
        <f t="shared" si="3"/>
        <v>46124</v>
      </c>
      <c r="P41" s="112">
        <f t="shared" si="3"/>
        <v>46125</v>
      </c>
      <c r="Q41" s="112">
        <f t="shared" si="3"/>
        <v>46126</v>
      </c>
      <c r="R41" s="112">
        <f t="shared" si="3"/>
        <v>46127</v>
      </c>
      <c r="S41" s="112">
        <f t="shared" si="3"/>
        <v>46128</v>
      </c>
      <c r="T41" s="112">
        <f t="shared" si="3"/>
        <v>46129</v>
      </c>
      <c r="U41" s="112">
        <f t="shared" si="3"/>
        <v>46130</v>
      </c>
      <c r="V41" s="112">
        <f t="shared" si="3"/>
        <v>46131</v>
      </c>
      <c r="W41" s="112">
        <f t="shared" si="3"/>
        <v>46132</v>
      </c>
      <c r="X41" s="112">
        <f t="shared" si="3"/>
        <v>46133</v>
      </c>
      <c r="Y41" s="112">
        <f t="shared" si="3"/>
        <v>46134</v>
      </c>
      <c r="Z41" s="112">
        <f t="shared" si="3"/>
        <v>46135</v>
      </c>
      <c r="AA41" s="112">
        <f t="shared" si="3"/>
        <v>46136</v>
      </c>
      <c r="AB41" s="112">
        <f t="shared" si="3"/>
        <v>46137</v>
      </c>
      <c r="AC41" s="112">
        <f t="shared" si="3"/>
        <v>46138</v>
      </c>
      <c r="AD41" s="112">
        <f t="shared" si="3"/>
        <v>46139</v>
      </c>
      <c r="AE41" s="112">
        <f t="shared" si="3"/>
        <v>46140</v>
      </c>
      <c r="AF41" s="112">
        <f t="shared" si="3"/>
        <v>46141</v>
      </c>
      <c r="AG41" s="112">
        <f t="shared" si="3"/>
        <v>46142</v>
      </c>
      <c r="AH41" s="112">
        <f t="shared" si="3"/>
        <v>46143</v>
      </c>
      <c r="AI41" s="112">
        <f t="shared" si="3"/>
        <v>46144</v>
      </c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  <c r="BC41" s="126"/>
      <c r="BD41" s="126"/>
      <c r="BE41" s="126"/>
      <c r="BF41" s="126"/>
    </row>
    <row r="42" spans="1:58">
      <c r="A42" s="183" t="s">
        <v>187</v>
      </c>
      <c r="B42" s="184"/>
      <c r="C42" s="184"/>
      <c r="D42" s="184"/>
      <c r="E42" s="184"/>
      <c r="F42" s="184"/>
      <c r="G42" s="184"/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  <c r="AA42" s="184"/>
      <c r="AB42" s="184"/>
      <c r="AC42" s="184"/>
      <c r="AD42" s="184"/>
      <c r="AE42" s="184"/>
      <c r="AF42" s="184"/>
      <c r="AG42" s="184"/>
      <c r="AH42" s="184"/>
      <c r="AI42" s="185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  <c r="BC42" s="126"/>
      <c r="BD42" s="126"/>
      <c r="BE42" s="126"/>
      <c r="BF42" s="126"/>
    </row>
    <row r="43" spans="1:58">
      <c r="A43" s="75" t="s">
        <v>188</v>
      </c>
      <c r="B43" s="16">
        <v>288</v>
      </c>
      <c r="C43" s="84" t="str">
        <f t="array" aca="1" ref="C43" ca="1">IF(OR((C$41&gt;=$AY$11:$AY$38)*(C$4&lt;=$AZ$11:$AZ$38)&gt;0),$B43,"")</f>
        <v/>
      </c>
      <c r="D43" s="84" t="str">
        <f t="array" aca="1" ref="D43" ca="1">IF(OR((D$41&gt;=$AY$11:$AY$38)*(D$4&lt;=$AZ$11:$AZ$38)&gt;0),$B43,"")</f>
        <v/>
      </c>
      <c r="E43" s="84" t="str">
        <f t="array" aca="1" ref="E43" ca="1">IF(OR((E$41&gt;=$AY$11:$AY$38)*(E$4&lt;=$AZ$11:$AZ$38)&gt;0),$B43,"")</f>
        <v/>
      </c>
      <c r="F43" s="84" t="str">
        <f t="array" aca="1" ref="F43" ca="1">IF(OR((F$41&gt;=$AY$11:$AY$38)*(F$4&lt;=$AZ$11:$AZ$38)&gt;0),$B43,"")</f>
        <v/>
      </c>
      <c r="G43" s="84" t="str">
        <f t="array" aca="1" ref="G43" ca="1">IF(OR((G$41&gt;=$AY$11:$AY$38)*(G$4&lt;=$AZ$11:$AZ$38)&gt;0),$B43,"")</f>
        <v/>
      </c>
      <c r="H43" s="84" t="str">
        <f t="array" aca="1" ref="H43" ca="1">IF(OR((H$41&gt;=$AY$11:$AY$38)*(H$4&lt;=$AZ$11:$AZ$38)&gt;0),$B43,"")</f>
        <v/>
      </c>
      <c r="I43" s="84" t="str">
        <f t="array" aca="1" ref="I43" ca="1">IF(OR((I$41&gt;=$AY$11:$AY$38)*(I$4&lt;=$AZ$11:$AZ$38)&gt;0),$B43,"")</f>
        <v/>
      </c>
      <c r="J43" s="84" t="str">
        <f t="array" aca="1" ref="J43" ca="1">IF(OR((J$41&gt;=$AY$11:$AY$38)*(J$4&lt;=$AZ$11:$AZ$38)&gt;0),$B43,"")</f>
        <v/>
      </c>
      <c r="K43" s="84" t="str">
        <f t="array" aca="1" ref="K43" ca="1">IF(OR((K$41&gt;=$AY$11:$AY$38)*(K$4&lt;=$AZ$11:$AZ$38)&gt;0),$B43,"")</f>
        <v/>
      </c>
      <c r="L43" s="84" t="str">
        <f t="array" aca="1" ref="L43" ca="1">IF(OR((L$41&gt;=$AY$11:$AY$38)*(L$4&lt;=$AZ$11:$AZ$38)&gt;0),$B43,"")</f>
        <v/>
      </c>
      <c r="M43" s="84" t="str">
        <f t="array" aca="1" ref="M43" ca="1">IF(OR((M$41&gt;=$AY$11:$AY$38)*(M$4&lt;=$AZ$11:$AZ$38)&gt;0),$B43,"")</f>
        <v/>
      </c>
      <c r="N43" s="84" t="str">
        <f t="array" aca="1" ref="N43" ca="1">IF(OR((N$41&gt;=$AY$11:$AY$38)*(N$4&lt;=$AZ$11:$AZ$38)&gt;0),$B43,"")</f>
        <v/>
      </c>
      <c r="O43" s="84" t="str">
        <f t="array" aca="1" ref="O43" ca="1">IF(OR((O$41&gt;=$AY$11:$AY$38)*(O$4&lt;=$AZ$11:$AZ$38)&gt;0),$B43,"")</f>
        <v/>
      </c>
      <c r="P43" s="84" t="str">
        <f t="array" aca="1" ref="P43" ca="1">IF(OR((P$41&gt;=$AY$11:$AY$38)*(P$4&lt;=$AZ$11:$AZ$38)&gt;0),$B43,"")</f>
        <v/>
      </c>
      <c r="Q43" s="84" t="str">
        <f t="array" aca="1" ref="Q43" ca="1">IF(OR((Q$41&gt;=$AY$11:$AY$38)*(Q$4&lt;=$AZ$11:$AZ$38)&gt;0),$B43,"")</f>
        <v/>
      </c>
      <c r="R43" s="84" t="str">
        <f t="array" aca="1" ref="R43" ca="1">IF(OR((R$41&gt;=$AY$11:$AY$38)*(R$4&lt;=$AZ$11:$AZ$38)&gt;0),$B43,"")</f>
        <v/>
      </c>
      <c r="S43" s="84" t="str">
        <f t="array" aca="1" ref="S43" ca="1">IF(OR((S$41&gt;=$AY$11:$AY$38)*(S$4&lt;=$AZ$11:$AZ$38)&gt;0),$B43,"")</f>
        <v/>
      </c>
      <c r="T43" s="84" t="str">
        <f t="array" aca="1" ref="T43" ca="1">IF(OR((T$41&gt;=$AY$11:$AY$38)*(T$4&lt;=$AZ$11:$AZ$38)&gt;0),$B43,"")</f>
        <v/>
      </c>
      <c r="U43" s="84" t="str">
        <f t="array" aca="1" ref="U43" ca="1">IF(OR((U$41&gt;=$AY$11:$AY$38)*(U$4&lt;=$AZ$11:$AZ$38)&gt;0),$B43,"")</f>
        <v/>
      </c>
      <c r="V43" s="84" t="str">
        <f t="array" aca="1" ref="V43" ca="1">IF(OR((V$41&gt;=$AY$11:$AY$38)*(V$4&lt;=$AZ$11:$AZ$38)&gt;0),$B43,"")</f>
        <v/>
      </c>
      <c r="W43" s="84" t="str">
        <f t="array" aca="1" ref="W43" ca="1">IF(OR((W$41&gt;=$AY$11:$AY$38)*(W$4&lt;=$AZ$11:$AZ$38)&gt;0),$B43,"")</f>
        <v/>
      </c>
      <c r="X43" s="84" t="str">
        <f t="array" aca="1" ref="X43" ca="1">IF(OR((X$41&gt;=$AY$11:$AY$38)*(X$4&lt;=$AZ$11:$AZ$38)&gt;0),$B43,"")</f>
        <v/>
      </c>
      <c r="Y43" s="84" t="str">
        <f t="array" aca="1" ref="Y43" ca="1">IF(OR((Y$41&gt;=$AY$11:$AY$38)*(Y$4&lt;=$AZ$11:$AZ$38)&gt;0),$B43,"")</f>
        <v/>
      </c>
      <c r="Z43" s="84" t="str">
        <f t="array" aca="1" ref="Z43" ca="1">IF(OR((Z$41&gt;=$AY$11:$AY$38)*(Z$4&lt;=$AZ$11:$AZ$38)&gt;0),$B43,"")</f>
        <v/>
      </c>
      <c r="AA43" s="84" t="str">
        <f t="array" aca="1" ref="AA43" ca="1">IF(OR((AA$41&gt;=$AY$11:$AY$38)*(AA$4&lt;=$AZ$11:$AZ$38)&gt;0),$B43,"")</f>
        <v/>
      </c>
      <c r="AB43" s="84" t="str">
        <f t="array" aca="1" ref="AB43" ca="1">IF(OR((AB$41&gt;=$AY$11:$AY$38)*(AB$4&lt;=$AZ$11:$AZ$38)&gt;0),$B43,"")</f>
        <v/>
      </c>
      <c r="AC43" s="84" t="str">
        <f t="array" aca="1" ref="AC43" ca="1">IF(OR((AC$41&gt;=$AY$11:$AY$38)*(AC$4&lt;=$AZ$11:$AZ$38)&gt;0),$B43,"")</f>
        <v/>
      </c>
      <c r="AD43" s="84" t="str">
        <f t="array" aca="1" ref="AD43" ca="1">IF(OR((AD$41&gt;=$AY$11:$AY$38)*(AD$4&lt;=$AZ$11:$AZ$38)&gt;0),$B43,"")</f>
        <v/>
      </c>
      <c r="AE43" s="84" t="str">
        <f t="array" aca="1" ref="AE43" ca="1">IF(OR((AE$41&gt;=$AY$11:$AY$38)*(AE$4&lt;=$AZ$11:$AZ$38)&gt;0),$B43,"")</f>
        <v/>
      </c>
      <c r="AF43" s="84" t="str">
        <f t="array" aca="1" ref="AF43" ca="1">IF(OR((AF$41&gt;=$AY$11:$AY$38)*(AF$4&lt;=$AZ$11:$AZ$38)&gt;0),$B43,"")</f>
        <v/>
      </c>
      <c r="AG43" s="84" t="str">
        <f t="array" aca="1" ref="AG43" ca="1">IF(OR((AG$41&gt;=$AY$11:$AY$38)*(AG$4&lt;=$AZ$11:$AZ$38)&gt;0),$B43,"")</f>
        <v/>
      </c>
      <c r="AH43" s="84" t="str">
        <f t="array" aca="1" ref="AH43" ca="1">IF(OR((AH$41&gt;=$AY$11:$AY$38)*(AH$4&lt;=$AZ$11:$AZ$38)&gt;0),$B43,"")</f>
        <v/>
      </c>
      <c r="AI43" s="84" t="str">
        <f t="array" aca="1" ref="AI43" ca="1">IF(OR((AI$41&gt;=$AY$11:$AY$38)*(AI$4&lt;=$AZ$11:$AZ$38)&gt;0),$B43,"")</f>
        <v/>
      </c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  <c r="BC43" s="126"/>
      <c r="BD43" s="126"/>
      <c r="BE43" s="126"/>
      <c r="BF43" s="126"/>
    </row>
    <row r="44" spans="1:58">
      <c r="A44" s="75" t="s">
        <v>189</v>
      </c>
      <c r="B44" s="16">
        <v>216</v>
      </c>
      <c r="C44" s="84" t="str">
        <f t="array" aca="1" ref="C44" ca="1">IF(OR((C$41&gt;=$AY$11:$AY$38)*(C$4&lt;=$AZ$11:$AZ$38)&gt;0),$B44,"")</f>
        <v/>
      </c>
      <c r="D44" s="84" t="str">
        <f t="array" aca="1" ref="D44" ca="1">IF(OR((D$41&gt;=$AY$11:$AY$38)*(D$4&lt;=$AZ$11:$AZ$38)&gt;0),$B44,"")</f>
        <v/>
      </c>
      <c r="E44" s="84" t="str">
        <f t="array" aca="1" ref="E44" ca="1">IF(OR((E$41&gt;=$AY$11:$AY$38)*(E$4&lt;=$AZ$11:$AZ$38)&gt;0),$B44,"")</f>
        <v/>
      </c>
      <c r="F44" s="84" t="str">
        <f t="array" aca="1" ref="F44" ca="1">IF(OR((F$41&gt;=$AY$11:$AY$38)*(F$4&lt;=$AZ$11:$AZ$38)&gt;0),$B44,"")</f>
        <v/>
      </c>
      <c r="G44" s="84" t="str">
        <f t="array" aca="1" ref="G44" ca="1">IF(OR((G$41&gt;=$AY$11:$AY$38)*(G$4&lt;=$AZ$11:$AZ$38)&gt;0),$B44,"")</f>
        <v/>
      </c>
      <c r="H44" s="84" t="str">
        <f t="array" aca="1" ref="H44" ca="1">IF(OR((H$41&gt;=$AY$11:$AY$38)*(H$4&lt;=$AZ$11:$AZ$38)&gt;0),$B44,"")</f>
        <v/>
      </c>
      <c r="I44" s="84" t="str">
        <f t="array" aca="1" ref="I44" ca="1">IF(OR((I$41&gt;=$AY$11:$AY$38)*(I$4&lt;=$AZ$11:$AZ$38)&gt;0),$B44,"")</f>
        <v/>
      </c>
      <c r="J44" s="84" t="str">
        <f t="array" aca="1" ref="J44" ca="1">IF(OR((J$41&gt;=$AY$11:$AY$38)*(J$4&lt;=$AZ$11:$AZ$38)&gt;0),$B44,"")</f>
        <v/>
      </c>
      <c r="K44" s="84" t="str">
        <f t="array" aca="1" ref="K44" ca="1">IF(OR((K$41&gt;=$AY$11:$AY$38)*(K$4&lt;=$AZ$11:$AZ$38)&gt;0),$B44,"")</f>
        <v/>
      </c>
      <c r="L44" s="84" t="str">
        <f t="array" aca="1" ref="L44" ca="1">IF(OR((L$41&gt;=$AY$11:$AY$38)*(L$4&lt;=$AZ$11:$AZ$38)&gt;0),$B44,"")</f>
        <v/>
      </c>
      <c r="M44" s="84" t="str">
        <f t="array" aca="1" ref="M44" ca="1">IF(OR((M$41&gt;=$AY$11:$AY$38)*(M$4&lt;=$AZ$11:$AZ$38)&gt;0),$B44,"")</f>
        <v/>
      </c>
      <c r="N44" s="84" t="str">
        <f t="array" aca="1" ref="N44" ca="1">IF(OR((N$41&gt;=$AY$11:$AY$38)*(N$4&lt;=$AZ$11:$AZ$38)&gt;0),$B44,"")</f>
        <v/>
      </c>
      <c r="O44" s="84" t="str">
        <f t="array" aca="1" ref="O44" ca="1">IF(OR((O$41&gt;=$AY$11:$AY$38)*(O$4&lt;=$AZ$11:$AZ$38)&gt;0),$B44,"")</f>
        <v/>
      </c>
      <c r="P44" s="84" t="str">
        <f t="array" aca="1" ref="P44" ca="1">IF(OR((P$41&gt;=$AY$11:$AY$38)*(P$4&lt;=$AZ$11:$AZ$38)&gt;0),$B44,"")</f>
        <v/>
      </c>
      <c r="Q44" s="84" t="str">
        <f t="array" aca="1" ref="Q44" ca="1">IF(OR((Q$41&gt;=$AY$11:$AY$38)*(Q$4&lt;=$AZ$11:$AZ$38)&gt;0),$B44,"")</f>
        <v/>
      </c>
      <c r="R44" s="84" t="str">
        <f t="array" aca="1" ref="R44" ca="1">IF(OR((R$41&gt;=$AY$11:$AY$38)*(R$4&lt;=$AZ$11:$AZ$38)&gt;0),$B44,"")</f>
        <v/>
      </c>
      <c r="S44" s="84" t="str">
        <f t="array" aca="1" ref="S44" ca="1">IF(OR((S$41&gt;=$AY$11:$AY$38)*(S$4&lt;=$AZ$11:$AZ$38)&gt;0),$B44,"")</f>
        <v/>
      </c>
      <c r="T44" s="84" t="str">
        <f t="array" aca="1" ref="T44" ca="1">IF(OR((T$41&gt;=$AY$11:$AY$38)*(T$4&lt;=$AZ$11:$AZ$38)&gt;0),$B44,"")</f>
        <v/>
      </c>
      <c r="U44" s="84" t="str">
        <f t="array" aca="1" ref="U44" ca="1">IF(OR((U$41&gt;=$AY$11:$AY$38)*(U$4&lt;=$AZ$11:$AZ$38)&gt;0),$B44,"")</f>
        <v/>
      </c>
      <c r="V44" s="84" t="str">
        <f t="array" aca="1" ref="V44" ca="1">IF(OR((V$41&gt;=$AY$11:$AY$38)*(V$4&lt;=$AZ$11:$AZ$38)&gt;0),$B44,"")</f>
        <v/>
      </c>
      <c r="W44" s="84" t="str">
        <f t="array" aca="1" ref="W44" ca="1">IF(OR((W$41&gt;=$AY$11:$AY$38)*(W$4&lt;=$AZ$11:$AZ$38)&gt;0),$B44,"")</f>
        <v/>
      </c>
      <c r="X44" s="84" t="str">
        <f t="array" aca="1" ref="X44" ca="1">IF(OR((X$41&gt;=$AY$11:$AY$38)*(X$4&lt;=$AZ$11:$AZ$38)&gt;0),$B44,"")</f>
        <v/>
      </c>
      <c r="Y44" s="84" t="str">
        <f t="array" aca="1" ref="Y44" ca="1">IF(OR((Y$41&gt;=$AY$11:$AY$38)*(Y$4&lt;=$AZ$11:$AZ$38)&gt;0),$B44,"")</f>
        <v/>
      </c>
      <c r="Z44" s="84" t="str">
        <f t="array" aca="1" ref="Z44" ca="1">IF(OR((Z$41&gt;=$AY$11:$AY$38)*(Z$4&lt;=$AZ$11:$AZ$38)&gt;0),$B44,"")</f>
        <v/>
      </c>
      <c r="AA44" s="84" t="str">
        <f t="array" aca="1" ref="AA44" ca="1">IF(OR((AA$41&gt;=$AY$11:$AY$38)*(AA$4&lt;=$AZ$11:$AZ$38)&gt;0),$B44,"")</f>
        <v/>
      </c>
      <c r="AB44" s="84" t="str">
        <f t="array" aca="1" ref="AB44" ca="1">IF(OR((AB$41&gt;=$AY$11:$AY$38)*(AB$4&lt;=$AZ$11:$AZ$38)&gt;0),$B44,"")</f>
        <v/>
      </c>
      <c r="AC44" s="84" t="str">
        <f t="array" aca="1" ref="AC44" ca="1">IF(OR((AC$41&gt;=$AY$11:$AY$38)*(AC$4&lt;=$AZ$11:$AZ$38)&gt;0),$B44,"")</f>
        <v/>
      </c>
      <c r="AD44" s="84" t="str">
        <f t="array" aca="1" ref="AD44" ca="1">IF(OR((AD$41&gt;=$AY$11:$AY$38)*(AD$4&lt;=$AZ$11:$AZ$38)&gt;0),$B44,"")</f>
        <v/>
      </c>
      <c r="AE44" s="84" t="str">
        <f t="array" aca="1" ref="AE44" ca="1">IF(OR((AE$41&gt;=$AY$11:$AY$38)*(AE$4&lt;=$AZ$11:$AZ$38)&gt;0),$B44,"")</f>
        <v/>
      </c>
      <c r="AF44" s="84" t="str">
        <f t="array" aca="1" ref="AF44" ca="1">IF(OR((AF$41&gt;=$AY$11:$AY$38)*(AF$4&lt;=$AZ$11:$AZ$38)&gt;0),$B44,"")</f>
        <v/>
      </c>
      <c r="AG44" s="84" t="str">
        <f t="array" aca="1" ref="AG44" ca="1">IF(OR((AG$41&gt;=$AY$11:$AY$38)*(AG$4&lt;=$AZ$11:$AZ$38)&gt;0),$B44,"")</f>
        <v/>
      </c>
      <c r="AH44" s="84" t="str">
        <f t="array" aca="1" ref="AH44" ca="1">IF(OR((AH$41&gt;=$AY$11:$AY$38)*(AH$4&lt;=$AZ$11:$AZ$38)&gt;0),$B44,"")</f>
        <v/>
      </c>
      <c r="AI44" s="84" t="str">
        <f t="array" aca="1" ref="AI44" ca="1">IF(OR((AI$41&gt;=$AY$11:$AY$38)*(AI$4&lt;=$AZ$11:$AZ$38)&gt;0),$B44,"")</f>
        <v/>
      </c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  <c r="BC44" s="126"/>
      <c r="BD44" s="126"/>
      <c r="BE44" s="126"/>
      <c r="BF44" s="126"/>
    </row>
    <row r="45" spans="1:58">
      <c r="A45" s="75" t="s">
        <v>190</v>
      </c>
      <c r="B45" s="16">
        <v>48</v>
      </c>
      <c r="C45" s="84" t="str">
        <f t="array" aca="1" ref="C45" ca="1">IF(OR((C$41&gt;=$AY$11:$AY$38)*(C$4&lt;=$AZ$11:$AZ$38)&gt;0),$B45,"")</f>
        <v/>
      </c>
      <c r="D45" s="84" t="str">
        <f t="array" aca="1" ref="D45" ca="1">IF(OR((D$41&gt;=$AY$11:$AY$38)*(D$4&lt;=$AZ$11:$AZ$38)&gt;0),$B45,"")</f>
        <v/>
      </c>
      <c r="E45" s="84" t="str">
        <f t="array" aca="1" ref="E45" ca="1">IF(OR((E$41&gt;=$AY$11:$AY$38)*(E$4&lt;=$AZ$11:$AZ$38)&gt;0),$B45,"")</f>
        <v/>
      </c>
      <c r="F45" s="84" t="str">
        <f t="array" aca="1" ref="F45" ca="1">IF(OR((F$41&gt;=$AY$11:$AY$38)*(F$4&lt;=$AZ$11:$AZ$38)&gt;0),$B45,"")</f>
        <v/>
      </c>
      <c r="G45" s="84" t="str">
        <f t="array" aca="1" ref="G45" ca="1">IF(OR((G$41&gt;=$AY$11:$AY$38)*(G$4&lt;=$AZ$11:$AZ$38)&gt;0),$B45,"")</f>
        <v/>
      </c>
      <c r="H45" s="84" t="str">
        <f t="array" aca="1" ref="H45" ca="1">IF(OR((H$41&gt;=$AY$11:$AY$38)*(H$4&lt;=$AZ$11:$AZ$38)&gt;0),$B45,"")</f>
        <v/>
      </c>
      <c r="I45" s="84" t="str">
        <f t="array" aca="1" ref="I45" ca="1">IF(OR((I$41&gt;=$AY$11:$AY$38)*(I$4&lt;=$AZ$11:$AZ$38)&gt;0),$B45,"")</f>
        <v/>
      </c>
      <c r="J45" s="84" t="str">
        <f t="array" aca="1" ref="J45" ca="1">IF(OR((J$41&gt;=$AY$11:$AY$38)*(J$4&lt;=$AZ$11:$AZ$38)&gt;0),$B45,"")</f>
        <v/>
      </c>
      <c r="K45" s="84" t="str">
        <f t="array" aca="1" ref="K45" ca="1">IF(OR((K$41&gt;=$AY$11:$AY$38)*(K$4&lt;=$AZ$11:$AZ$38)&gt;0),$B45,"")</f>
        <v/>
      </c>
      <c r="L45" s="84" t="str">
        <f t="array" aca="1" ref="L45" ca="1">IF(OR((L$41&gt;=$AY$11:$AY$38)*(L$4&lt;=$AZ$11:$AZ$38)&gt;0),$B45,"")</f>
        <v/>
      </c>
      <c r="M45" s="84" t="str">
        <f t="array" aca="1" ref="M45" ca="1">IF(OR((M$41&gt;=$AY$11:$AY$38)*(M$4&lt;=$AZ$11:$AZ$38)&gt;0),$B45,"")</f>
        <v/>
      </c>
      <c r="N45" s="84" t="str">
        <f t="array" aca="1" ref="N45" ca="1">IF(OR((N$41&gt;=$AY$11:$AY$38)*(N$4&lt;=$AZ$11:$AZ$38)&gt;0),$B45,"")</f>
        <v/>
      </c>
      <c r="O45" s="84" t="str">
        <f t="array" aca="1" ref="O45" ca="1">IF(OR((O$41&gt;=$AY$11:$AY$38)*(O$4&lt;=$AZ$11:$AZ$38)&gt;0),$B45,"")</f>
        <v/>
      </c>
      <c r="P45" s="84" t="str">
        <f t="array" aca="1" ref="P45" ca="1">IF(OR((P$41&gt;=$AY$11:$AY$38)*(P$4&lt;=$AZ$11:$AZ$38)&gt;0),$B45,"")</f>
        <v/>
      </c>
      <c r="Q45" s="84" t="str">
        <f t="array" aca="1" ref="Q45" ca="1">IF(OR((Q$41&gt;=$AY$11:$AY$38)*(Q$4&lt;=$AZ$11:$AZ$38)&gt;0),$B45,"")</f>
        <v/>
      </c>
      <c r="R45" s="84" t="str">
        <f t="array" aca="1" ref="R45" ca="1">IF(OR((R$41&gt;=$AY$11:$AY$38)*(R$4&lt;=$AZ$11:$AZ$38)&gt;0),$B45,"")</f>
        <v/>
      </c>
      <c r="S45" s="84" t="str">
        <f t="array" aca="1" ref="S45" ca="1">IF(OR((S$41&gt;=$AY$11:$AY$38)*(S$4&lt;=$AZ$11:$AZ$38)&gt;0),$B45,"")</f>
        <v/>
      </c>
      <c r="T45" s="84" t="str">
        <f t="array" aca="1" ref="T45" ca="1">IF(OR((T$41&gt;=$AY$11:$AY$38)*(T$4&lt;=$AZ$11:$AZ$38)&gt;0),$B45,"")</f>
        <v/>
      </c>
      <c r="U45" s="84" t="str">
        <f t="array" aca="1" ref="U45" ca="1">IF(OR((U$41&gt;=$AY$11:$AY$38)*(U$4&lt;=$AZ$11:$AZ$38)&gt;0),$B45,"")</f>
        <v/>
      </c>
      <c r="V45" s="84" t="str">
        <f t="array" aca="1" ref="V45" ca="1">IF(OR((V$41&gt;=$AY$11:$AY$38)*(V$4&lt;=$AZ$11:$AZ$38)&gt;0),$B45,"")</f>
        <v/>
      </c>
      <c r="W45" s="84" t="str">
        <f t="array" aca="1" ref="W45" ca="1">IF(OR((W$41&gt;=$AY$11:$AY$38)*(W$4&lt;=$AZ$11:$AZ$38)&gt;0),$B45,"")</f>
        <v/>
      </c>
      <c r="X45" s="84" t="str">
        <f t="array" aca="1" ref="X45" ca="1">IF(OR((X$41&gt;=$AY$11:$AY$38)*(X$4&lt;=$AZ$11:$AZ$38)&gt;0),$B45,"")</f>
        <v/>
      </c>
      <c r="Y45" s="84" t="str">
        <f t="array" aca="1" ref="Y45" ca="1">IF(OR((Y$41&gt;=$AY$11:$AY$38)*(Y$4&lt;=$AZ$11:$AZ$38)&gt;0),$B45,"")</f>
        <v/>
      </c>
      <c r="Z45" s="84" t="str">
        <f t="array" aca="1" ref="Z45" ca="1">IF(OR((Z$41&gt;=$AY$11:$AY$38)*(Z$4&lt;=$AZ$11:$AZ$38)&gt;0),$B45,"")</f>
        <v/>
      </c>
      <c r="AA45" s="84" t="str">
        <f t="array" aca="1" ref="AA45" ca="1">IF(OR((AA$41&gt;=$AY$11:$AY$38)*(AA$4&lt;=$AZ$11:$AZ$38)&gt;0),$B45,"")</f>
        <v/>
      </c>
      <c r="AB45" s="84" t="str">
        <f t="array" aca="1" ref="AB45" ca="1">IF(OR((AB$41&gt;=$AY$11:$AY$38)*(AB$4&lt;=$AZ$11:$AZ$38)&gt;0),$B45,"")</f>
        <v/>
      </c>
      <c r="AC45" s="84" t="str">
        <f t="array" aca="1" ref="AC45" ca="1">IF(OR((AC$41&gt;=$AY$11:$AY$38)*(AC$4&lt;=$AZ$11:$AZ$38)&gt;0),$B45,"")</f>
        <v/>
      </c>
      <c r="AD45" s="84" t="str">
        <f t="array" aca="1" ref="AD45" ca="1">IF(OR((AD$41&gt;=$AY$11:$AY$38)*(AD$4&lt;=$AZ$11:$AZ$38)&gt;0),$B45,"")</f>
        <v/>
      </c>
      <c r="AE45" s="84" t="str">
        <f t="array" aca="1" ref="AE45" ca="1">IF(OR((AE$41&gt;=$AY$11:$AY$38)*(AE$4&lt;=$AZ$11:$AZ$38)&gt;0),$B45,"")</f>
        <v/>
      </c>
      <c r="AF45" s="84" t="str">
        <f t="array" aca="1" ref="AF45" ca="1">IF(OR((AF$41&gt;=$AY$11:$AY$38)*(AF$4&lt;=$AZ$11:$AZ$38)&gt;0),$B45,"")</f>
        <v/>
      </c>
      <c r="AG45" s="84" t="str">
        <f t="array" aca="1" ref="AG45" ca="1">IF(OR((AG$41&gt;=$AY$11:$AY$38)*(AG$4&lt;=$AZ$11:$AZ$38)&gt;0),$B45,"")</f>
        <v/>
      </c>
      <c r="AH45" s="84" t="str">
        <f t="array" aca="1" ref="AH45" ca="1">IF(OR((AH$41&gt;=$AY$11:$AY$38)*(AH$4&lt;=$AZ$11:$AZ$38)&gt;0),$B45,"")</f>
        <v/>
      </c>
      <c r="AI45" s="84" t="str">
        <f t="array" aca="1" ref="AI45" ca="1">IF(OR((AI$41&gt;=$AY$11:$AY$38)*(AI$4&lt;=$AZ$11:$AZ$38)&gt;0),$B45,"")</f>
        <v/>
      </c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  <c r="BC45" s="126"/>
      <c r="BD45" s="126"/>
      <c r="BE45" s="126"/>
      <c r="BF45" s="126"/>
    </row>
    <row r="46" spans="1:58">
      <c r="A46" s="75" t="s">
        <v>191</v>
      </c>
      <c r="B46" s="16">
        <v>48</v>
      </c>
      <c r="C46" s="84" t="str">
        <f t="array" aca="1" ref="C46" ca="1">IF(OR((C$41&gt;=$AY$11:$AY$38)*(C$4&lt;=$AZ$11:$AZ$38)&gt;0),$B46,"")</f>
        <v/>
      </c>
      <c r="D46" s="84" t="str">
        <f t="array" aca="1" ref="D46" ca="1">IF(OR((D$41&gt;=$AY$11:$AY$38)*(D$4&lt;=$AZ$11:$AZ$38)&gt;0),$B46,"")</f>
        <v/>
      </c>
      <c r="E46" s="84" t="str">
        <f t="array" aca="1" ref="E46" ca="1">IF(OR((E$41&gt;=$AY$11:$AY$38)*(E$4&lt;=$AZ$11:$AZ$38)&gt;0),$B46,"")</f>
        <v/>
      </c>
      <c r="F46" s="84" t="str">
        <f t="array" aca="1" ref="F46" ca="1">IF(OR((F$41&gt;=$AY$11:$AY$38)*(F$4&lt;=$AZ$11:$AZ$38)&gt;0),$B46,"")</f>
        <v/>
      </c>
      <c r="G46" s="84" t="str">
        <f t="array" aca="1" ref="G46" ca="1">IF(OR((G$41&gt;=$AY$11:$AY$38)*(G$4&lt;=$AZ$11:$AZ$38)&gt;0),$B46,"")</f>
        <v/>
      </c>
      <c r="H46" s="84" t="str">
        <f t="array" aca="1" ref="H46" ca="1">IF(OR((H$41&gt;=$AY$11:$AY$38)*(H$4&lt;=$AZ$11:$AZ$38)&gt;0),$B46,"")</f>
        <v/>
      </c>
      <c r="I46" s="84" t="str">
        <f t="array" aca="1" ref="I46" ca="1">IF(OR((I$41&gt;=$AY$11:$AY$38)*(I$4&lt;=$AZ$11:$AZ$38)&gt;0),$B46,"")</f>
        <v/>
      </c>
      <c r="J46" s="84" t="str">
        <f t="array" aca="1" ref="J46" ca="1">IF(OR((J$41&gt;=$AY$11:$AY$38)*(J$4&lt;=$AZ$11:$AZ$38)&gt;0),$B46,"")</f>
        <v/>
      </c>
      <c r="K46" s="84" t="str">
        <f t="array" aca="1" ref="K46" ca="1">IF(OR((K$41&gt;=$AY$11:$AY$38)*(K$4&lt;=$AZ$11:$AZ$38)&gt;0),$B46,"")</f>
        <v/>
      </c>
      <c r="L46" s="84" t="str">
        <f t="array" aca="1" ref="L46" ca="1">IF(OR((L$41&gt;=$AY$11:$AY$38)*(L$4&lt;=$AZ$11:$AZ$38)&gt;0),$B46,"")</f>
        <v/>
      </c>
      <c r="M46" s="84" t="str">
        <f t="array" aca="1" ref="M46" ca="1">IF(OR((M$41&gt;=$AY$11:$AY$38)*(M$4&lt;=$AZ$11:$AZ$38)&gt;0),$B46,"")</f>
        <v/>
      </c>
      <c r="N46" s="84" t="str">
        <f t="array" aca="1" ref="N46" ca="1">IF(OR((N$41&gt;=$AY$11:$AY$38)*(N$4&lt;=$AZ$11:$AZ$38)&gt;0),$B46,"")</f>
        <v/>
      </c>
      <c r="O46" s="84" t="str">
        <f t="array" aca="1" ref="O46" ca="1">IF(OR((O$41&gt;=$AY$11:$AY$38)*(O$4&lt;=$AZ$11:$AZ$38)&gt;0),$B46,"")</f>
        <v/>
      </c>
      <c r="P46" s="84" t="str">
        <f t="array" aca="1" ref="P46" ca="1">IF(OR((P$41&gt;=$AY$11:$AY$38)*(P$4&lt;=$AZ$11:$AZ$38)&gt;0),$B46,"")</f>
        <v/>
      </c>
      <c r="Q46" s="84" t="str">
        <f t="array" aca="1" ref="Q46" ca="1">IF(OR((Q$41&gt;=$AY$11:$AY$38)*(Q$4&lt;=$AZ$11:$AZ$38)&gt;0),$B46,"")</f>
        <v/>
      </c>
      <c r="R46" s="84" t="str">
        <f t="array" aca="1" ref="R46" ca="1">IF(OR((R$41&gt;=$AY$11:$AY$38)*(R$4&lt;=$AZ$11:$AZ$38)&gt;0),$B46,"")</f>
        <v/>
      </c>
      <c r="S46" s="84" t="str">
        <f t="array" aca="1" ref="S46" ca="1">IF(OR((S$41&gt;=$AY$11:$AY$38)*(S$4&lt;=$AZ$11:$AZ$38)&gt;0),$B46,"")</f>
        <v/>
      </c>
      <c r="T46" s="84" t="str">
        <f t="array" aca="1" ref="T46" ca="1">IF(OR((T$41&gt;=$AY$11:$AY$38)*(T$4&lt;=$AZ$11:$AZ$38)&gt;0),$B46,"")</f>
        <v/>
      </c>
      <c r="U46" s="84" t="str">
        <f t="array" aca="1" ref="U46" ca="1">IF(OR((U$41&gt;=$AY$11:$AY$38)*(U$4&lt;=$AZ$11:$AZ$38)&gt;0),$B46,"")</f>
        <v/>
      </c>
      <c r="V46" s="84" t="str">
        <f t="array" aca="1" ref="V46" ca="1">IF(OR((V$41&gt;=$AY$11:$AY$38)*(V$4&lt;=$AZ$11:$AZ$38)&gt;0),$B46,"")</f>
        <v/>
      </c>
      <c r="W46" s="84" t="str">
        <f t="array" aca="1" ref="W46" ca="1">IF(OR((W$41&gt;=$AY$11:$AY$38)*(W$4&lt;=$AZ$11:$AZ$38)&gt;0),$B46,"")</f>
        <v/>
      </c>
      <c r="X46" s="84" t="str">
        <f t="array" aca="1" ref="X46" ca="1">IF(OR((X$41&gt;=$AY$11:$AY$38)*(X$4&lt;=$AZ$11:$AZ$38)&gt;0),$B46,"")</f>
        <v/>
      </c>
      <c r="Y46" s="84" t="str">
        <f t="array" aca="1" ref="Y46" ca="1">IF(OR((Y$41&gt;=$AY$11:$AY$38)*(Y$4&lt;=$AZ$11:$AZ$38)&gt;0),$B46,"")</f>
        <v/>
      </c>
      <c r="Z46" s="84" t="str">
        <f t="array" aca="1" ref="Z46" ca="1">IF(OR((Z$41&gt;=$AY$11:$AY$38)*(Z$4&lt;=$AZ$11:$AZ$38)&gt;0),$B46,"")</f>
        <v/>
      </c>
      <c r="AA46" s="84" t="str">
        <f t="array" aca="1" ref="AA46" ca="1">IF(OR((AA$41&gt;=$AY$11:$AY$38)*(AA$4&lt;=$AZ$11:$AZ$38)&gt;0),$B46,"")</f>
        <v/>
      </c>
      <c r="AB46" s="84" t="str">
        <f t="array" aca="1" ref="AB46" ca="1">IF(OR((AB$41&gt;=$AY$11:$AY$38)*(AB$4&lt;=$AZ$11:$AZ$38)&gt;0),$B46,"")</f>
        <v/>
      </c>
      <c r="AC46" s="84" t="str">
        <f t="array" aca="1" ref="AC46" ca="1">IF(OR((AC$41&gt;=$AY$11:$AY$38)*(AC$4&lt;=$AZ$11:$AZ$38)&gt;0),$B46,"")</f>
        <v/>
      </c>
      <c r="AD46" s="84" t="str">
        <f t="array" aca="1" ref="AD46" ca="1">IF(OR((AD$41&gt;=$AY$11:$AY$38)*(AD$4&lt;=$AZ$11:$AZ$38)&gt;0),$B46,"")</f>
        <v/>
      </c>
      <c r="AE46" s="84" t="str">
        <f t="array" aca="1" ref="AE46" ca="1">IF(OR((AE$41&gt;=$AY$11:$AY$38)*(AE$4&lt;=$AZ$11:$AZ$38)&gt;0),$B46,"")</f>
        <v/>
      </c>
      <c r="AF46" s="84" t="str">
        <f t="array" aca="1" ref="AF46" ca="1">IF(OR((AF$41&gt;=$AY$11:$AY$38)*(AF$4&lt;=$AZ$11:$AZ$38)&gt;0),$B46,"")</f>
        <v/>
      </c>
      <c r="AG46" s="84" t="str">
        <f t="array" aca="1" ref="AG46" ca="1">IF(OR((AG$41&gt;=$AY$11:$AY$38)*(AG$4&lt;=$AZ$11:$AZ$38)&gt;0),$B46,"")</f>
        <v/>
      </c>
      <c r="AH46" s="84" t="str">
        <f t="array" aca="1" ref="AH46" ca="1">IF(OR((AH$41&gt;=$AY$11:$AY$38)*(AH$4&lt;=$AZ$11:$AZ$38)&gt;0),$B46,"")</f>
        <v/>
      </c>
      <c r="AI46" s="84" t="str">
        <f t="array" aca="1" ref="AI46" ca="1">IF(OR((AI$41&gt;=$AY$11:$AY$38)*(AI$4&lt;=$AZ$11:$AZ$38)&gt;0),$B46,"")</f>
        <v/>
      </c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  <c r="BC46" s="126"/>
      <c r="BD46" s="126"/>
      <c r="BE46" s="126"/>
      <c r="BF46" s="126"/>
    </row>
    <row r="47" spans="1:58">
      <c r="A47" s="75" t="s">
        <v>192</v>
      </c>
      <c r="B47" s="16">
        <v>48</v>
      </c>
      <c r="C47" s="84" t="str">
        <f t="array" aca="1" ref="C47" ca="1">IF(OR((C$41&gt;=$AY$11:$AY$38)*(C$4&lt;=$AZ$11:$AZ$38)&gt;0),$B47,"")</f>
        <v/>
      </c>
      <c r="D47" s="84" t="str">
        <f t="array" aca="1" ref="D47" ca="1">IF(OR((D$41&gt;=$AY$11:$AY$38)*(D$4&lt;=$AZ$11:$AZ$38)&gt;0),$B47,"")</f>
        <v/>
      </c>
      <c r="E47" s="84" t="str">
        <f t="array" aca="1" ref="E47" ca="1">IF(OR((E$41&gt;=$AY$11:$AY$38)*(E$4&lt;=$AZ$11:$AZ$38)&gt;0),$B47,"")</f>
        <v/>
      </c>
      <c r="F47" s="84" t="str">
        <f t="array" aca="1" ref="F47" ca="1">IF(OR((F$41&gt;=$AY$11:$AY$38)*(F$4&lt;=$AZ$11:$AZ$38)&gt;0),$B47,"")</f>
        <v/>
      </c>
      <c r="G47" s="84" t="str">
        <f t="array" aca="1" ref="G47" ca="1">IF(OR((G$41&gt;=$AY$11:$AY$38)*(G$4&lt;=$AZ$11:$AZ$38)&gt;0),$B47,"")</f>
        <v/>
      </c>
      <c r="H47" s="84" t="str">
        <f t="array" aca="1" ref="H47" ca="1">IF(OR((H$41&gt;=$AY$11:$AY$38)*(H$4&lt;=$AZ$11:$AZ$38)&gt;0),$B47,"")</f>
        <v/>
      </c>
      <c r="I47" s="84" t="str">
        <f t="array" aca="1" ref="I47" ca="1">IF(OR((I$41&gt;=$AY$11:$AY$38)*(I$4&lt;=$AZ$11:$AZ$38)&gt;0),$B47,"")</f>
        <v/>
      </c>
      <c r="J47" s="84" t="str">
        <f t="array" aca="1" ref="J47" ca="1">IF(OR((J$41&gt;=$AY$11:$AY$38)*(J$4&lt;=$AZ$11:$AZ$38)&gt;0),$B47,"")</f>
        <v/>
      </c>
      <c r="K47" s="84" t="str">
        <f t="array" aca="1" ref="K47" ca="1">IF(OR((K$41&gt;=$AY$11:$AY$38)*(K$4&lt;=$AZ$11:$AZ$38)&gt;0),$B47,"")</f>
        <v/>
      </c>
      <c r="L47" s="84" t="str">
        <f t="array" aca="1" ref="L47" ca="1">IF(OR((L$41&gt;=$AY$11:$AY$38)*(L$4&lt;=$AZ$11:$AZ$38)&gt;0),$B47,"")</f>
        <v/>
      </c>
      <c r="M47" s="84" t="str">
        <f t="array" aca="1" ref="M47" ca="1">IF(OR((M$41&gt;=$AY$11:$AY$38)*(M$4&lt;=$AZ$11:$AZ$38)&gt;0),$B47,"")</f>
        <v/>
      </c>
      <c r="N47" s="84" t="str">
        <f t="array" aca="1" ref="N47" ca="1">IF(OR((N$41&gt;=$AY$11:$AY$38)*(N$4&lt;=$AZ$11:$AZ$38)&gt;0),$B47,"")</f>
        <v/>
      </c>
      <c r="O47" s="84" t="str">
        <f t="array" aca="1" ref="O47" ca="1">IF(OR((O$41&gt;=$AY$11:$AY$38)*(O$4&lt;=$AZ$11:$AZ$38)&gt;0),$B47,"")</f>
        <v/>
      </c>
      <c r="P47" s="84" t="str">
        <f t="array" aca="1" ref="P47" ca="1">IF(OR((P$41&gt;=$AY$11:$AY$38)*(P$4&lt;=$AZ$11:$AZ$38)&gt;0),$B47,"")</f>
        <v/>
      </c>
      <c r="Q47" s="84" t="str">
        <f t="array" aca="1" ref="Q47" ca="1">IF(OR((Q$41&gt;=$AY$11:$AY$38)*(Q$4&lt;=$AZ$11:$AZ$38)&gt;0),$B47,"")</f>
        <v/>
      </c>
      <c r="R47" s="84" t="str">
        <f t="array" aca="1" ref="R47" ca="1">IF(OR((R$41&gt;=$AY$11:$AY$38)*(R$4&lt;=$AZ$11:$AZ$38)&gt;0),$B47,"")</f>
        <v/>
      </c>
      <c r="S47" s="84" t="str">
        <f t="array" aca="1" ref="S47" ca="1">IF(OR((S$41&gt;=$AY$11:$AY$38)*(S$4&lt;=$AZ$11:$AZ$38)&gt;0),$B47,"")</f>
        <v/>
      </c>
      <c r="T47" s="84" t="str">
        <f t="array" aca="1" ref="T47" ca="1">IF(OR((T$41&gt;=$AY$11:$AY$38)*(T$4&lt;=$AZ$11:$AZ$38)&gt;0),$B47,"")</f>
        <v/>
      </c>
      <c r="U47" s="84" t="str">
        <f t="array" aca="1" ref="U47" ca="1">IF(OR((U$41&gt;=$AY$11:$AY$38)*(U$4&lt;=$AZ$11:$AZ$38)&gt;0),$B47,"")</f>
        <v/>
      </c>
      <c r="V47" s="84" t="str">
        <f t="array" aca="1" ref="V47" ca="1">IF(OR((V$41&gt;=$AY$11:$AY$38)*(V$4&lt;=$AZ$11:$AZ$38)&gt;0),$B47,"")</f>
        <v/>
      </c>
      <c r="W47" s="84" t="str">
        <f t="array" aca="1" ref="W47" ca="1">IF(OR((W$41&gt;=$AY$11:$AY$38)*(W$4&lt;=$AZ$11:$AZ$38)&gt;0),$B47,"")</f>
        <v/>
      </c>
      <c r="X47" s="84" t="str">
        <f t="array" aca="1" ref="X47" ca="1">IF(OR((X$41&gt;=$AY$11:$AY$38)*(X$4&lt;=$AZ$11:$AZ$38)&gt;0),$B47,"")</f>
        <v/>
      </c>
      <c r="Y47" s="84" t="str">
        <f t="array" aca="1" ref="Y47" ca="1">IF(OR((Y$41&gt;=$AY$11:$AY$38)*(Y$4&lt;=$AZ$11:$AZ$38)&gt;0),$B47,"")</f>
        <v/>
      </c>
      <c r="Z47" s="84" t="str">
        <f t="array" aca="1" ref="Z47" ca="1">IF(OR((Z$41&gt;=$AY$11:$AY$38)*(Z$4&lt;=$AZ$11:$AZ$38)&gt;0),$B47,"")</f>
        <v/>
      </c>
      <c r="AA47" s="84" t="str">
        <f t="array" aca="1" ref="AA47" ca="1">IF(OR((AA$41&gt;=$AY$11:$AY$38)*(AA$4&lt;=$AZ$11:$AZ$38)&gt;0),$B47,"")</f>
        <v/>
      </c>
      <c r="AB47" s="84" t="str">
        <f t="array" aca="1" ref="AB47" ca="1">IF(OR((AB$41&gt;=$AY$11:$AY$38)*(AB$4&lt;=$AZ$11:$AZ$38)&gt;0),$B47,"")</f>
        <v/>
      </c>
      <c r="AC47" s="84" t="str">
        <f t="array" aca="1" ref="AC47" ca="1">IF(OR((AC$41&gt;=$AY$11:$AY$38)*(AC$4&lt;=$AZ$11:$AZ$38)&gt;0),$B47,"")</f>
        <v/>
      </c>
      <c r="AD47" s="84" t="str">
        <f t="array" aca="1" ref="AD47" ca="1">IF(OR((AD$41&gt;=$AY$11:$AY$38)*(AD$4&lt;=$AZ$11:$AZ$38)&gt;0),$B47,"")</f>
        <v/>
      </c>
      <c r="AE47" s="84" t="str">
        <f t="array" aca="1" ref="AE47" ca="1">IF(OR((AE$41&gt;=$AY$11:$AY$38)*(AE$4&lt;=$AZ$11:$AZ$38)&gt;0),$B47,"")</f>
        <v/>
      </c>
      <c r="AF47" s="84" t="str">
        <f t="array" aca="1" ref="AF47" ca="1">IF(OR((AF$41&gt;=$AY$11:$AY$38)*(AF$4&lt;=$AZ$11:$AZ$38)&gt;0),$B47,"")</f>
        <v/>
      </c>
      <c r="AG47" s="84" t="str">
        <f t="array" aca="1" ref="AG47" ca="1">IF(OR((AG$41&gt;=$AY$11:$AY$38)*(AG$4&lt;=$AZ$11:$AZ$38)&gt;0),$B47,"")</f>
        <v/>
      </c>
      <c r="AH47" s="84" t="str">
        <f t="array" aca="1" ref="AH47" ca="1">IF(OR((AH$41&gt;=$AY$11:$AY$38)*(AH$4&lt;=$AZ$11:$AZ$38)&gt;0),$B47,"")</f>
        <v/>
      </c>
      <c r="AI47" s="84" t="str">
        <f t="array" aca="1" ref="AI47" ca="1">IF(OR((AI$41&gt;=$AY$11:$AY$38)*(AI$4&lt;=$AZ$11:$AZ$38)&gt;0),$B47,"")</f>
        <v/>
      </c>
    </row>
    <row r="48" spans="1:58">
      <c r="A48" s="75" t="s">
        <v>193</v>
      </c>
      <c r="B48" s="16">
        <v>16</v>
      </c>
      <c r="C48" s="84" t="str">
        <f t="array" aca="1" ref="C48" ca="1">IF(OR((C$41&gt;=$AY$11:$AY$38)*(C$4&lt;=$AZ$11:$AZ$38)&gt;0),$B48,"")</f>
        <v/>
      </c>
      <c r="D48" s="84" t="str">
        <f t="array" aca="1" ref="D48" ca="1">IF(OR((D$41&gt;=$AY$11:$AY$38)*(D$4&lt;=$AZ$11:$AZ$38)&gt;0),$B48,"")</f>
        <v/>
      </c>
      <c r="E48" s="84" t="str">
        <f t="array" aca="1" ref="E48" ca="1">IF(OR((E$41&gt;=$AY$11:$AY$38)*(E$4&lt;=$AZ$11:$AZ$38)&gt;0),$B48,"")</f>
        <v/>
      </c>
      <c r="F48" s="84" t="str">
        <f t="array" aca="1" ref="F48" ca="1">IF(OR((F$41&gt;=$AY$11:$AY$38)*(F$4&lt;=$AZ$11:$AZ$38)&gt;0),$B48,"")</f>
        <v/>
      </c>
      <c r="G48" s="84" t="str">
        <f t="array" aca="1" ref="G48" ca="1">IF(OR((G$41&gt;=$AY$11:$AY$38)*(G$4&lt;=$AZ$11:$AZ$38)&gt;0),$B48,"")</f>
        <v/>
      </c>
      <c r="H48" s="84" t="str">
        <f t="array" aca="1" ref="H48" ca="1">IF(OR((H$41&gt;=$AY$11:$AY$38)*(H$4&lt;=$AZ$11:$AZ$38)&gt;0),$B48,"")</f>
        <v/>
      </c>
      <c r="I48" s="84" t="str">
        <f t="array" aca="1" ref="I48" ca="1">IF(OR((I$41&gt;=$AY$11:$AY$38)*(I$4&lt;=$AZ$11:$AZ$38)&gt;0),$B48,"")</f>
        <v/>
      </c>
      <c r="J48" s="84" t="str">
        <f t="array" aca="1" ref="J48" ca="1">IF(OR((J$41&gt;=$AY$11:$AY$38)*(J$4&lt;=$AZ$11:$AZ$38)&gt;0),$B48,"")</f>
        <v/>
      </c>
      <c r="K48" s="84" t="str">
        <f t="array" aca="1" ref="K48" ca="1">IF(OR((K$41&gt;=$AY$11:$AY$38)*(K$4&lt;=$AZ$11:$AZ$38)&gt;0),$B48,"")</f>
        <v/>
      </c>
      <c r="L48" s="84" t="str">
        <f t="array" aca="1" ref="L48" ca="1">IF(OR((L$41&gt;=$AY$11:$AY$38)*(L$4&lt;=$AZ$11:$AZ$38)&gt;0),$B48,"")</f>
        <v/>
      </c>
      <c r="M48" s="84" t="str">
        <f t="array" aca="1" ref="M48" ca="1">IF(OR((M$41&gt;=$AY$11:$AY$38)*(M$4&lt;=$AZ$11:$AZ$38)&gt;0),$B48,"")</f>
        <v/>
      </c>
      <c r="N48" s="84" t="str">
        <f t="array" aca="1" ref="N48" ca="1">IF(OR((N$41&gt;=$AY$11:$AY$38)*(N$4&lt;=$AZ$11:$AZ$38)&gt;0),$B48,"")</f>
        <v/>
      </c>
      <c r="O48" s="84" t="str">
        <f t="array" aca="1" ref="O48" ca="1">IF(OR((O$41&gt;=$AY$11:$AY$38)*(O$4&lt;=$AZ$11:$AZ$38)&gt;0),$B48,"")</f>
        <v/>
      </c>
      <c r="P48" s="84" t="str">
        <f t="array" aca="1" ref="P48" ca="1">IF(OR((P$41&gt;=$AY$11:$AY$38)*(P$4&lt;=$AZ$11:$AZ$38)&gt;0),$B48,"")</f>
        <v/>
      </c>
      <c r="Q48" s="84" t="str">
        <f t="array" aca="1" ref="Q48" ca="1">IF(OR((Q$41&gt;=$AY$11:$AY$38)*(Q$4&lt;=$AZ$11:$AZ$38)&gt;0),$B48,"")</f>
        <v/>
      </c>
      <c r="R48" s="84" t="str">
        <f t="array" aca="1" ref="R48" ca="1">IF(OR((R$41&gt;=$AY$11:$AY$38)*(R$4&lt;=$AZ$11:$AZ$38)&gt;0),$B48,"")</f>
        <v/>
      </c>
      <c r="S48" s="84" t="str">
        <f t="array" aca="1" ref="S48" ca="1">IF(OR((S$41&gt;=$AY$11:$AY$38)*(S$4&lt;=$AZ$11:$AZ$38)&gt;0),$B48,"")</f>
        <v/>
      </c>
      <c r="T48" s="84" t="str">
        <f t="array" aca="1" ref="T48" ca="1">IF(OR((T$41&gt;=$AY$11:$AY$38)*(T$4&lt;=$AZ$11:$AZ$38)&gt;0),$B48,"")</f>
        <v/>
      </c>
      <c r="U48" s="84" t="str">
        <f t="array" aca="1" ref="U48" ca="1">IF(OR((U$41&gt;=$AY$11:$AY$38)*(U$4&lt;=$AZ$11:$AZ$38)&gt;0),$B48,"")</f>
        <v/>
      </c>
      <c r="V48" s="84" t="str">
        <f t="array" aca="1" ref="V48" ca="1">IF(OR((V$41&gt;=$AY$11:$AY$38)*(V$4&lt;=$AZ$11:$AZ$38)&gt;0),$B48,"")</f>
        <v/>
      </c>
      <c r="W48" s="84" t="str">
        <f t="array" aca="1" ref="W48" ca="1">IF(OR((W$41&gt;=$AY$11:$AY$38)*(W$4&lt;=$AZ$11:$AZ$38)&gt;0),$B48,"")</f>
        <v/>
      </c>
      <c r="X48" s="84" t="str">
        <f t="array" aca="1" ref="X48" ca="1">IF(OR((X$41&gt;=$AY$11:$AY$38)*(X$4&lt;=$AZ$11:$AZ$38)&gt;0),$B48,"")</f>
        <v/>
      </c>
      <c r="Y48" s="84" t="str">
        <f t="array" aca="1" ref="Y48" ca="1">IF(OR((Y$41&gt;=$AY$11:$AY$38)*(Y$4&lt;=$AZ$11:$AZ$38)&gt;0),$B48,"")</f>
        <v/>
      </c>
      <c r="Z48" s="84" t="str">
        <f t="array" aca="1" ref="Z48" ca="1">IF(OR((Z$41&gt;=$AY$11:$AY$38)*(Z$4&lt;=$AZ$11:$AZ$38)&gt;0),$B48,"")</f>
        <v/>
      </c>
      <c r="AA48" s="84" t="str">
        <f t="array" aca="1" ref="AA48" ca="1">IF(OR((AA$41&gt;=$AY$11:$AY$38)*(AA$4&lt;=$AZ$11:$AZ$38)&gt;0),$B48,"")</f>
        <v/>
      </c>
      <c r="AB48" s="84" t="str">
        <f t="array" aca="1" ref="AB48" ca="1">IF(OR((AB$41&gt;=$AY$11:$AY$38)*(AB$4&lt;=$AZ$11:$AZ$38)&gt;0),$B48,"")</f>
        <v/>
      </c>
      <c r="AC48" s="84" t="str">
        <f t="array" aca="1" ref="AC48" ca="1">IF(OR((AC$41&gt;=$AY$11:$AY$38)*(AC$4&lt;=$AZ$11:$AZ$38)&gt;0),$B48,"")</f>
        <v/>
      </c>
      <c r="AD48" s="84" t="str">
        <f t="array" aca="1" ref="AD48" ca="1">IF(OR((AD$41&gt;=$AY$11:$AY$38)*(AD$4&lt;=$AZ$11:$AZ$38)&gt;0),$B48,"")</f>
        <v/>
      </c>
      <c r="AE48" s="84" t="str">
        <f t="array" aca="1" ref="AE48" ca="1">IF(OR((AE$41&gt;=$AY$11:$AY$38)*(AE$4&lt;=$AZ$11:$AZ$38)&gt;0),$B48,"")</f>
        <v/>
      </c>
      <c r="AF48" s="84" t="str">
        <f t="array" aca="1" ref="AF48" ca="1">IF(OR((AF$41&gt;=$AY$11:$AY$38)*(AF$4&lt;=$AZ$11:$AZ$38)&gt;0),$B48,"")</f>
        <v/>
      </c>
      <c r="AG48" s="84" t="str">
        <f t="array" aca="1" ref="AG48" ca="1">IF(OR((AG$41&gt;=$AY$11:$AY$38)*(AG$4&lt;=$AZ$11:$AZ$38)&gt;0),$B48,"")</f>
        <v/>
      </c>
      <c r="AH48" s="84" t="str">
        <f t="array" aca="1" ref="AH48" ca="1">IF(OR((AH$41&gt;=$AY$11:$AY$38)*(AH$4&lt;=$AZ$11:$AZ$38)&gt;0),$B48,"")</f>
        <v/>
      </c>
      <c r="AI48" s="84" t="str">
        <f t="array" aca="1" ref="AI48" ca="1">IF(OR((AI$41&gt;=$AY$11:$AY$38)*(AI$4&lt;=$AZ$11:$AZ$38)&gt;0),$B48,"")</f>
        <v/>
      </c>
      <c r="AJ48" s="85"/>
    </row>
    <row r="49" spans="1:71">
      <c r="A49" s="75" t="s">
        <v>194</v>
      </c>
      <c r="B49" s="16">
        <v>32</v>
      </c>
      <c r="C49" s="84" t="str">
        <f t="array" aca="1" ref="C49" ca="1">IF(OR((C$41&gt;=$AY$11:$AY$38)*(C$4&lt;=$AZ$11:$AZ$38)&gt;0),$B49,"")</f>
        <v/>
      </c>
      <c r="D49" s="84" t="str">
        <f t="array" aca="1" ref="D49" ca="1">IF(OR((D$41&gt;=$AY$11:$AY$38)*(D$4&lt;=$AZ$11:$AZ$38)&gt;0),$B49,"")</f>
        <v/>
      </c>
      <c r="E49" s="84" t="str">
        <f t="array" aca="1" ref="E49" ca="1">IF(OR((E$41&gt;=$AY$11:$AY$38)*(E$4&lt;=$AZ$11:$AZ$38)&gt;0),$B49,"")</f>
        <v/>
      </c>
      <c r="F49" s="84" t="str">
        <f t="array" aca="1" ref="F49" ca="1">IF(OR((F$41&gt;=$AY$11:$AY$38)*(F$4&lt;=$AZ$11:$AZ$38)&gt;0),$B49,"")</f>
        <v/>
      </c>
      <c r="G49" s="84" t="str">
        <f t="array" aca="1" ref="G49" ca="1">IF(OR((G$41&gt;=$AY$11:$AY$38)*(G$4&lt;=$AZ$11:$AZ$38)&gt;0),$B49,"")</f>
        <v/>
      </c>
      <c r="H49" s="84" t="str">
        <f t="array" aca="1" ref="H49" ca="1">IF(OR((H$41&gt;=$AY$11:$AY$38)*(H$4&lt;=$AZ$11:$AZ$38)&gt;0),$B49,"")</f>
        <v/>
      </c>
      <c r="I49" s="84" t="str">
        <f t="array" aca="1" ref="I49" ca="1">IF(OR((I$41&gt;=$AY$11:$AY$38)*(I$4&lt;=$AZ$11:$AZ$38)&gt;0),$B49,"")</f>
        <v/>
      </c>
      <c r="J49" s="84" t="str">
        <f t="array" aca="1" ref="J49" ca="1">IF(OR((J$41&gt;=$AY$11:$AY$38)*(J$4&lt;=$AZ$11:$AZ$38)&gt;0),$B49,"")</f>
        <v/>
      </c>
      <c r="K49" s="84" t="str">
        <f t="array" aca="1" ref="K49" ca="1">IF(OR((K$41&gt;=$AY$11:$AY$38)*(K$4&lt;=$AZ$11:$AZ$38)&gt;0),$B49,"")</f>
        <v/>
      </c>
      <c r="L49" s="84" t="str">
        <f t="array" aca="1" ref="L49" ca="1">IF(OR((L$41&gt;=$AY$11:$AY$38)*(L$4&lt;=$AZ$11:$AZ$38)&gt;0),$B49,"")</f>
        <v/>
      </c>
      <c r="M49" s="84" t="str">
        <f t="array" aca="1" ref="M49" ca="1">IF(OR((M$41&gt;=$AY$11:$AY$38)*(M$4&lt;=$AZ$11:$AZ$38)&gt;0),$B49,"")</f>
        <v/>
      </c>
      <c r="N49" s="84" t="str">
        <f t="array" aca="1" ref="N49" ca="1">IF(OR((N$41&gt;=$AY$11:$AY$38)*(N$4&lt;=$AZ$11:$AZ$38)&gt;0),$B49,"")</f>
        <v/>
      </c>
      <c r="O49" s="84" t="str">
        <f t="array" aca="1" ref="O49" ca="1">IF(OR((O$41&gt;=$AY$11:$AY$38)*(O$4&lt;=$AZ$11:$AZ$38)&gt;0),$B49,"")</f>
        <v/>
      </c>
      <c r="P49" s="84" t="str">
        <f t="array" aca="1" ref="P49" ca="1">IF(OR((P$41&gt;=$AY$11:$AY$38)*(P$4&lt;=$AZ$11:$AZ$38)&gt;0),$B49,"")</f>
        <v/>
      </c>
      <c r="Q49" s="84" t="str">
        <f t="array" aca="1" ref="Q49" ca="1">IF(OR((Q$41&gt;=$AY$11:$AY$38)*(Q$4&lt;=$AZ$11:$AZ$38)&gt;0),$B49,"")</f>
        <v/>
      </c>
      <c r="R49" s="84" t="str">
        <f t="array" aca="1" ref="R49" ca="1">IF(OR((R$41&gt;=$AY$11:$AY$38)*(R$4&lt;=$AZ$11:$AZ$38)&gt;0),$B49,"")</f>
        <v/>
      </c>
      <c r="S49" s="84" t="str">
        <f t="array" aca="1" ref="S49" ca="1">IF(OR((S$41&gt;=$AY$11:$AY$38)*(S$4&lt;=$AZ$11:$AZ$38)&gt;0),$B49,"")</f>
        <v/>
      </c>
      <c r="T49" s="84" t="str">
        <f t="array" aca="1" ref="T49" ca="1">IF(OR((T$41&gt;=$AY$11:$AY$38)*(T$4&lt;=$AZ$11:$AZ$38)&gt;0),$B49,"")</f>
        <v/>
      </c>
      <c r="U49" s="84" t="str">
        <f t="array" aca="1" ref="U49" ca="1">IF(OR((U$41&gt;=$AY$11:$AY$38)*(U$4&lt;=$AZ$11:$AZ$38)&gt;0),$B49,"")</f>
        <v/>
      </c>
      <c r="V49" s="84" t="str">
        <f t="array" aca="1" ref="V49" ca="1">IF(OR((V$41&gt;=$AY$11:$AY$38)*(V$4&lt;=$AZ$11:$AZ$38)&gt;0),$B49,"")</f>
        <v/>
      </c>
      <c r="W49" s="84" t="str">
        <f t="array" aca="1" ref="W49" ca="1">IF(OR((W$41&gt;=$AY$11:$AY$38)*(W$4&lt;=$AZ$11:$AZ$38)&gt;0),$B49,"")</f>
        <v/>
      </c>
      <c r="X49" s="84" t="str">
        <f t="array" aca="1" ref="X49" ca="1">IF(OR((X$41&gt;=$AY$11:$AY$38)*(X$4&lt;=$AZ$11:$AZ$38)&gt;0),$B49,"")</f>
        <v/>
      </c>
      <c r="Y49" s="84" t="str">
        <f t="array" aca="1" ref="Y49" ca="1">IF(OR((Y$41&gt;=$AY$11:$AY$38)*(Y$4&lt;=$AZ$11:$AZ$38)&gt;0),$B49,"")</f>
        <v/>
      </c>
      <c r="Z49" s="84" t="str">
        <f t="array" aca="1" ref="Z49" ca="1">IF(OR((Z$41&gt;=$AY$11:$AY$38)*(Z$4&lt;=$AZ$11:$AZ$38)&gt;0),$B49,"")</f>
        <v/>
      </c>
      <c r="AA49" s="84" t="str">
        <f t="array" aca="1" ref="AA49" ca="1">IF(OR((AA$41&gt;=$AY$11:$AY$38)*(AA$4&lt;=$AZ$11:$AZ$38)&gt;0),$B49,"")</f>
        <v/>
      </c>
      <c r="AB49" s="84" t="str">
        <f t="array" aca="1" ref="AB49" ca="1">IF(OR((AB$41&gt;=$AY$11:$AY$38)*(AB$4&lt;=$AZ$11:$AZ$38)&gt;0),$B49,"")</f>
        <v/>
      </c>
      <c r="AC49" s="84" t="str">
        <f t="array" aca="1" ref="AC49" ca="1">IF(OR((AC$41&gt;=$AY$11:$AY$38)*(AC$4&lt;=$AZ$11:$AZ$38)&gt;0),$B49,"")</f>
        <v/>
      </c>
      <c r="AD49" s="84" t="str">
        <f t="array" aca="1" ref="AD49" ca="1">IF(OR((AD$41&gt;=$AY$11:$AY$38)*(AD$4&lt;=$AZ$11:$AZ$38)&gt;0),$B49,"")</f>
        <v/>
      </c>
      <c r="AE49" s="84" t="str">
        <f t="array" aca="1" ref="AE49" ca="1">IF(OR((AE$41&gt;=$AY$11:$AY$38)*(AE$4&lt;=$AZ$11:$AZ$38)&gt;0),$B49,"")</f>
        <v/>
      </c>
      <c r="AF49" s="84" t="str">
        <f t="array" aca="1" ref="AF49" ca="1">IF(OR((AF$41&gt;=$AY$11:$AY$38)*(AF$4&lt;=$AZ$11:$AZ$38)&gt;0),$B49,"")</f>
        <v/>
      </c>
      <c r="AG49" s="84" t="str">
        <f t="array" aca="1" ref="AG49" ca="1">IF(OR((AG$41&gt;=$AY$11:$AY$38)*(AG$4&lt;=$AZ$11:$AZ$38)&gt;0),$B49,"")</f>
        <v/>
      </c>
      <c r="AH49" s="84" t="str">
        <f t="array" aca="1" ref="AH49" ca="1">IF(OR((AH$41&gt;=$AY$11:$AY$38)*(AH$4&lt;=$AZ$11:$AZ$38)&gt;0),$B49,"")</f>
        <v/>
      </c>
      <c r="AI49" s="84" t="str">
        <f t="array" aca="1" ref="AI49" ca="1">IF(OR((AI$41&gt;=$AY$11:$AY$38)*(AI$4&lt;=$AZ$11:$AZ$38)&gt;0),$B49,"")</f>
        <v/>
      </c>
      <c r="AJ49" s="85"/>
    </row>
    <row r="50" spans="1:71">
      <c r="A50" s="75" t="s">
        <v>195</v>
      </c>
      <c r="B50" s="16">
        <v>1</v>
      </c>
      <c r="C50" s="84" t="str">
        <f t="array" aca="1" ref="C50" ca="1">IF(OR((C$41&gt;=$AY$11:$AY$38)*(C$4&lt;=$AZ$11:$AZ$38)&gt;0),$B50,"")</f>
        <v/>
      </c>
      <c r="D50" s="84" t="str">
        <f t="array" aca="1" ref="D50" ca="1">IF(OR((D$41&gt;=$AY$11:$AY$38)*(D$4&lt;=$AZ$11:$AZ$38)&gt;0),$B50,"")</f>
        <v/>
      </c>
      <c r="E50" s="84" t="str">
        <f t="array" aca="1" ref="E50" ca="1">IF(OR((E$41&gt;=$AY$11:$AY$38)*(E$4&lt;=$AZ$11:$AZ$38)&gt;0),$B50,"")</f>
        <v/>
      </c>
      <c r="F50" s="84" t="str">
        <f t="array" aca="1" ref="F50" ca="1">IF(OR((F$41&gt;=$AY$11:$AY$38)*(F$4&lt;=$AZ$11:$AZ$38)&gt;0),$B50,"")</f>
        <v/>
      </c>
      <c r="G50" s="84" t="str">
        <f t="array" aca="1" ref="G50" ca="1">IF(OR((G$41&gt;=$AY$11:$AY$38)*(G$4&lt;=$AZ$11:$AZ$38)&gt;0),$B50,"")</f>
        <v/>
      </c>
      <c r="H50" s="84" t="str">
        <f t="array" aca="1" ref="H50" ca="1">IF(OR((H$41&gt;=$AY$11:$AY$38)*(H$4&lt;=$AZ$11:$AZ$38)&gt;0),$B50,"")</f>
        <v/>
      </c>
      <c r="I50" s="84" t="str">
        <f t="array" aca="1" ref="I50" ca="1">IF(OR((I$41&gt;=$AY$11:$AY$38)*(I$4&lt;=$AZ$11:$AZ$38)&gt;0),$B50,"")</f>
        <v/>
      </c>
      <c r="J50" s="84" t="str">
        <f t="array" aca="1" ref="J50" ca="1">IF(OR((J$41&gt;=$AY$11:$AY$38)*(J$4&lt;=$AZ$11:$AZ$38)&gt;0),$B50,"")</f>
        <v/>
      </c>
      <c r="K50" s="84" t="str">
        <f t="array" aca="1" ref="K50" ca="1">IF(OR((K$41&gt;=$AY$11:$AY$38)*(K$4&lt;=$AZ$11:$AZ$38)&gt;0),$B50,"")</f>
        <v/>
      </c>
      <c r="L50" s="84" t="str">
        <f t="array" aca="1" ref="L50" ca="1">IF(OR((L$41&gt;=$AY$11:$AY$38)*(L$4&lt;=$AZ$11:$AZ$38)&gt;0),$B50,"")</f>
        <v/>
      </c>
      <c r="M50" s="84" t="str">
        <f t="array" aca="1" ref="M50" ca="1">IF(OR((M$41&gt;=$AY$11:$AY$38)*(M$4&lt;=$AZ$11:$AZ$38)&gt;0),$B50,"")</f>
        <v/>
      </c>
      <c r="N50" s="84" t="str">
        <f t="array" aca="1" ref="N50" ca="1">IF(OR((N$41&gt;=$AY$11:$AY$38)*(N$4&lt;=$AZ$11:$AZ$38)&gt;0),$B50,"")</f>
        <v/>
      </c>
      <c r="O50" s="84" t="str">
        <f t="array" aca="1" ref="O50" ca="1">IF(OR((O$41&gt;=$AY$11:$AY$38)*(O$4&lt;=$AZ$11:$AZ$38)&gt;0),$B50,"")</f>
        <v/>
      </c>
      <c r="P50" s="84" t="str">
        <f t="array" aca="1" ref="P50" ca="1">IF(OR((P$41&gt;=$AY$11:$AY$38)*(P$4&lt;=$AZ$11:$AZ$38)&gt;0),$B50,"")</f>
        <v/>
      </c>
      <c r="Q50" s="84" t="str">
        <f t="array" aca="1" ref="Q50" ca="1">IF(OR((Q$41&gt;=$AY$11:$AY$38)*(Q$4&lt;=$AZ$11:$AZ$38)&gt;0),$B50,"")</f>
        <v/>
      </c>
      <c r="R50" s="84" t="str">
        <f t="array" aca="1" ref="R50" ca="1">IF(OR((R$41&gt;=$AY$11:$AY$38)*(R$4&lt;=$AZ$11:$AZ$38)&gt;0),$B50,"")</f>
        <v/>
      </c>
      <c r="S50" s="84" t="str">
        <f t="array" aca="1" ref="S50" ca="1">IF(OR((S$41&gt;=$AY$11:$AY$38)*(S$4&lt;=$AZ$11:$AZ$38)&gt;0),$B50,"")</f>
        <v/>
      </c>
      <c r="T50" s="84" t="str">
        <f t="array" aca="1" ref="T50" ca="1">IF(OR((T$41&gt;=$AY$11:$AY$38)*(T$4&lt;=$AZ$11:$AZ$38)&gt;0),$B50,"")</f>
        <v/>
      </c>
      <c r="U50" s="84" t="str">
        <f t="array" aca="1" ref="U50" ca="1">IF(OR((U$41&gt;=$AY$11:$AY$38)*(U$4&lt;=$AZ$11:$AZ$38)&gt;0),$B50,"")</f>
        <v/>
      </c>
      <c r="V50" s="84" t="str">
        <f t="array" aca="1" ref="V50" ca="1">IF(OR((V$41&gt;=$AY$11:$AY$38)*(V$4&lt;=$AZ$11:$AZ$38)&gt;0),$B50,"")</f>
        <v/>
      </c>
      <c r="W50" s="84" t="str">
        <f t="array" aca="1" ref="W50" ca="1">IF(OR((W$41&gt;=$AY$11:$AY$38)*(W$4&lt;=$AZ$11:$AZ$38)&gt;0),$B50,"")</f>
        <v/>
      </c>
      <c r="X50" s="84" t="str">
        <f t="array" aca="1" ref="X50" ca="1">IF(OR((X$41&gt;=$AY$11:$AY$38)*(X$4&lt;=$AZ$11:$AZ$38)&gt;0),$B50,"")</f>
        <v/>
      </c>
      <c r="Y50" s="84" t="str">
        <f t="array" aca="1" ref="Y50" ca="1">IF(OR((Y$41&gt;=$AY$11:$AY$38)*(Y$4&lt;=$AZ$11:$AZ$38)&gt;0),$B50,"")</f>
        <v/>
      </c>
      <c r="Z50" s="84" t="str">
        <f t="array" aca="1" ref="Z50" ca="1">IF(OR((Z$41&gt;=$AY$11:$AY$38)*(Z$4&lt;=$AZ$11:$AZ$38)&gt;0),$B50,"")</f>
        <v/>
      </c>
      <c r="AA50" s="84" t="str">
        <f t="array" aca="1" ref="AA50" ca="1">IF(OR((AA$41&gt;=$AY$11:$AY$38)*(AA$4&lt;=$AZ$11:$AZ$38)&gt;0),$B50,"")</f>
        <v/>
      </c>
      <c r="AB50" s="84" t="str">
        <f t="array" aca="1" ref="AB50" ca="1">IF(OR((AB$41&gt;=$AY$11:$AY$38)*(AB$4&lt;=$AZ$11:$AZ$38)&gt;0),$B50,"")</f>
        <v/>
      </c>
      <c r="AC50" s="84" t="str">
        <f t="array" aca="1" ref="AC50" ca="1">IF(OR((AC$41&gt;=$AY$11:$AY$38)*(AC$4&lt;=$AZ$11:$AZ$38)&gt;0),$B50,"")</f>
        <v/>
      </c>
      <c r="AD50" s="84" t="str">
        <f t="array" aca="1" ref="AD50" ca="1">IF(OR((AD$41&gt;=$AY$11:$AY$38)*(AD$4&lt;=$AZ$11:$AZ$38)&gt;0),$B50,"")</f>
        <v/>
      </c>
      <c r="AE50" s="84" t="str">
        <f t="array" aca="1" ref="AE50" ca="1">IF(OR((AE$41&gt;=$AY$11:$AY$38)*(AE$4&lt;=$AZ$11:$AZ$38)&gt;0),$B50,"")</f>
        <v/>
      </c>
      <c r="AF50" s="84" t="str">
        <f t="array" aca="1" ref="AF50" ca="1">IF(OR((AF$41&gt;=$AY$11:$AY$38)*(AF$4&lt;=$AZ$11:$AZ$38)&gt;0),$B50,"")</f>
        <v/>
      </c>
      <c r="AG50" s="84" t="str">
        <f t="array" aca="1" ref="AG50" ca="1">IF(OR((AG$41&gt;=$AY$11:$AY$38)*(AG$4&lt;=$AZ$11:$AZ$38)&gt;0),$B50,"")</f>
        <v/>
      </c>
      <c r="AH50" s="84" t="str">
        <f t="array" aca="1" ref="AH50" ca="1">IF(OR((AH$41&gt;=$AY$11:$AY$38)*(AH$4&lt;=$AZ$11:$AZ$38)&gt;0),$B50,"")</f>
        <v/>
      </c>
      <c r="AI50" s="84" t="str">
        <f t="array" aca="1" ref="AI50" ca="1">IF(OR((AI$41&gt;=$AY$11:$AY$38)*(AI$4&lt;=$AZ$11:$AZ$38)&gt;0),$B50,"")</f>
        <v/>
      </c>
      <c r="AJ50" s="85"/>
    </row>
    <row r="51" spans="1:71">
      <c r="A51" s="75" t="s">
        <v>196</v>
      </c>
      <c r="B51" s="16">
        <v>1</v>
      </c>
      <c r="C51" s="84" t="str">
        <f t="array" aca="1" ref="C51" ca="1">IF(OR((C$41&gt;=$AY$11:$AY$38)*(C$4&lt;=$AZ$11:$AZ$38)&gt;0),$B51,"")</f>
        <v/>
      </c>
      <c r="D51" s="84" t="str">
        <f t="array" aca="1" ref="D51" ca="1">IF(OR((D$41&gt;=$AY$11:$AY$38)*(D$4&lt;=$AZ$11:$AZ$38)&gt;0),$B51,"")</f>
        <v/>
      </c>
      <c r="E51" s="84" t="str">
        <f t="array" aca="1" ref="E51" ca="1">IF(OR((E$41&gt;=$AY$11:$AY$38)*(E$4&lt;=$AZ$11:$AZ$38)&gt;0),$B51,"")</f>
        <v/>
      </c>
      <c r="F51" s="84" t="str">
        <f t="array" aca="1" ref="F51" ca="1">IF(OR((F$41&gt;=$AY$11:$AY$38)*(F$4&lt;=$AZ$11:$AZ$38)&gt;0),$B51,"")</f>
        <v/>
      </c>
      <c r="G51" s="84" t="str">
        <f t="array" aca="1" ref="G51" ca="1">IF(OR((G$41&gt;=$AY$11:$AY$38)*(G$4&lt;=$AZ$11:$AZ$38)&gt;0),$B51,"")</f>
        <v/>
      </c>
      <c r="H51" s="84" t="str">
        <f t="array" aca="1" ref="H51" ca="1">IF(OR((H$41&gt;=$AY$11:$AY$38)*(H$4&lt;=$AZ$11:$AZ$38)&gt;0),$B51,"")</f>
        <v/>
      </c>
      <c r="I51" s="84" t="str">
        <f t="array" aca="1" ref="I51" ca="1">IF(OR((I$41&gt;=$AY$11:$AY$38)*(I$4&lt;=$AZ$11:$AZ$38)&gt;0),$B51,"")</f>
        <v/>
      </c>
      <c r="J51" s="84" t="str">
        <f t="array" aca="1" ref="J51" ca="1">IF(OR((J$41&gt;=$AY$11:$AY$38)*(J$4&lt;=$AZ$11:$AZ$38)&gt;0),$B51,"")</f>
        <v/>
      </c>
      <c r="K51" s="84" t="str">
        <f t="array" aca="1" ref="K51" ca="1">IF(OR((K$41&gt;=$AY$11:$AY$38)*(K$4&lt;=$AZ$11:$AZ$38)&gt;0),$B51,"")</f>
        <v/>
      </c>
      <c r="L51" s="84" t="str">
        <f t="array" aca="1" ref="L51" ca="1">IF(OR((L$41&gt;=$AY$11:$AY$38)*(L$4&lt;=$AZ$11:$AZ$38)&gt;0),$B51,"")</f>
        <v/>
      </c>
      <c r="M51" s="84" t="str">
        <f t="array" aca="1" ref="M51" ca="1">IF(OR((M$41&gt;=$AY$11:$AY$38)*(M$4&lt;=$AZ$11:$AZ$38)&gt;0),$B51,"")</f>
        <v/>
      </c>
      <c r="N51" s="84" t="str">
        <f t="array" aca="1" ref="N51" ca="1">IF(OR((N$41&gt;=$AY$11:$AY$38)*(N$4&lt;=$AZ$11:$AZ$38)&gt;0),$B51,"")</f>
        <v/>
      </c>
      <c r="O51" s="84" t="str">
        <f t="array" aca="1" ref="O51" ca="1">IF(OR((O$41&gt;=$AY$11:$AY$38)*(O$4&lt;=$AZ$11:$AZ$38)&gt;0),$B51,"")</f>
        <v/>
      </c>
      <c r="P51" s="84" t="str">
        <f t="array" aca="1" ref="P51" ca="1">IF(OR((P$41&gt;=$AY$11:$AY$38)*(P$4&lt;=$AZ$11:$AZ$38)&gt;0),$B51,"")</f>
        <v/>
      </c>
      <c r="Q51" s="84" t="str">
        <f t="array" aca="1" ref="Q51" ca="1">IF(OR((Q$41&gt;=$AY$11:$AY$38)*(Q$4&lt;=$AZ$11:$AZ$38)&gt;0),$B51,"")</f>
        <v/>
      </c>
      <c r="R51" s="84" t="str">
        <f t="array" aca="1" ref="R51" ca="1">IF(OR((R$41&gt;=$AY$11:$AY$38)*(R$4&lt;=$AZ$11:$AZ$38)&gt;0),$B51,"")</f>
        <v/>
      </c>
      <c r="S51" s="84" t="str">
        <f t="array" aca="1" ref="S51" ca="1">IF(OR((S$41&gt;=$AY$11:$AY$38)*(S$4&lt;=$AZ$11:$AZ$38)&gt;0),$B51,"")</f>
        <v/>
      </c>
      <c r="T51" s="84" t="str">
        <f t="array" aca="1" ref="T51" ca="1">IF(OR((T$41&gt;=$AY$11:$AY$38)*(T$4&lt;=$AZ$11:$AZ$38)&gt;0),$B51,"")</f>
        <v/>
      </c>
      <c r="U51" s="84" t="str">
        <f t="array" aca="1" ref="U51" ca="1">IF(OR((U$41&gt;=$AY$11:$AY$38)*(U$4&lt;=$AZ$11:$AZ$38)&gt;0),$B51,"")</f>
        <v/>
      </c>
      <c r="V51" s="84" t="str">
        <f t="array" aca="1" ref="V51" ca="1">IF(OR((V$41&gt;=$AY$11:$AY$38)*(V$4&lt;=$AZ$11:$AZ$38)&gt;0),$B51,"")</f>
        <v/>
      </c>
      <c r="W51" s="84" t="str">
        <f t="array" aca="1" ref="W51" ca="1">IF(OR((W$41&gt;=$AY$11:$AY$38)*(W$4&lt;=$AZ$11:$AZ$38)&gt;0),$B51,"")</f>
        <v/>
      </c>
      <c r="X51" s="84" t="str">
        <f t="array" aca="1" ref="X51" ca="1">IF(OR((X$41&gt;=$AY$11:$AY$38)*(X$4&lt;=$AZ$11:$AZ$38)&gt;0),$B51,"")</f>
        <v/>
      </c>
      <c r="Y51" s="84" t="str">
        <f t="array" aca="1" ref="Y51" ca="1">IF(OR((Y$41&gt;=$AY$11:$AY$38)*(Y$4&lt;=$AZ$11:$AZ$38)&gt;0),$B51,"")</f>
        <v/>
      </c>
      <c r="Z51" s="84" t="str">
        <f t="array" aca="1" ref="Z51" ca="1">IF(OR((Z$41&gt;=$AY$11:$AY$38)*(Z$4&lt;=$AZ$11:$AZ$38)&gt;0),$B51,"")</f>
        <v/>
      </c>
      <c r="AA51" s="84" t="str">
        <f t="array" aca="1" ref="AA51" ca="1">IF(OR((AA$41&gt;=$AY$11:$AY$38)*(AA$4&lt;=$AZ$11:$AZ$38)&gt;0),$B51,"")</f>
        <v/>
      </c>
      <c r="AB51" s="84" t="str">
        <f t="array" aca="1" ref="AB51" ca="1">IF(OR((AB$41&gt;=$AY$11:$AY$38)*(AB$4&lt;=$AZ$11:$AZ$38)&gt;0),$B51,"")</f>
        <v/>
      </c>
      <c r="AC51" s="84" t="str">
        <f t="array" aca="1" ref="AC51" ca="1">IF(OR((AC$41&gt;=$AY$11:$AY$38)*(AC$4&lt;=$AZ$11:$AZ$38)&gt;0),$B51,"")</f>
        <v/>
      </c>
      <c r="AD51" s="84" t="str">
        <f t="array" aca="1" ref="AD51" ca="1">IF(OR((AD$41&gt;=$AY$11:$AY$38)*(AD$4&lt;=$AZ$11:$AZ$38)&gt;0),$B51,"")</f>
        <v/>
      </c>
      <c r="AE51" s="84" t="str">
        <f t="array" aca="1" ref="AE51" ca="1">IF(OR((AE$41&gt;=$AY$11:$AY$38)*(AE$4&lt;=$AZ$11:$AZ$38)&gt;0),$B51,"")</f>
        <v/>
      </c>
      <c r="AF51" s="84" t="str">
        <f t="array" aca="1" ref="AF51" ca="1">IF(OR((AF$41&gt;=$AY$11:$AY$38)*(AF$4&lt;=$AZ$11:$AZ$38)&gt;0),$B51,"")</f>
        <v/>
      </c>
      <c r="AG51" s="84" t="str">
        <f t="array" aca="1" ref="AG51" ca="1">IF(OR((AG$41&gt;=$AY$11:$AY$38)*(AG$4&lt;=$AZ$11:$AZ$38)&gt;0),$B51,"")</f>
        <v/>
      </c>
      <c r="AH51" s="84" t="str">
        <f t="array" aca="1" ref="AH51" ca="1">IF(OR((AH$41&gt;=$AY$11:$AY$38)*(AH$4&lt;=$AZ$11:$AZ$38)&gt;0),$B51,"")</f>
        <v/>
      </c>
      <c r="AI51" s="84" t="str">
        <f t="array" aca="1" ref="AI51" ca="1">IF(OR((AI$41&gt;=$AY$11:$AY$38)*(AI$4&lt;=$AZ$11:$AZ$38)&gt;0),$B51,"")</f>
        <v/>
      </c>
      <c r="AJ51" s="85"/>
    </row>
    <row r="52" spans="1:71">
      <c r="A52" s="183" t="s">
        <v>197</v>
      </c>
      <c r="B52" s="184"/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4"/>
      <c r="AE52" s="184"/>
      <c r="AF52" s="184"/>
      <c r="AG52" s="184"/>
      <c r="AH52" s="184"/>
      <c r="AI52" s="185"/>
      <c r="AJ52" s="85"/>
    </row>
    <row r="53" spans="1:71">
      <c r="A53" s="75" t="s">
        <v>198</v>
      </c>
      <c r="B53" s="16">
        <v>8</v>
      </c>
      <c r="C53" s="84" t="str">
        <f t="array" aca="1" ref="C53" ca="1">IF(OR((C$41&gt;=$AY$11:$AY$38)*(C$4&lt;=$AZ$11:$AZ$38)&gt;0),$B53,"")</f>
        <v/>
      </c>
      <c r="D53" s="84" t="str">
        <f t="array" aca="1" ref="D53" ca="1">IF(OR((D$41&gt;=$AY$11:$AY$38)*(D$4&lt;=$AZ$11:$AZ$38)&gt;0),$B53,"")</f>
        <v/>
      </c>
      <c r="E53" s="84" t="str">
        <f t="array" aca="1" ref="E53" ca="1">IF(OR((E$41&gt;=$AY$11:$AY$38)*(E$4&lt;=$AZ$11:$AZ$38)&gt;0),$B53,"")</f>
        <v/>
      </c>
      <c r="F53" s="84" t="str">
        <f t="array" aca="1" ref="F53" ca="1">IF(OR((F$41&gt;=$AY$11:$AY$38)*(F$4&lt;=$AZ$11:$AZ$38)&gt;0),$B53,"")</f>
        <v/>
      </c>
      <c r="G53" s="84" t="str">
        <f t="array" aca="1" ref="G53" ca="1">IF(OR((G$41&gt;=$AY$11:$AY$38)*(G$4&lt;=$AZ$11:$AZ$38)&gt;0),$B53,"")</f>
        <v/>
      </c>
      <c r="H53" s="84" t="str">
        <f t="array" aca="1" ref="H53" ca="1">IF(OR((H$41&gt;=$AY$11:$AY$38)*(H$4&lt;=$AZ$11:$AZ$38)&gt;0),$B53,"")</f>
        <v/>
      </c>
      <c r="I53" s="84" t="str">
        <f t="array" aca="1" ref="I53" ca="1">IF(OR((I$41&gt;=$AY$11:$AY$38)*(I$4&lt;=$AZ$11:$AZ$38)&gt;0),$B53,"")</f>
        <v/>
      </c>
      <c r="J53" s="84" t="str">
        <f t="array" aca="1" ref="J53" ca="1">IF(OR((J$41&gt;=$AY$11:$AY$38)*(J$4&lt;=$AZ$11:$AZ$38)&gt;0),$B53,"")</f>
        <v/>
      </c>
      <c r="K53" s="84" t="str">
        <f t="array" aca="1" ref="K53" ca="1">IF(OR((K$41&gt;=$AY$11:$AY$38)*(K$4&lt;=$AZ$11:$AZ$38)&gt;0),$B53,"")</f>
        <v/>
      </c>
      <c r="L53" s="84" t="str">
        <f t="array" aca="1" ref="L53" ca="1">IF(OR((L$41&gt;=$AY$11:$AY$38)*(L$4&lt;=$AZ$11:$AZ$38)&gt;0),$B53,"")</f>
        <v/>
      </c>
      <c r="M53" s="84" t="str">
        <f t="array" aca="1" ref="M53" ca="1">IF(OR((M$41&gt;=$AY$11:$AY$38)*(M$4&lt;=$AZ$11:$AZ$38)&gt;0),$B53,"")</f>
        <v/>
      </c>
      <c r="N53" s="84" t="str">
        <f t="array" aca="1" ref="N53" ca="1">IF(OR((N$41&gt;=$AY$11:$AY$38)*(N$4&lt;=$AZ$11:$AZ$38)&gt;0),$B53,"")</f>
        <v/>
      </c>
      <c r="O53" s="84" t="str">
        <f t="array" aca="1" ref="O53" ca="1">IF(OR((O$41&gt;=$AY$11:$AY$38)*(O$4&lt;=$AZ$11:$AZ$38)&gt;0),$B53,"")</f>
        <v/>
      </c>
      <c r="P53" s="84" t="str">
        <f t="array" aca="1" ref="P53" ca="1">IF(OR((P$41&gt;=$AY$11:$AY$38)*(P$4&lt;=$AZ$11:$AZ$38)&gt;0),$B53,"")</f>
        <v/>
      </c>
      <c r="Q53" s="84" t="str">
        <f t="array" aca="1" ref="Q53" ca="1">IF(OR((Q$41&gt;=$AY$11:$AY$38)*(Q$4&lt;=$AZ$11:$AZ$38)&gt;0),$B53,"")</f>
        <v/>
      </c>
      <c r="R53" s="84" t="str">
        <f t="array" aca="1" ref="R53" ca="1">IF(OR((R$41&gt;=$AY$11:$AY$38)*(R$4&lt;=$AZ$11:$AZ$38)&gt;0),$B53,"")</f>
        <v/>
      </c>
      <c r="S53" s="84" t="str">
        <f t="array" aca="1" ref="S53" ca="1">IF(OR((S$41&gt;=$AY$11:$AY$38)*(S$4&lt;=$AZ$11:$AZ$38)&gt;0),$B53,"")</f>
        <v/>
      </c>
      <c r="T53" s="84" t="str">
        <f t="array" aca="1" ref="T53" ca="1">IF(OR((T$41&gt;=$AY$11:$AY$38)*(T$4&lt;=$AZ$11:$AZ$38)&gt;0),$B53,"")</f>
        <v/>
      </c>
      <c r="U53" s="84" t="str">
        <f t="array" aca="1" ref="U53" ca="1">IF(OR((U$41&gt;=$AY$11:$AY$38)*(U$4&lt;=$AZ$11:$AZ$38)&gt;0),$B53,"")</f>
        <v/>
      </c>
      <c r="V53" s="84" t="str">
        <f t="array" aca="1" ref="V53" ca="1">IF(OR((V$41&gt;=$AY$11:$AY$38)*(V$4&lt;=$AZ$11:$AZ$38)&gt;0),$B53,"")</f>
        <v/>
      </c>
      <c r="W53" s="84" t="str">
        <f t="array" aca="1" ref="W53" ca="1">IF(OR((W$41&gt;=$AY$11:$AY$38)*(W$4&lt;=$AZ$11:$AZ$38)&gt;0),$B53,"")</f>
        <v/>
      </c>
      <c r="X53" s="84" t="str">
        <f t="array" aca="1" ref="X53" ca="1">IF(OR((X$41&gt;=$AY$11:$AY$38)*(X$4&lt;=$AZ$11:$AZ$38)&gt;0),$B53,"")</f>
        <v/>
      </c>
      <c r="Y53" s="84" t="str">
        <f t="array" aca="1" ref="Y53" ca="1">IF(OR((Y$41&gt;=$AY$11:$AY$38)*(Y$4&lt;=$AZ$11:$AZ$38)&gt;0),$B53,"")</f>
        <v/>
      </c>
      <c r="Z53" s="84" t="str">
        <f t="array" aca="1" ref="Z53" ca="1">IF(OR((Z$41&gt;=$AY$11:$AY$38)*(Z$4&lt;=$AZ$11:$AZ$38)&gt;0),$B53,"")</f>
        <v/>
      </c>
      <c r="AA53" s="84" t="str">
        <f t="array" aca="1" ref="AA53" ca="1">IF(OR((AA$41&gt;=$AY$11:$AY$38)*(AA$4&lt;=$AZ$11:$AZ$38)&gt;0),$B53,"")</f>
        <v/>
      </c>
      <c r="AB53" s="84" t="str">
        <f t="array" aca="1" ref="AB53" ca="1">IF(OR((AB$41&gt;=$AY$11:$AY$38)*(AB$4&lt;=$AZ$11:$AZ$38)&gt;0),$B53,"")</f>
        <v/>
      </c>
      <c r="AC53" s="84" t="str">
        <f t="array" aca="1" ref="AC53" ca="1">IF(OR((AC$41&gt;=$AY$11:$AY$38)*(AC$4&lt;=$AZ$11:$AZ$38)&gt;0),$B53,"")</f>
        <v/>
      </c>
      <c r="AD53" s="84" t="str">
        <f t="array" aca="1" ref="AD53" ca="1">IF(OR((AD$41&gt;=$AY$11:$AY$38)*(AD$4&lt;=$AZ$11:$AZ$38)&gt;0),$B53,"")</f>
        <v/>
      </c>
      <c r="AE53" s="84" t="str">
        <f t="array" aca="1" ref="AE53" ca="1">IF(OR((AE$41&gt;=$AY$11:$AY$38)*(AE$4&lt;=$AZ$11:$AZ$38)&gt;0),$B53,"")</f>
        <v/>
      </c>
      <c r="AF53" s="84" t="str">
        <f t="array" aca="1" ref="AF53" ca="1">IF(OR((AF$41&gt;=$AY$11:$AY$38)*(AF$4&lt;=$AZ$11:$AZ$38)&gt;0),$B53,"")</f>
        <v/>
      </c>
      <c r="AG53" s="84" t="str">
        <f t="array" aca="1" ref="AG53" ca="1">IF(OR((AG$41&gt;=$AY$11:$AY$38)*(AG$4&lt;=$AZ$11:$AZ$38)&gt;0),$B53,"")</f>
        <v/>
      </c>
      <c r="AH53" s="84" t="str">
        <f t="array" aca="1" ref="AH53" ca="1">IF(OR((AH$41&gt;=$AY$11:$AY$38)*(AH$4&lt;=$AZ$11:$AZ$38)&gt;0),$B53,"")</f>
        <v/>
      </c>
      <c r="AI53" s="84" t="str">
        <f t="array" aca="1" ref="AI53" ca="1">IF(OR((AI$41&gt;=$AY$11:$AY$38)*(AI$4&lt;=$AZ$11:$AZ$38)&gt;0),$B53,"")</f>
        <v/>
      </c>
      <c r="AJ53" s="85"/>
    </row>
    <row r="54" spans="1:71">
      <c r="A54" s="75" t="s">
        <v>199</v>
      </c>
      <c r="B54" s="16">
        <v>8</v>
      </c>
      <c r="C54" s="84" t="str">
        <f t="array" aca="1" ref="C54" ca="1">IF(OR((C$41&gt;=$AY$11:$AY$38)*(C$4&lt;=$AZ$11:$AZ$38)&gt;0),$B54,"")</f>
        <v/>
      </c>
      <c r="D54" s="84" t="str">
        <f t="array" aca="1" ref="D54" ca="1">IF(OR((D$41&gt;=$AY$11:$AY$38)*(D$4&lt;=$AZ$11:$AZ$38)&gt;0),$B54,"")</f>
        <v/>
      </c>
      <c r="E54" s="84" t="str">
        <f t="array" aca="1" ref="E54" ca="1">IF(OR((E$41&gt;=$AY$11:$AY$38)*(E$4&lt;=$AZ$11:$AZ$38)&gt;0),$B54,"")</f>
        <v/>
      </c>
      <c r="F54" s="84" t="str">
        <f t="array" aca="1" ref="F54" ca="1">IF(OR((F$41&gt;=$AY$11:$AY$38)*(F$4&lt;=$AZ$11:$AZ$38)&gt;0),$B54,"")</f>
        <v/>
      </c>
      <c r="G54" s="84" t="str">
        <f t="array" aca="1" ref="G54" ca="1">IF(OR((G$41&gt;=$AY$11:$AY$38)*(G$4&lt;=$AZ$11:$AZ$38)&gt;0),$B54,"")</f>
        <v/>
      </c>
      <c r="H54" s="84" t="str">
        <f t="array" aca="1" ref="H54" ca="1">IF(OR((H$41&gt;=$AY$11:$AY$38)*(H$4&lt;=$AZ$11:$AZ$38)&gt;0),$B54,"")</f>
        <v/>
      </c>
      <c r="I54" s="84" t="str">
        <f t="array" aca="1" ref="I54" ca="1">IF(OR((I$41&gt;=$AY$11:$AY$38)*(I$4&lt;=$AZ$11:$AZ$38)&gt;0),$B54,"")</f>
        <v/>
      </c>
      <c r="J54" s="84" t="str">
        <f t="array" aca="1" ref="J54" ca="1">IF(OR((J$41&gt;=$AY$11:$AY$38)*(J$4&lt;=$AZ$11:$AZ$38)&gt;0),$B54,"")</f>
        <v/>
      </c>
      <c r="K54" s="84" t="str">
        <f t="array" aca="1" ref="K54" ca="1">IF(OR((K$41&gt;=$AY$11:$AY$38)*(K$4&lt;=$AZ$11:$AZ$38)&gt;0),$B54,"")</f>
        <v/>
      </c>
      <c r="L54" s="84" t="str">
        <f t="array" aca="1" ref="L54" ca="1">IF(OR((L$41&gt;=$AY$11:$AY$38)*(L$4&lt;=$AZ$11:$AZ$38)&gt;0),$B54,"")</f>
        <v/>
      </c>
      <c r="M54" s="84" t="str">
        <f t="array" aca="1" ref="M54" ca="1">IF(OR((M$41&gt;=$AY$11:$AY$38)*(M$4&lt;=$AZ$11:$AZ$38)&gt;0),$B54,"")</f>
        <v/>
      </c>
      <c r="N54" s="84" t="str">
        <f t="array" aca="1" ref="N54" ca="1">IF(OR((N$41&gt;=$AY$11:$AY$38)*(N$4&lt;=$AZ$11:$AZ$38)&gt;0),$B54,"")</f>
        <v/>
      </c>
      <c r="O54" s="84" t="str">
        <f t="array" aca="1" ref="O54" ca="1">IF(OR((O$41&gt;=$AY$11:$AY$38)*(O$4&lt;=$AZ$11:$AZ$38)&gt;0),$B54,"")</f>
        <v/>
      </c>
      <c r="P54" s="84" t="str">
        <f t="array" aca="1" ref="P54" ca="1">IF(OR((P$41&gt;=$AY$11:$AY$38)*(P$4&lt;=$AZ$11:$AZ$38)&gt;0),$B54,"")</f>
        <v/>
      </c>
      <c r="Q54" s="84" t="str">
        <f t="array" aca="1" ref="Q54" ca="1">IF(OR((Q$41&gt;=$AY$11:$AY$38)*(Q$4&lt;=$AZ$11:$AZ$38)&gt;0),$B54,"")</f>
        <v/>
      </c>
      <c r="R54" s="84" t="str">
        <f t="array" aca="1" ref="R54" ca="1">IF(OR((R$41&gt;=$AY$11:$AY$38)*(R$4&lt;=$AZ$11:$AZ$38)&gt;0),$B54,"")</f>
        <v/>
      </c>
      <c r="S54" s="84" t="str">
        <f t="array" aca="1" ref="S54" ca="1">IF(OR((S$41&gt;=$AY$11:$AY$38)*(S$4&lt;=$AZ$11:$AZ$38)&gt;0),$B54,"")</f>
        <v/>
      </c>
      <c r="T54" s="84" t="str">
        <f t="array" aca="1" ref="T54" ca="1">IF(OR((T$41&gt;=$AY$11:$AY$38)*(T$4&lt;=$AZ$11:$AZ$38)&gt;0),$B54,"")</f>
        <v/>
      </c>
      <c r="U54" s="84" t="str">
        <f t="array" aca="1" ref="U54" ca="1">IF(OR((U$41&gt;=$AY$11:$AY$38)*(U$4&lt;=$AZ$11:$AZ$38)&gt;0),$B54,"")</f>
        <v/>
      </c>
      <c r="V54" s="84" t="str">
        <f t="array" aca="1" ref="V54" ca="1">IF(OR((V$41&gt;=$AY$11:$AY$38)*(V$4&lt;=$AZ$11:$AZ$38)&gt;0),$B54,"")</f>
        <v/>
      </c>
      <c r="W54" s="84" t="str">
        <f t="array" aca="1" ref="W54" ca="1">IF(OR((W$41&gt;=$AY$11:$AY$38)*(W$4&lt;=$AZ$11:$AZ$38)&gt;0),$B54,"")</f>
        <v/>
      </c>
      <c r="X54" s="84" t="str">
        <f t="array" aca="1" ref="X54" ca="1">IF(OR((X$41&gt;=$AY$11:$AY$38)*(X$4&lt;=$AZ$11:$AZ$38)&gt;0),$B54,"")</f>
        <v/>
      </c>
      <c r="Y54" s="84" t="str">
        <f t="array" aca="1" ref="Y54" ca="1">IF(OR((Y$41&gt;=$AY$11:$AY$38)*(Y$4&lt;=$AZ$11:$AZ$38)&gt;0),$B54,"")</f>
        <v/>
      </c>
      <c r="Z54" s="84" t="str">
        <f t="array" aca="1" ref="Z54" ca="1">IF(OR((Z$41&gt;=$AY$11:$AY$38)*(Z$4&lt;=$AZ$11:$AZ$38)&gt;0),$B54,"")</f>
        <v/>
      </c>
      <c r="AA54" s="84" t="str">
        <f t="array" aca="1" ref="AA54" ca="1">IF(OR((AA$41&gt;=$AY$11:$AY$38)*(AA$4&lt;=$AZ$11:$AZ$38)&gt;0),$B54,"")</f>
        <v/>
      </c>
      <c r="AB54" s="84" t="str">
        <f t="array" aca="1" ref="AB54" ca="1">IF(OR((AB$41&gt;=$AY$11:$AY$38)*(AB$4&lt;=$AZ$11:$AZ$38)&gt;0),$B54,"")</f>
        <v/>
      </c>
      <c r="AC54" s="84" t="str">
        <f t="array" aca="1" ref="AC54" ca="1">IF(OR((AC$41&gt;=$AY$11:$AY$38)*(AC$4&lt;=$AZ$11:$AZ$38)&gt;0),$B54,"")</f>
        <v/>
      </c>
      <c r="AD54" s="84" t="str">
        <f t="array" aca="1" ref="AD54" ca="1">IF(OR((AD$41&gt;=$AY$11:$AY$38)*(AD$4&lt;=$AZ$11:$AZ$38)&gt;0),$B54,"")</f>
        <v/>
      </c>
      <c r="AE54" s="84" t="str">
        <f t="array" aca="1" ref="AE54" ca="1">IF(OR((AE$41&gt;=$AY$11:$AY$38)*(AE$4&lt;=$AZ$11:$AZ$38)&gt;0),$B54,"")</f>
        <v/>
      </c>
      <c r="AF54" s="84" t="str">
        <f t="array" aca="1" ref="AF54" ca="1">IF(OR((AF$41&gt;=$AY$11:$AY$38)*(AF$4&lt;=$AZ$11:$AZ$38)&gt;0),$B54,"")</f>
        <v/>
      </c>
      <c r="AG54" s="84" t="str">
        <f t="array" aca="1" ref="AG54" ca="1">IF(OR((AG$41&gt;=$AY$11:$AY$38)*(AG$4&lt;=$AZ$11:$AZ$38)&gt;0),$B54,"")</f>
        <v/>
      </c>
      <c r="AH54" s="84" t="str">
        <f t="array" aca="1" ref="AH54" ca="1">IF(OR((AH$41&gt;=$AY$11:$AY$38)*(AH$4&lt;=$AZ$11:$AZ$38)&gt;0),$B54,"")</f>
        <v/>
      </c>
      <c r="AI54" s="84" t="str">
        <f t="array" aca="1" ref="AI54" ca="1">IF(OR((AI$41&gt;=$AY$11:$AY$38)*(AI$4&lt;=$AZ$11:$AZ$38)&gt;0),$B54,"")</f>
        <v/>
      </c>
      <c r="AJ54" s="85"/>
    </row>
    <row r="55" spans="1:71">
      <c r="A55" s="75" t="s">
        <v>200</v>
      </c>
      <c r="B55" s="16">
        <v>8</v>
      </c>
      <c r="C55" s="84" t="str">
        <f t="array" aca="1" ref="C55" ca="1">IF(OR((C$41&gt;=$AY$11:$AY$38)*(C$4&lt;=$AZ$11:$AZ$38)&gt;0),$B55,"")</f>
        <v/>
      </c>
      <c r="D55" s="84" t="str">
        <f t="array" aca="1" ref="D55" ca="1">IF(OR((D$41&gt;=$AY$11:$AY$38)*(D$4&lt;=$AZ$11:$AZ$38)&gt;0),$B55,"")</f>
        <v/>
      </c>
      <c r="E55" s="84" t="str">
        <f t="array" aca="1" ref="E55" ca="1">IF(OR((E$41&gt;=$AY$11:$AY$38)*(E$4&lt;=$AZ$11:$AZ$38)&gt;0),$B55,"")</f>
        <v/>
      </c>
      <c r="F55" s="84" t="str">
        <f t="array" aca="1" ref="F55" ca="1">IF(OR((F$41&gt;=$AY$11:$AY$38)*(F$4&lt;=$AZ$11:$AZ$38)&gt;0),$B55,"")</f>
        <v/>
      </c>
      <c r="G55" s="84" t="str">
        <f t="array" aca="1" ref="G55" ca="1">IF(OR((G$41&gt;=$AY$11:$AY$38)*(G$4&lt;=$AZ$11:$AZ$38)&gt;0),$B55,"")</f>
        <v/>
      </c>
      <c r="H55" s="84" t="str">
        <f t="array" aca="1" ref="H55" ca="1">IF(OR((H$41&gt;=$AY$11:$AY$38)*(H$4&lt;=$AZ$11:$AZ$38)&gt;0),$B55,"")</f>
        <v/>
      </c>
      <c r="I55" s="84" t="str">
        <f t="array" aca="1" ref="I55" ca="1">IF(OR((I$41&gt;=$AY$11:$AY$38)*(I$4&lt;=$AZ$11:$AZ$38)&gt;0),$B55,"")</f>
        <v/>
      </c>
      <c r="J55" s="84" t="str">
        <f t="array" aca="1" ref="J55" ca="1">IF(OR((J$41&gt;=$AY$11:$AY$38)*(J$4&lt;=$AZ$11:$AZ$38)&gt;0),$B55,"")</f>
        <v/>
      </c>
      <c r="K55" s="84" t="str">
        <f t="array" aca="1" ref="K55" ca="1">IF(OR((K$41&gt;=$AY$11:$AY$38)*(K$4&lt;=$AZ$11:$AZ$38)&gt;0),$B55,"")</f>
        <v/>
      </c>
      <c r="L55" s="84" t="str">
        <f t="array" aca="1" ref="L55" ca="1">IF(OR((L$41&gt;=$AY$11:$AY$38)*(L$4&lt;=$AZ$11:$AZ$38)&gt;0),$B55,"")</f>
        <v/>
      </c>
      <c r="M55" s="84" t="str">
        <f t="array" aca="1" ref="M55" ca="1">IF(OR((M$41&gt;=$AY$11:$AY$38)*(M$4&lt;=$AZ$11:$AZ$38)&gt;0),$B55,"")</f>
        <v/>
      </c>
      <c r="N55" s="84" t="str">
        <f t="array" aca="1" ref="N55" ca="1">IF(OR((N$41&gt;=$AY$11:$AY$38)*(N$4&lt;=$AZ$11:$AZ$38)&gt;0),$B55,"")</f>
        <v/>
      </c>
      <c r="O55" s="84" t="str">
        <f t="array" aca="1" ref="O55" ca="1">IF(OR((O$41&gt;=$AY$11:$AY$38)*(O$4&lt;=$AZ$11:$AZ$38)&gt;0),$B55,"")</f>
        <v/>
      </c>
      <c r="P55" s="84" t="str">
        <f t="array" aca="1" ref="P55" ca="1">IF(OR((P$41&gt;=$AY$11:$AY$38)*(P$4&lt;=$AZ$11:$AZ$38)&gt;0),$B55,"")</f>
        <v/>
      </c>
      <c r="Q55" s="84" t="str">
        <f t="array" aca="1" ref="Q55" ca="1">IF(OR((Q$41&gt;=$AY$11:$AY$38)*(Q$4&lt;=$AZ$11:$AZ$38)&gt;0),$B55,"")</f>
        <v/>
      </c>
      <c r="R55" s="84" t="str">
        <f t="array" aca="1" ref="R55" ca="1">IF(OR((R$41&gt;=$AY$11:$AY$38)*(R$4&lt;=$AZ$11:$AZ$38)&gt;0),$B55,"")</f>
        <v/>
      </c>
      <c r="S55" s="84" t="str">
        <f t="array" aca="1" ref="S55" ca="1">IF(OR((S$41&gt;=$AY$11:$AY$38)*(S$4&lt;=$AZ$11:$AZ$38)&gt;0),$B55,"")</f>
        <v/>
      </c>
      <c r="T55" s="84" t="str">
        <f t="array" aca="1" ref="T55" ca="1">IF(OR((T$41&gt;=$AY$11:$AY$38)*(T$4&lt;=$AZ$11:$AZ$38)&gt;0),$B55,"")</f>
        <v/>
      </c>
      <c r="U55" s="84" t="str">
        <f t="array" aca="1" ref="U55" ca="1">IF(OR((U$41&gt;=$AY$11:$AY$38)*(U$4&lt;=$AZ$11:$AZ$38)&gt;0),$B55,"")</f>
        <v/>
      </c>
      <c r="V55" s="84" t="str">
        <f t="array" aca="1" ref="V55" ca="1">IF(OR((V$41&gt;=$AY$11:$AY$38)*(V$4&lt;=$AZ$11:$AZ$38)&gt;0),$B55,"")</f>
        <v/>
      </c>
      <c r="W55" s="84" t="str">
        <f t="array" aca="1" ref="W55" ca="1">IF(OR((W$41&gt;=$AY$11:$AY$38)*(W$4&lt;=$AZ$11:$AZ$38)&gt;0),$B55,"")</f>
        <v/>
      </c>
      <c r="X55" s="84" t="str">
        <f t="array" aca="1" ref="X55" ca="1">IF(OR((X$41&gt;=$AY$11:$AY$38)*(X$4&lt;=$AZ$11:$AZ$38)&gt;0),$B55,"")</f>
        <v/>
      </c>
      <c r="Y55" s="84" t="str">
        <f t="array" aca="1" ref="Y55" ca="1">IF(OR((Y$41&gt;=$AY$11:$AY$38)*(Y$4&lt;=$AZ$11:$AZ$38)&gt;0),$B55,"")</f>
        <v/>
      </c>
      <c r="Z55" s="84" t="str">
        <f t="array" aca="1" ref="Z55" ca="1">IF(OR((Z$41&gt;=$AY$11:$AY$38)*(Z$4&lt;=$AZ$11:$AZ$38)&gt;0),$B55,"")</f>
        <v/>
      </c>
      <c r="AA55" s="84" t="str">
        <f t="array" aca="1" ref="AA55" ca="1">IF(OR((AA$41&gt;=$AY$11:$AY$38)*(AA$4&lt;=$AZ$11:$AZ$38)&gt;0),$B55,"")</f>
        <v/>
      </c>
      <c r="AB55" s="84" t="str">
        <f t="array" aca="1" ref="AB55" ca="1">IF(OR((AB$41&gt;=$AY$11:$AY$38)*(AB$4&lt;=$AZ$11:$AZ$38)&gt;0),$B55,"")</f>
        <v/>
      </c>
      <c r="AC55" s="84" t="str">
        <f t="array" aca="1" ref="AC55" ca="1">IF(OR((AC$41&gt;=$AY$11:$AY$38)*(AC$4&lt;=$AZ$11:$AZ$38)&gt;0),$B55,"")</f>
        <v/>
      </c>
      <c r="AD55" s="84" t="str">
        <f t="array" aca="1" ref="AD55" ca="1">IF(OR((AD$41&gt;=$AY$11:$AY$38)*(AD$4&lt;=$AZ$11:$AZ$38)&gt;0),$B55,"")</f>
        <v/>
      </c>
      <c r="AE55" s="84" t="str">
        <f t="array" aca="1" ref="AE55" ca="1">IF(OR((AE$41&gt;=$AY$11:$AY$38)*(AE$4&lt;=$AZ$11:$AZ$38)&gt;0),$B55,"")</f>
        <v/>
      </c>
      <c r="AF55" s="84" t="str">
        <f t="array" aca="1" ref="AF55" ca="1">IF(OR((AF$41&gt;=$AY$11:$AY$38)*(AF$4&lt;=$AZ$11:$AZ$38)&gt;0),$B55,"")</f>
        <v/>
      </c>
      <c r="AG55" s="84" t="str">
        <f t="array" aca="1" ref="AG55" ca="1">IF(OR((AG$41&gt;=$AY$11:$AY$38)*(AG$4&lt;=$AZ$11:$AZ$38)&gt;0),$B55,"")</f>
        <v/>
      </c>
      <c r="AH55" s="84" t="str">
        <f t="array" aca="1" ref="AH55" ca="1">IF(OR((AH$41&gt;=$AY$11:$AY$38)*(AH$4&lt;=$AZ$11:$AZ$38)&gt;0),$B55,"")</f>
        <v/>
      </c>
      <c r="AI55" s="84" t="str">
        <f t="array" aca="1" ref="AI55" ca="1">IF(OR((AI$41&gt;=$AY$11:$AY$38)*(AI$4&lt;=$AZ$11:$AZ$38)&gt;0),$B55,"")</f>
        <v/>
      </c>
      <c r="AJ55" s="85"/>
    </row>
    <row r="56" spans="1:71">
      <c r="A56" s="183" t="s">
        <v>201</v>
      </c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4"/>
      <c r="AD56" s="184"/>
      <c r="AE56" s="184"/>
      <c r="AF56" s="184"/>
      <c r="AG56" s="184"/>
      <c r="AH56" s="184"/>
      <c r="AI56" s="185"/>
      <c r="AJ56" s="85"/>
    </row>
    <row r="57" spans="1:71">
      <c r="A57" s="75" t="s">
        <v>202</v>
      </c>
      <c r="B57" s="16">
        <v>1188</v>
      </c>
      <c r="C57" s="84" t="str">
        <f t="array" aca="1" ref="C57" ca="1">IF(OR((C$41&gt;=$AY$11:$AY$38)*(C$4&lt;=$AZ$11:$AZ$38)&gt;0),$B57,"")</f>
        <v/>
      </c>
      <c r="D57" s="84" t="str">
        <f t="array" aca="1" ref="D57" ca="1">IF(OR((D$41&gt;=$AY$11:$AY$38)*(D$4&lt;=$AZ$11:$AZ$38)&gt;0),$B57,"")</f>
        <v/>
      </c>
      <c r="E57" s="84" t="str">
        <f t="array" aca="1" ref="E57" ca="1">IF(OR((E$41&gt;=$AY$11:$AY$38)*(E$4&lt;=$AZ$11:$AZ$38)&gt;0),$B57,"")</f>
        <v/>
      </c>
      <c r="F57" s="84" t="str">
        <f t="array" aca="1" ref="F57" ca="1">IF(OR((F$41&gt;=$AY$11:$AY$38)*(F$4&lt;=$AZ$11:$AZ$38)&gt;0),$B57,"")</f>
        <v/>
      </c>
      <c r="G57" s="84" t="str">
        <f t="array" aca="1" ref="G57" ca="1">IF(OR((G$41&gt;=$AY$11:$AY$38)*(G$4&lt;=$AZ$11:$AZ$38)&gt;0),$B57,"")</f>
        <v/>
      </c>
      <c r="H57" s="84" t="str">
        <f t="array" aca="1" ref="H57" ca="1">IF(OR((H$41&gt;=$AY$11:$AY$38)*(H$4&lt;=$AZ$11:$AZ$38)&gt;0),$B57,"")</f>
        <v/>
      </c>
      <c r="I57" s="84" t="str">
        <f t="array" aca="1" ref="I57" ca="1">IF(OR((I$41&gt;=$AY$11:$AY$38)*(I$4&lt;=$AZ$11:$AZ$38)&gt;0),$B57,"")</f>
        <v/>
      </c>
      <c r="J57" s="84" t="str">
        <f t="array" aca="1" ref="J57" ca="1">IF(OR((J$41&gt;=$AY$11:$AY$38)*(J$4&lt;=$AZ$11:$AZ$38)&gt;0),$B57,"")</f>
        <v/>
      </c>
      <c r="K57" s="84" t="str">
        <f t="array" aca="1" ref="K57" ca="1">IF(OR((K$41&gt;=$AY$11:$AY$38)*(K$4&lt;=$AZ$11:$AZ$38)&gt;0),$B57,"")</f>
        <v/>
      </c>
      <c r="L57" s="84" t="str">
        <f t="array" aca="1" ref="L57" ca="1">IF(OR((L$41&gt;=$AY$11:$AY$38)*(L$4&lt;=$AZ$11:$AZ$38)&gt;0),$B57,"")</f>
        <v/>
      </c>
      <c r="M57" s="84" t="str">
        <f t="array" aca="1" ref="M57" ca="1">IF(OR((M$41&gt;=$AY$11:$AY$38)*(M$4&lt;=$AZ$11:$AZ$38)&gt;0),$B57,"")</f>
        <v/>
      </c>
      <c r="N57" s="84" t="str">
        <f t="array" aca="1" ref="N57" ca="1">IF(OR((N$41&gt;=$AY$11:$AY$38)*(N$4&lt;=$AZ$11:$AZ$38)&gt;0),$B57,"")</f>
        <v/>
      </c>
      <c r="O57" s="84" t="str">
        <f t="array" aca="1" ref="O57" ca="1">IF(OR((O$41&gt;=$AY$11:$AY$38)*(O$4&lt;=$AZ$11:$AZ$38)&gt;0),$B57,"")</f>
        <v/>
      </c>
      <c r="P57" s="84" t="str">
        <f t="array" aca="1" ref="P57" ca="1">IF(OR((P$41&gt;=$AY$11:$AY$38)*(P$4&lt;=$AZ$11:$AZ$38)&gt;0),$B57,"")</f>
        <v/>
      </c>
      <c r="Q57" s="84" t="str">
        <f t="array" aca="1" ref="Q57" ca="1">IF(OR((Q$41&gt;=$AY$11:$AY$38)*(Q$4&lt;=$AZ$11:$AZ$38)&gt;0),$B57,"")</f>
        <v/>
      </c>
      <c r="R57" s="84" t="str">
        <f t="array" aca="1" ref="R57" ca="1">IF(OR((R$41&gt;=$AY$11:$AY$38)*(R$4&lt;=$AZ$11:$AZ$38)&gt;0),$B57,"")</f>
        <v/>
      </c>
      <c r="S57" s="84" t="str">
        <f t="array" aca="1" ref="S57" ca="1">IF(OR((S$41&gt;=$AY$11:$AY$38)*(S$4&lt;=$AZ$11:$AZ$38)&gt;0),$B57,"")</f>
        <v/>
      </c>
      <c r="T57" s="84" t="str">
        <f t="array" aca="1" ref="T57" ca="1">IF(OR((T$41&gt;=$AY$11:$AY$38)*(T$4&lt;=$AZ$11:$AZ$38)&gt;0),$B57,"")</f>
        <v/>
      </c>
      <c r="U57" s="84" t="str">
        <f t="array" aca="1" ref="U57" ca="1">IF(OR((U$41&gt;=$AY$11:$AY$38)*(U$4&lt;=$AZ$11:$AZ$38)&gt;0),$B57,"")</f>
        <v/>
      </c>
      <c r="V57" s="84" t="str">
        <f t="array" aca="1" ref="V57" ca="1">IF(OR((V$41&gt;=$AY$11:$AY$38)*(V$4&lt;=$AZ$11:$AZ$38)&gt;0),$B57,"")</f>
        <v/>
      </c>
      <c r="W57" s="84" t="str">
        <f t="array" aca="1" ref="W57" ca="1">IF(OR((W$41&gt;=$AY$11:$AY$38)*(W$4&lt;=$AZ$11:$AZ$38)&gt;0),$B57,"")</f>
        <v/>
      </c>
      <c r="X57" s="84" t="str">
        <f t="array" aca="1" ref="X57" ca="1">IF(OR((X$41&gt;=$AY$11:$AY$38)*(X$4&lt;=$AZ$11:$AZ$38)&gt;0),$B57,"")</f>
        <v/>
      </c>
      <c r="Y57" s="84" t="str">
        <f t="array" aca="1" ref="Y57" ca="1">IF(OR((Y$41&gt;=$AY$11:$AY$38)*(Y$4&lt;=$AZ$11:$AZ$38)&gt;0),$B57,"")</f>
        <v/>
      </c>
      <c r="Z57" s="84" t="str">
        <f t="array" aca="1" ref="Z57" ca="1">IF(OR((Z$41&gt;=$AY$11:$AY$38)*(Z$4&lt;=$AZ$11:$AZ$38)&gt;0),$B57,"")</f>
        <v/>
      </c>
      <c r="AA57" s="84" t="str">
        <f t="array" aca="1" ref="AA57" ca="1">IF(OR((AA$41&gt;=$AY$11:$AY$38)*(AA$4&lt;=$AZ$11:$AZ$38)&gt;0),$B57,"")</f>
        <v/>
      </c>
      <c r="AB57" s="84" t="str">
        <f t="array" aca="1" ref="AB57" ca="1">IF(OR((AB$41&gt;=$AY$11:$AY$38)*(AB$4&lt;=$AZ$11:$AZ$38)&gt;0),$B57,"")</f>
        <v/>
      </c>
      <c r="AC57" s="84" t="str">
        <f t="array" aca="1" ref="AC57" ca="1">IF(OR((AC$41&gt;=$AY$11:$AY$38)*(AC$4&lt;=$AZ$11:$AZ$38)&gt;0),$B57,"")</f>
        <v/>
      </c>
      <c r="AD57" s="84" t="str">
        <f t="array" aca="1" ref="AD57" ca="1">IF(OR((AD$41&gt;=$AY$11:$AY$38)*(AD$4&lt;=$AZ$11:$AZ$38)&gt;0),$B57,"")</f>
        <v/>
      </c>
      <c r="AE57" s="84" t="str">
        <f t="array" aca="1" ref="AE57" ca="1">IF(OR((AE$41&gt;=$AY$11:$AY$38)*(AE$4&lt;=$AZ$11:$AZ$38)&gt;0),$B57,"")</f>
        <v/>
      </c>
      <c r="AF57" s="84" t="str">
        <f t="array" aca="1" ref="AF57" ca="1">IF(OR((AF$41&gt;=$AY$11:$AY$38)*(AF$4&lt;=$AZ$11:$AZ$38)&gt;0),$B57,"")</f>
        <v/>
      </c>
      <c r="AG57" s="84" t="str">
        <f t="array" aca="1" ref="AG57" ca="1">IF(OR((AG$41&gt;=$AY$11:$AY$38)*(AG$4&lt;=$AZ$11:$AZ$38)&gt;0),$B57,"")</f>
        <v/>
      </c>
      <c r="AH57" s="84" t="str">
        <f t="array" aca="1" ref="AH57" ca="1">IF(OR((AH$41&gt;=$AY$11:$AY$38)*(AH$4&lt;=$AZ$11:$AZ$38)&gt;0),$B57,"")</f>
        <v/>
      </c>
      <c r="AI57" s="84" t="str">
        <f t="array" aca="1" ref="AI57" ca="1">IF(OR((AI$41&gt;=$AY$11:$AY$38)*(AI$4&lt;=$AZ$11:$AZ$38)&gt;0),$B57,"")</f>
        <v/>
      </c>
      <c r="AJ57" s="85"/>
    </row>
    <row r="58" spans="1:71">
      <c r="A58" s="75" t="s">
        <v>203</v>
      </c>
      <c r="B58" s="16">
        <v>24</v>
      </c>
      <c r="C58" s="84" t="str">
        <f t="array" aca="1" ref="C58" ca="1">IF(OR((C$41&gt;=$AY$11:$AY$38)*(C$4&lt;=$AZ$11:$AZ$38)&gt;0),$B58,"")</f>
        <v/>
      </c>
      <c r="D58" s="84" t="str">
        <f t="array" aca="1" ref="D58" ca="1">IF(OR((D$41&gt;=$AY$11:$AY$38)*(D$4&lt;=$AZ$11:$AZ$38)&gt;0),$B58,"")</f>
        <v/>
      </c>
      <c r="E58" s="84" t="str">
        <f t="array" aca="1" ref="E58" ca="1">IF(OR((E$41&gt;=$AY$11:$AY$38)*(E$4&lt;=$AZ$11:$AZ$38)&gt;0),$B58,"")</f>
        <v/>
      </c>
      <c r="F58" s="84" t="str">
        <f t="array" aca="1" ref="F58" ca="1">IF(OR((F$41&gt;=$AY$11:$AY$38)*(F$4&lt;=$AZ$11:$AZ$38)&gt;0),$B58,"")</f>
        <v/>
      </c>
      <c r="G58" s="84" t="str">
        <f t="array" aca="1" ref="G58" ca="1">IF(OR((G$41&gt;=$AY$11:$AY$38)*(G$4&lt;=$AZ$11:$AZ$38)&gt;0),$B58,"")</f>
        <v/>
      </c>
      <c r="H58" s="84" t="str">
        <f t="array" aca="1" ref="H58" ca="1">IF(OR((H$41&gt;=$AY$11:$AY$38)*(H$4&lt;=$AZ$11:$AZ$38)&gt;0),$B58,"")</f>
        <v/>
      </c>
      <c r="I58" s="84" t="str">
        <f t="array" aca="1" ref="I58" ca="1">IF(OR((I$41&gt;=$AY$11:$AY$38)*(I$4&lt;=$AZ$11:$AZ$38)&gt;0),$B58,"")</f>
        <v/>
      </c>
      <c r="J58" s="84" t="str">
        <f t="array" aca="1" ref="J58" ca="1">IF(OR((J$41&gt;=$AY$11:$AY$38)*(J$4&lt;=$AZ$11:$AZ$38)&gt;0),$B58,"")</f>
        <v/>
      </c>
      <c r="K58" s="84" t="str">
        <f t="array" aca="1" ref="K58" ca="1">IF(OR((K$41&gt;=$AY$11:$AY$38)*(K$4&lt;=$AZ$11:$AZ$38)&gt;0),$B58,"")</f>
        <v/>
      </c>
      <c r="L58" s="84" t="str">
        <f t="array" aca="1" ref="L58" ca="1">IF(OR((L$41&gt;=$AY$11:$AY$38)*(L$4&lt;=$AZ$11:$AZ$38)&gt;0),$B58,"")</f>
        <v/>
      </c>
      <c r="M58" s="84" t="str">
        <f t="array" aca="1" ref="M58" ca="1">IF(OR((M$41&gt;=$AY$11:$AY$38)*(M$4&lt;=$AZ$11:$AZ$38)&gt;0),$B58,"")</f>
        <v/>
      </c>
      <c r="N58" s="84" t="str">
        <f t="array" aca="1" ref="N58" ca="1">IF(OR((N$41&gt;=$AY$11:$AY$38)*(N$4&lt;=$AZ$11:$AZ$38)&gt;0),$B58,"")</f>
        <v/>
      </c>
      <c r="O58" s="84" t="str">
        <f t="array" aca="1" ref="O58" ca="1">IF(OR((O$41&gt;=$AY$11:$AY$38)*(O$4&lt;=$AZ$11:$AZ$38)&gt;0),$B58,"")</f>
        <v/>
      </c>
      <c r="P58" s="84" t="str">
        <f t="array" aca="1" ref="P58" ca="1">IF(OR((P$41&gt;=$AY$11:$AY$38)*(P$4&lt;=$AZ$11:$AZ$38)&gt;0),$B58,"")</f>
        <v/>
      </c>
      <c r="Q58" s="84" t="str">
        <f t="array" aca="1" ref="Q58" ca="1">IF(OR((Q$41&gt;=$AY$11:$AY$38)*(Q$4&lt;=$AZ$11:$AZ$38)&gt;0),$B58,"")</f>
        <v/>
      </c>
      <c r="R58" s="84" t="str">
        <f t="array" aca="1" ref="R58" ca="1">IF(OR((R$41&gt;=$AY$11:$AY$38)*(R$4&lt;=$AZ$11:$AZ$38)&gt;0),$B58,"")</f>
        <v/>
      </c>
      <c r="S58" s="84" t="str">
        <f t="array" aca="1" ref="S58" ca="1">IF(OR((S$41&gt;=$AY$11:$AY$38)*(S$4&lt;=$AZ$11:$AZ$38)&gt;0),$B58,"")</f>
        <v/>
      </c>
      <c r="T58" s="84" t="str">
        <f t="array" aca="1" ref="T58" ca="1">IF(OR((T$41&gt;=$AY$11:$AY$38)*(T$4&lt;=$AZ$11:$AZ$38)&gt;0),$B58,"")</f>
        <v/>
      </c>
      <c r="U58" s="84" t="str">
        <f t="array" aca="1" ref="U58" ca="1">IF(OR((U$41&gt;=$AY$11:$AY$38)*(U$4&lt;=$AZ$11:$AZ$38)&gt;0),$B58,"")</f>
        <v/>
      </c>
      <c r="V58" s="84" t="str">
        <f t="array" aca="1" ref="V58" ca="1">IF(OR((V$41&gt;=$AY$11:$AY$38)*(V$4&lt;=$AZ$11:$AZ$38)&gt;0),$B58,"")</f>
        <v/>
      </c>
      <c r="W58" s="84" t="str">
        <f t="array" aca="1" ref="W58" ca="1">IF(OR((W$41&gt;=$AY$11:$AY$38)*(W$4&lt;=$AZ$11:$AZ$38)&gt;0),$B58,"")</f>
        <v/>
      </c>
      <c r="X58" s="84" t="str">
        <f t="array" aca="1" ref="X58" ca="1">IF(OR((X$41&gt;=$AY$11:$AY$38)*(X$4&lt;=$AZ$11:$AZ$38)&gt;0),$B58,"")</f>
        <v/>
      </c>
      <c r="Y58" s="84" t="str">
        <f t="array" aca="1" ref="Y58" ca="1">IF(OR((Y$41&gt;=$AY$11:$AY$38)*(Y$4&lt;=$AZ$11:$AZ$38)&gt;0),$B58,"")</f>
        <v/>
      </c>
      <c r="Z58" s="84" t="str">
        <f t="array" aca="1" ref="Z58" ca="1">IF(OR((Z$41&gt;=$AY$11:$AY$38)*(Z$4&lt;=$AZ$11:$AZ$38)&gt;0),$B58,"")</f>
        <v/>
      </c>
      <c r="AA58" s="84" t="str">
        <f t="array" aca="1" ref="AA58" ca="1">IF(OR((AA$41&gt;=$AY$11:$AY$38)*(AA$4&lt;=$AZ$11:$AZ$38)&gt;0),$B58,"")</f>
        <v/>
      </c>
      <c r="AB58" s="84" t="str">
        <f t="array" aca="1" ref="AB58" ca="1">IF(OR((AB$41&gt;=$AY$11:$AY$38)*(AB$4&lt;=$AZ$11:$AZ$38)&gt;0),$B58,"")</f>
        <v/>
      </c>
      <c r="AC58" s="84" t="str">
        <f t="array" aca="1" ref="AC58" ca="1">IF(OR((AC$41&gt;=$AY$11:$AY$38)*(AC$4&lt;=$AZ$11:$AZ$38)&gt;0),$B58,"")</f>
        <v/>
      </c>
      <c r="AD58" s="84" t="str">
        <f t="array" aca="1" ref="AD58" ca="1">IF(OR((AD$41&gt;=$AY$11:$AY$38)*(AD$4&lt;=$AZ$11:$AZ$38)&gt;0),$B58,"")</f>
        <v/>
      </c>
      <c r="AE58" s="84" t="str">
        <f t="array" aca="1" ref="AE58" ca="1">IF(OR((AE$41&gt;=$AY$11:$AY$38)*(AE$4&lt;=$AZ$11:$AZ$38)&gt;0),$B58,"")</f>
        <v/>
      </c>
      <c r="AF58" s="84" t="str">
        <f t="array" aca="1" ref="AF58" ca="1">IF(OR((AF$41&gt;=$AY$11:$AY$38)*(AF$4&lt;=$AZ$11:$AZ$38)&gt;0),$B58,"")</f>
        <v/>
      </c>
      <c r="AG58" s="84" t="str">
        <f t="array" aca="1" ref="AG58" ca="1">IF(OR((AG$41&gt;=$AY$11:$AY$38)*(AG$4&lt;=$AZ$11:$AZ$38)&gt;0),$B58,"")</f>
        <v/>
      </c>
      <c r="AH58" s="84" t="str">
        <f t="array" aca="1" ref="AH58" ca="1">IF(OR((AH$41&gt;=$AY$11:$AY$38)*(AH$4&lt;=$AZ$11:$AZ$38)&gt;0),$B58,"")</f>
        <v/>
      </c>
      <c r="AI58" s="84" t="str">
        <f t="array" aca="1" ref="AI58" ca="1">IF(OR((AI$41&gt;=$AY$11:$AY$38)*(AI$4&lt;=$AZ$11:$AZ$38)&gt;0),$B58,"")</f>
        <v/>
      </c>
      <c r="AJ58" s="85"/>
    </row>
    <row r="59" spans="1:71">
      <c r="A59" s="75" t="s">
        <v>204</v>
      </c>
      <c r="B59" s="16">
        <v>1</v>
      </c>
      <c r="C59" s="84" t="str">
        <f t="array" aca="1" ref="C59" ca="1">IF(OR((C$41&gt;=$AY$11:$AY$38)*(C$4&lt;=$AZ$11:$AZ$38)&gt;0),$B59,"")</f>
        <v/>
      </c>
      <c r="D59" s="84" t="str">
        <f t="array" aca="1" ref="D59" ca="1">IF(OR((D$41&gt;=$AY$11:$AY$38)*(D$4&lt;=$AZ$11:$AZ$38)&gt;0),$B59,"")</f>
        <v/>
      </c>
      <c r="E59" s="84" t="str">
        <f t="array" aca="1" ref="E59" ca="1">IF(OR((E$41&gt;=$AY$11:$AY$38)*(E$4&lt;=$AZ$11:$AZ$38)&gt;0),$B59,"")</f>
        <v/>
      </c>
      <c r="F59" s="84" t="str">
        <f t="array" aca="1" ref="F59" ca="1">IF(OR((F$41&gt;=$AY$11:$AY$38)*(F$4&lt;=$AZ$11:$AZ$38)&gt;0),$B59,"")</f>
        <v/>
      </c>
      <c r="G59" s="84" t="str">
        <f t="array" aca="1" ref="G59" ca="1">IF(OR((G$41&gt;=$AY$11:$AY$38)*(G$4&lt;=$AZ$11:$AZ$38)&gt;0),$B59,"")</f>
        <v/>
      </c>
      <c r="H59" s="84" t="str">
        <f t="array" aca="1" ref="H59" ca="1">IF(OR((H$41&gt;=$AY$11:$AY$38)*(H$4&lt;=$AZ$11:$AZ$38)&gt;0),$B59,"")</f>
        <v/>
      </c>
      <c r="I59" s="84" t="str">
        <f t="array" aca="1" ref="I59" ca="1">IF(OR((I$41&gt;=$AY$11:$AY$38)*(I$4&lt;=$AZ$11:$AZ$38)&gt;0),$B59,"")</f>
        <v/>
      </c>
      <c r="J59" s="84" t="str">
        <f t="array" aca="1" ref="J59" ca="1">IF(OR((J$41&gt;=$AY$11:$AY$38)*(J$4&lt;=$AZ$11:$AZ$38)&gt;0),$B59,"")</f>
        <v/>
      </c>
      <c r="K59" s="84" t="str">
        <f t="array" aca="1" ref="K59" ca="1">IF(OR((K$41&gt;=$AY$11:$AY$38)*(K$4&lt;=$AZ$11:$AZ$38)&gt;0),$B59,"")</f>
        <v/>
      </c>
      <c r="L59" s="84" t="str">
        <f t="array" aca="1" ref="L59" ca="1">IF(OR((L$41&gt;=$AY$11:$AY$38)*(L$4&lt;=$AZ$11:$AZ$38)&gt;0),$B59,"")</f>
        <v/>
      </c>
      <c r="M59" s="84" t="str">
        <f t="array" aca="1" ref="M59" ca="1">IF(OR((M$41&gt;=$AY$11:$AY$38)*(M$4&lt;=$AZ$11:$AZ$38)&gt;0),$B59,"")</f>
        <v/>
      </c>
      <c r="N59" s="84" t="str">
        <f t="array" aca="1" ref="N59" ca="1">IF(OR((N$41&gt;=$AY$11:$AY$38)*(N$4&lt;=$AZ$11:$AZ$38)&gt;0),$B59,"")</f>
        <v/>
      </c>
      <c r="O59" s="84" t="str">
        <f t="array" aca="1" ref="O59" ca="1">IF(OR((O$41&gt;=$AY$11:$AY$38)*(O$4&lt;=$AZ$11:$AZ$38)&gt;0),$B59,"")</f>
        <v/>
      </c>
      <c r="P59" s="84" t="str">
        <f t="array" aca="1" ref="P59" ca="1">IF(OR((P$41&gt;=$AY$11:$AY$38)*(P$4&lt;=$AZ$11:$AZ$38)&gt;0),$B59,"")</f>
        <v/>
      </c>
      <c r="Q59" s="84" t="str">
        <f t="array" aca="1" ref="Q59" ca="1">IF(OR((Q$41&gt;=$AY$11:$AY$38)*(Q$4&lt;=$AZ$11:$AZ$38)&gt;0),$B59,"")</f>
        <v/>
      </c>
      <c r="R59" s="84" t="str">
        <f t="array" aca="1" ref="R59" ca="1">IF(OR((R$41&gt;=$AY$11:$AY$38)*(R$4&lt;=$AZ$11:$AZ$38)&gt;0),$B59,"")</f>
        <v/>
      </c>
      <c r="S59" s="84" t="str">
        <f t="array" aca="1" ref="S59" ca="1">IF(OR((S$41&gt;=$AY$11:$AY$38)*(S$4&lt;=$AZ$11:$AZ$38)&gt;0),$B59,"")</f>
        <v/>
      </c>
      <c r="T59" s="84" t="str">
        <f t="array" aca="1" ref="T59" ca="1">IF(OR((T$41&gt;=$AY$11:$AY$38)*(T$4&lt;=$AZ$11:$AZ$38)&gt;0),$B59,"")</f>
        <v/>
      </c>
      <c r="U59" s="84" t="str">
        <f t="array" aca="1" ref="U59" ca="1">IF(OR((U$41&gt;=$AY$11:$AY$38)*(U$4&lt;=$AZ$11:$AZ$38)&gt;0),$B59,"")</f>
        <v/>
      </c>
      <c r="V59" s="84" t="str">
        <f t="array" aca="1" ref="V59" ca="1">IF(OR((V$41&gt;=$AY$11:$AY$38)*(V$4&lt;=$AZ$11:$AZ$38)&gt;0),$B59,"")</f>
        <v/>
      </c>
      <c r="W59" s="84" t="str">
        <f t="array" aca="1" ref="W59" ca="1">IF(OR((W$41&gt;=$AY$11:$AY$38)*(W$4&lt;=$AZ$11:$AZ$38)&gt;0),$B59,"")</f>
        <v/>
      </c>
      <c r="X59" s="84" t="str">
        <f t="array" aca="1" ref="X59" ca="1">IF(OR((X$41&gt;=$AY$11:$AY$38)*(X$4&lt;=$AZ$11:$AZ$38)&gt;0),$B59,"")</f>
        <v/>
      </c>
      <c r="Y59" s="84" t="str">
        <f t="array" aca="1" ref="Y59" ca="1">IF(OR((Y$41&gt;=$AY$11:$AY$38)*(Y$4&lt;=$AZ$11:$AZ$38)&gt;0),$B59,"")</f>
        <v/>
      </c>
      <c r="Z59" s="84" t="str">
        <f t="array" aca="1" ref="Z59" ca="1">IF(OR((Z$41&gt;=$AY$11:$AY$38)*(Z$4&lt;=$AZ$11:$AZ$38)&gt;0),$B59,"")</f>
        <v/>
      </c>
      <c r="AA59" s="84" t="str">
        <f t="array" aca="1" ref="AA59" ca="1">IF(OR((AA$41&gt;=$AY$11:$AY$38)*(AA$4&lt;=$AZ$11:$AZ$38)&gt;0),$B59,"")</f>
        <v/>
      </c>
      <c r="AB59" s="84" t="str">
        <f t="array" aca="1" ref="AB59" ca="1">IF(OR((AB$41&gt;=$AY$11:$AY$38)*(AB$4&lt;=$AZ$11:$AZ$38)&gt;0),$B59,"")</f>
        <v/>
      </c>
      <c r="AC59" s="84" t="str">
        <f t="array" aca="1" ref="AC59" ca="1">IF(OR((AC$41&gt;=$AY$11:$AY$38)*(AC$4&lt;=$AZ$11:$AZ$38)&gt;0),$B59,"")</f>
        <v/>
      </c>
      <c r="AD59" s="84" t="str">
        <f t="array" aca="1" ref="AD59" ca="1">IF(OR((AD$41&gt;=$AY$11:$AY$38)*(AD$4&lt;=$AZ$11:$AZ$38)&gt;0),$B59,"")</f>
        <v/>
      </c>
      <c r="AE59" s="84" t="str">
        <f t="array" aca="1" ref="AE59" ca="1">IF(OR((AE$41&gt;=$AY$11:$AY$38)*(AE$4&lt;=$AZ$11:$AZ$38)&gt;0),$B59,"")</f>
        <v/>
      </c>
      <c r="AF59" s="84" t="str">
        <f t="array" aca="1" ref="AF59" ca="1">IF(OR((AF$41&gt;=$AY$11:$AY$38)*(AF$4&lt;=$AZ$11:$AZ$38)&gt;0),$B59,"")</f>
        <v/>
      </c>
      <c r="AG59" s="84" t="str">
        <f t="array" aca="1" ref="AG59" ca="1">IF(OR((AG$41&gt;=$AY$11:$AY$38)*(AG$4&lt;=$AZ$11:$AZ$38)&gt;0),$B59,"")</f>
        <v/>
      </c>
      <c r="AH59" s="84" t="str">
        <f t="array" aca="1" ref="AH59" ca="1">IF(OR((AH$41&gt;=$AY$11:$AY$38)*(AH$4&lt;=$AZ$11:$AZ$38)&gt;0),$B59,"")</f>
        <v/>
      </c>
      <c r="AI59" s="84" t="str">
        <f t="array" aca="1" ref="AI59" ca="1">IF(OR((AI$41&gt;=$AY$11:$AY$38)*(AI$4&lt;=$AZ$11:$AZ$38)&gt;0),$B59,"")</f>
        <v/>
      </c>
      <c r="AJ59" s="85"/>
      <c r="BG59" s="113"/>
      <c r="BH59" s="113"/>
      <c r="BI59" s="113"/>
      <c r="BJ59" s="113"/>
      <c r="BK59" s="113"/>
      <c r="BL59" s="113"/>
      <c r="BM59" s="113"/>
      <c r="BN59" s="113"/>
      <c r="BO59" s="113"/>
      <c r="BP59" s="113"/>
      <c r="BQ59" s="113"/>
      <c r="BR59" s="113"/>
      <c r="BS59" s="113"/>
    </row>
    <row r="60" spans="1:71">
      <c r="A60" s="8"/>
      <c r="B60" s="12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85"/>
      <c r="BG60" s="113"/>
      <c r="BH60" s="113"/>
      <c r="BI60" s="113"/>
      <c r="BJ60" s="113"/>
      <c r="BK60" s="113"/>
      <c r="BL60" s="113"/>
      <c r="BM60" s="113"/>
      <c r="BN60" s="113"/>
      <c r="BO60" s="113"/>
      <c r="BP60" s="113"/>
      <c r="BQ60" s="113"/>
      <c r="BR60" s="113"/>
      <c r="BS60" s="113"/>
    </row>
    <row r="61" spans="1:71">
      <c r="A61" s="7" t="s">
        <v>205</v>
      </c>
      <c r="B61" s="10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85"/>
      <c r="BG61" s="113"/>
      <c r="BH61" s="113"/>
      <c r="BI61" s="113"/>
      <c r="BJ61" s="113"/>
      <c r="BK61" s="113"/>
      <c r="BL61" s="113"/>
      <c r="BM61" s="113"/>
      <c r="BN61" s="113"/>
      <c r="BO61" s="113"/>
      <c r="BP61" s="113"/>
      <c r="BQ61" s="113"/>
      <c r="BR61" s="113"/>
      <c r="BS61" s="113"/>
    </row>
    <row r="62" spans="1:71">
      <c r="A62" s="75"/>
      <c r="B62" s="11" t="s">
        <v>154</v>
      </c>
      <c r="C62" s="112">
        <f>EOMONTH($A$1,-1)</f>
        <v>46112</v>
      </c>
      <c r="D62" s="112">
        <f t="shared" ref="D62:AI62" si="4">C62+1</f>
        <v>46113</v>
      </c>
      <c r="E62" s="112">
        <f t="shared" si="4"/>
        <v>46114</v>
      </c>
      <c r="F62" s="112">
        <f t="shared" si="4"/>
        <v>46115</v>
      </c>
      <c r="G62" s="112">
        <f t="shared" si="4"/>
        <v>46116</v>
      </c>
      <c r="H62" s="112">
        <f t="shared" si="4"/>
        <v>46117</v>
      </c>
      <c r="I62" s="112">
        <f t="shared" si="4"/>
        <v>46118</v>
      </c>
      <c r="J62" s="112">
        <f t="shared" si="4"/>
        <v>46119</v>
      </c>
      <c r="K62" s="112">
        <f t="shared" si="4"/>
        <v>46120</v>
      </c>
      <c r="L62" s="112">
        <f t="shared" si="4"/>
        <v>46121</v>
      </c>
      <c r="M62" s="112">
        <f t="shared" si="4"/>
        <v>46122</v>
      </c>
      <c r="N62" s="112">
        <f t="shared" si="4"/>
        <v>46123</v>
      </c>
      <c r="O62" s="112">
        <f t="shared" si="4"/>
        <v>46124</v>
      </c>
      <c r="P62" s="112">
        <f t="shared" si="4"/>
        <v>46125</v>
      </c>
      <c r="Q62" s="112">
        <f t="shared" si="4"/>
        <v>46126</v>
      </c>
      <c r="R62" s="112">
        <f t="shared" si="4"/>
        <v>46127</v>
      </c>
      <c r="S62" s="112">
        <f t="shared" si="4"/>
        <v>46128</v>
      </c>
      <c r="T62" s="112">
        <f t="shared" si="4"/>
        <v>46129</v>
      </c>
      <c r="U62" s="112">
        <f t="shared" si="4"/>
        <v>46130</v>
      </c>
      <c r="V62" s="112">
        <f t="shared" si="4"/>
        <v>46131</v>
      </c>
      <c r="W62" s="112">
        <f t="shared" si="4"/>
        <v>46132</v>
      </c>
      <c r="X62" s="112">
        <f t="shared" si="4"/>
        <v>46133</v>
      </c>
      <c r="Y62" s="112">
        <f t="shared" si="4"/>
        <v>46134</v>
      </c>
      <c r="Z62" s="112">
        <f t="shared" si="4"/>
        <v>46135</v>
      </c>
      <c r="AA62" s="112">
        <f t="shared" si="4"/>
        <v>46136</v>
      </c>
      <c r="AB62" s="112">
        <f t="shared" si="4"/>
        <v>46137</v>
      </c>
      <c r="AC62" s="112">
        <f t="shared" si="4"/>
        <v>46138</v>
      </c>
      <c r="AD62" s="112">
        <f t="shared" si="4"/>
        <v>46139</v>
      </c>
      <c r="AE62" s="112">
        <f t="shared" si="4"/>
        <v>46140</v>
      </c>
      <c r="AF62" s="112">
        <f t="shared" si="4"/>
        <v>46141</v>
      </c>
      <c r="AG62" s="112">
        <f t="shared" si="4"/>
        <v>46142</v>
      </c>
      <c r="AH62" s="112">
        <f t="shared" si="4"/>
        <v>46143</v>
      </c>
      <c r="AI62" s="112">
        <f t="shared" si="4"/>
        <v>46144</v>
      </c>
      <c r="AJ62" s="85"/>
      <c r="BG62" s="113"/>
      <c r="BH62" s="113"/>
      <c r="BI62" s="113"/>
      <c r="BJ62" s="113"/>
      <c r="BK62" s="113"/>
      <c r="BL62" s="113"/>
      <c r="BM62" s="113"/>
      <c r="BN62" s="113"/>
      <c r="BO62" s="113"/>
      <c r="BP62" s="113"/>
      <c r="BQ62" s="113"/>
      <c r="BR62" s="113"/>
      <c r="BS62" s="113"/>
    </row>
    <row r="63" spans="1:71">
      <c r="A63" s="75" t="s">
        <v>206</v>
      </c>
      <c r="B63" s="16">
        <f>'[1](Fill In) SIAO'!C3</f>
        <v>57</v>
      </c>
      <c r="C63" s="84" t="str">
        <f t="array" aca="1" ref="C63" ca="1">IF(OR((C$62&gt;=$BA$11:$BA$38)*(C$4&lt;=$BB$11:$BB$38)&gt;0),$B63,"")</f>
        <v/>
      </c>
      <c r="D63" s="84" t="str">
        <f t="array" aca="1" ref="D63" ca="1">IF(OR((D$62&gt;=$BA$11:$BA$38)*(D$4&lt;=$BB$11:$BB$38)&gt;0),$B63,"")</f>
        <v/>
      </c>
      <c r="E63" s="84" t="str">
        <f t="array" aca="1" ref="E63" ca="1">IF(OR((E$62&gt;=$BA$11:$BA$38)*(E$4&lt;=$BB$11:$BB$38)&gt;0),$B63,"")</f>
        <v/>
      </c>
      <c r="F63" s="84" t="str">
        <f t="array" aca="1" ref="F63" ca="1">IF(OR((F$62&gt;=$BA$11:$BA$38)*(F$4&lt;=$BB$11:$BB$38)&gt;0),$B63,"")</f>
        <v/>
      </c>
      <c r="G63" s="84" t="str">
        <f t="array" aca="1" ref="G63" ca="1">IF(OR((G$62&gt;=$BA$11:$BA$38)*(G$4&lt;=$BB$11:$BB$38)&gt;0),$B63,"")</f>
        <v/>
      </c>
      <c r="H63" s="84" t="str">
        <f t="array" aca="1" ref="H63" ca="1">IF(OR((H$62&gt;=$BA$11:$BA$38)*(H$4&lt;=$BB$11:$BB$38)&gt;0),$B63,"")</f>
        <v/>
      </c>
      <c r="I63" s="84" t="str">
        <f t="array" aca="1" ref="I63" ca="1">IF(OR((I$62&gt;=$BA$11:$BA$38)*(I$4&lt;=$BB$11:$BB$38)&gt;0),$B63,"")</f>
        <v/>
      </c>
      <c r="J63" s="84" t="str">
        <f t="array" aca="1" ref="J63" ca="1">IF(OR((J$62&gt;=$BA$11:$BA$38)*(J$4&lt;=$BB$11:$BB$38)&gt;0),$B63,"")</f>
        <v/>
      </c>
      <c r="K63" s="84" t="str">
        <f t="array" aca="1" ref="K63" ca="1">IF(OR((K$62&gt;=$BA$11:$BA$38)*(K$4&lt;=$BB$11:$BB$38)&gt;0),$B63,"")</f>
        <v/>
      </c>
      <c r="L63" s="84" t="str">
        <f t="array" aca="1" ref="L63" ca="1">IF(OR((L$62&gt;=$BA$11:$BA$38)*(L$4&lt;=$BB$11:$BB$38)&gt;0),$B63,"")</f>
        <v/>
      </c>
      <c r="M63" s="84" t="str">
        <f t="array" aca="1" ref="M63" ca="1">IF(OR((M$62&gt;=$BA$11:$BA$38)*(M$4&lt;=$BB$11:$BB$38)&gt;0),$B63,"")</f>
        <v/>
      </c>
      <c r="N63" s="84" t="str">
        <f t="array" aca="1" ref="N63" ca="1">IF(OR((N$62&gt;=$BA$11:$BA$38)*(N$4&lt;=$BB$11:$BB$38)&gt;0),$B63,"")</f>
        <v/>
      </c>
      <c r="O63" s="84" t="str">
        <f t="array" aca="1" ref="O63" ca="1">IF(OR((O$62&gt;=$BA$11:$BA$38)*(O$4&lt;=$BB$11:$BB$38)&gt;0),$B63,"")</f>
        <v/>
      </c>
      <c r="P63" s="84" t="str">
        <f t="array" aca="1" ref="P63" ca="1">IF(OR((P$62&gt;=$BA$11:$BA$38)*(P$4&lt;=$BB$11:$BB$38)&gt;0),$B63,"")</f>
        <v/>
      </c>
      <c r="Q63" s="84" t="str">
        <f t="array" aca="1" ref="Q63" ca="1">IF(OR((Q$62&gt;=$BA$11:$BA$38)*(Q$4&lt;=$BB$11:$BB$38)&gt;0),$B63,"")</f>
        <v/>
      </c>
      <c r="R63" s="84" t="str">
        <f t="array" aca="1" ref="R63" ca="1">IF(OR((R$62&gt;=$BA$11:$BA$38)*(R$4&lt;=$BB$11:$BB$38)&gt;0),$B63,"")</f>
        <v/>
      </c>
      <c r="S63" s="84" t="str">
        <f t="array" aca="1" ref="S63" ca="1">IF(OR((S$62&gt;=$BA$11:$BA$38)*(S$4&lt;=$BB$11:$BB$38)&gt;0),$B63,"")</f>
        <v/>
      </c>
      <c r="T63" s="84" t="str">
        <f t="array" aca="1" ref="T63" ca="1">IF(OR((T$62&gt;=$BA$11:$BA$38)*(T$4&lt;=$BB$11:$BB$38)&gt;0),$B63,"")</f>
        <v/>
      </c>
      <c r="U63" s="84" t="str">
        <f t="array" aca="1" ref="U63" ca="1">IF(OR((U$62&gt;=$BA$11:$BA$38)*(U$4&lt;=$BB$11:$BB$38)&gt;0),$B63,"")</f>
        <v/>
      </c>
      <c r="V63" s="84" t="str">
        <f t="array" aca="1" ref="V63" ca="1">IF(OR((V$62&gt;=$BA$11:$BA$38)*(V$4&lt;=$BB$11:$BB$38)&gt;0),$B63,"")</f>
        <v/>
      </c>
      <c r="W63" s="84" t="str">
        <f t="array" aca="1" ref="W63" ca="1">IF(OR((W$62&gt;=$BA$11:$BA$38)*(W$4&lt;=$BB$11:$BB$38)&gt;0),$B63,"")</f>
        <v/>
      </c>
      <c r="X63" s="84" t="str">
        <f t="array" aca="1" ref="X63" ca="1">IF(OR((X$62&gt;=$BA$11:$BA$38)*(X$4&lt;=$BB$11:$BB$38)&gt;0),$B63,"")</f>
        <v/>
      </c>
      <c r="Y63" s="84" t="str">
        <f t="array" aca="1" ref="Y63" ca="1">IF(OR((Y$62&gt;=$BA$11:$BA$38)*(Y$4&lt;=$BB$11:$BB$38)&gt;0),$B63,"")</f>
        <v/>
      </c>
      <c r="Z63" s="84" t="str">
        <f t="array" aca="1" ref="Z63" ca="1">IF(OR((Z$62&gt;=$BA$11:$BA$38)*(Z$4&lt;=$BB$11:$BB$38)&gt;0),$B63,"")</f>
        <v/>
      </c>
      <c r="AA63" s="84" t="str">
        <f t="array" aca="1" ref="AA63" ca="1">IF(OR((AA$62&gt;=$BA$11:$BA$38)*(AA$4&lt;=$BB$11:$BB$38)&gt;0),$B63,"")</f>
        <v/>
      </c>
      <c r="AB63" s="84" t="str">
        <f t="array" aca="1" ref="AB63" ca="1">IF(OR((AB$62&gt;=$BA$11:$BA$38)*(AB$4&lt;=$BB$11:$BB$38)&gt;0),$B63,"")</f>
        <v/>
      </c>
      <c r="AC63" s="84" t="str">
        <f t="array" aca="1" ref="AC63" ca="1">IF(OR((AC$62&gt;=$BA$11:$BA$38)*(AC$4&lt;=$BB$11:$BB$38)&gt;0),$B63,"")</f>
        <v/>
      </c>
      <c r="AD63" s="84" t="str">
        <f t="array" aca="1" ref="AD63" ca="1">IF(OR((AD$62&gt;=$BA$11:$BA$38)*(AD$4&lt;=$BB$11:$BB$38)&gt;0),$B63,"")</f>
        <v/>
      </c>
      <c r="AE63" s="84" t="str">
        <f t="array" aca="1" ref="AE63" ca="1">IF(OR((AE$62&gt;=$BA$11:$BA$38)*(AE$4&lt;=$BB$11:$BB$38)&gt;0),$B63,"")</f>
        <v/>
      </c>
      <c r="AF63" s="84" t="str">
        <f t="array" aca="1" ref="AF63" ca="1">IF(OR((AF$62&gt;=$BA$11:$BA$38)*(AF$4&lt;=$BB$11:$BB$38)&gt;0),$B63,"")</f>
        <v/>
      </c>
      <c r="AG63" s="84" t="str">
        <f t="array" aca="1" ref="AG63" ca="1">IF(OR((AG$62&gt;=$BA$11:$BA$38)*(AG$4&lt;=$BB$11:$BB$38)&gt;0),$B63,"")</f>
        <v/>
      </c>
      <c r="AH63" s="84" t="str">
        <f t="array" aca="1" ref="AH63" ca="1">IF(OR((AH$62&gt;=$BA$11:$BA$38)*(AH$4&lt;=$BB$11:$BB$38)&gt;0),$B63,"")</f>
        <v/>
      </c>
      <c r="AI63" s="84" t="str">
        <f t="array" aca="1" ref="AI63" ca="1">IF(OR((AI$62&gt;=$BA$11:$BA$38)*(AI$4&lt;=$BB$11:$BB$38)&gt;0),$B63,"")</f>
        <v/>
      </c>
      <c r="AJ63" s="85"/>
      <c r="BG63" s="113"/>
      <c r="BH63" s="113"/>
      <c r="BI63" s="113"/>
      <c r="BJ63" s="113"/>
      <c r="BK63" s="113"/>
      <c r="BL63" s="113"/>
      <c r="BM63" s="113"/>
      <c r="BN63" s="113"/>
      <c r="BO63" s="113"/>
      <c r="BP63" s="113"/>
      <c r="BQ63" s="113"/>
      <c r="BR63" s="113"/>
      <c r="BS63" s="113"/>
    </row>
    <row r="64" spans="1:71">
      <c r="A64" s="8"/>
      <c r="B64" s="12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85"/>
      <c r="BG64" s="113"/>
      <c r="BH64" s="113"/>
      <c r="BI64" s="113"/>
      <c r="BJ64" s="113"/>
      <c r="BK64" s="113"/>
      <c r="BL64" s="113"/>
      <c r="BM64" s="113"/>
      <c r="BN64" s="113"/>
      <c r="BO64" s="113"/>
      <c r="BP64" s="113"/>
      <c r="BQ64" s="113"/>
      <c r="BR64" s="113"/>
      <c r="BS64" s="113"/>
    </row>
    <row r="65" spans="1:58">
      <c r="A65" s="7" t="s">
        <v>150</v>
      </c>
      <c r="B65" s="10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85"/>
    </row>
    <row r="66" spans="1:58" s="9" customFormat="1">
      <c r="A66" s="75"/>
      <c r="B66" s="11" t="s">
        <v>154</v>
      </c>
      <c r="C66" s="112">
        <f>EOMONTH($A$1,-1)</f>
        <v>46112</v>
      </c>
      <c r="D66" s="112">
        <f t="shared" ref="D66:AI66" si="5">C66+1</f>
        <v>46113</v>
      </c>
      <c r="E66" s="112">
        <f t="shared" si="5"/>
        <v>46114</v>
      </c>
      <c r="F66" s="112">
        <f t="shared" si="5"/>
        <v>46115</v>
      </c>
      <c r="G66" s="112">
        <f t="shared" si="5"/>
        <v>46116</v>
      </c>
      <c r="H66" s="112">
        <f t="shared" si="5"/>
        <v>46117</v>
      </c>
      <c r="I66" s="112">
        <f t="shared" si="5"/>
        <v>46118</v>
      </c>
      <c r="J66" s="112">
        <f t="shared" si="5"/>
        <v>46119</v>
      </c>
      <c r="K66" s="112">
        <f t="shared" si="5"/>
        <v>46120</v>
      </c>
      <c r="L66" s="112">
        <f t="shared" si="5"/>
        <v>46121</v>
      </c>
      <c r="M66" s="112">
        <f t="shared" si="5"/>
        <v>46122</v>
      </c>
      <c r="N66" s="112">
        <f t="shared" si="5"/>
        <v>46123</v>
      </c>
      <c r="O66" s="112">
        <f t="shared" si="5"/>
        <v>46124</v>
      </c>
      <c r="P66" s="112">
        <f t="shared" si="5"/>
        <v>46125</v>
      </c>
      <c r="Q66" s="112">
        <f t="shared" si="5"/>
        <v>46126</v>
      </c>
      <c r="R66" s="112">
        <f t="shared" si="5"/>
        <v>46127</v>
      </c>
      <c r="S66" s="112">
        <f t="shared" si="5"/>
        <v>46128</v>
      </c>
      <c r="T66" s="112">
        <f t="shared" si="5"/>
        <v>46129</v>
      </c>
      <c r="U66" s="112">
        <f t="shared" si="5"/>
        <v>46130</v>
      </c>
      <c r="V66" s="112">
        <f t="shared" si="5"/>
        <v>46131</v>
      </c>
      <c r="W66" s="112">
        <f t="shared" si="5"/>
        <v>46132</v>
      </c>
      <c r="X66" s="112">
        <f t="shared" si="5"/>
        <v>46133</v>
      </c>
      <c r="Y66" s="112">
        <f t="shared" si="5"/>
        <v>46134</v>
      </c>
      <c r="Z66" s="112">
        <f t="shared" si="5"/>
        <v>46135</v>
      </c>
      <c r="AA66" s="112">
        <f t="shared" si="5"/>
        <v>46136</v>
      </c>
      <c r="AB66" s="112">
        <f t="shared" si="5"/>
        <v>46137</v>
      </c>
      <c r="AC66" s="112">
        <f t="shared" si="5"/>
        <v>46138</v>
      </c>
      <c r="AD66" s="112">
        <f t="shared" si="5"/>
        <v>46139</v>
      </c>
      <c r="AE66" s="112">
        <f t="shared" si="5"/>
        <v>46140</v>
      </c>
      <c r="AF66" s="112">
        <f t="shared" si="5"/>
        <v>46141</v>
      </c>
      <c r="AG66" s="112">
        <f t="shared" si="5"/>
        <v>46142</v>
      </c>
      <c r="AH66" s="112">
        <f t="shared" si="5"/>
        <v>46143</v>
      </c>
      <c r="AI66" s="112">
        <f t="shared" si="5"/>
        <v>46144</v>
      </c>
      <c r="AJ66" s="85"/>
    </row>
    <row r="67" spans="1:58">
      <c r="A67" s="75" t="s">
        <v>207</v>
      </c>
      <c r="B67" s="16">
        <f>'[1](Fill In) SIAO'!C3</f>
        <v>57</v>
      </c>
      <c r="C67" s="84" t="str">
        <f t="array" aca="1" ref="C67" ca="1">IF(OR((C$66&gt;=$BC$11:$BC$38)*(C$4&lt;=$BD$11:$BD$38)&gt;0),$B67,"")</f>
        <v/>
      </c>
      <c r="D67" s="84" t="str">
        <f t="array" aca="1" ref="D67" ca="1">IF(OR((D$66&gt;=$BC$11:$BC$38)*(D$4&lt;=$BD$11:$BD$38)&gt;0),$B67,"")</f>
        <v/>
      </c>
      <c r="E67" s="84" t="str">
        <f t="array" aca="1" ref="E67" ca="1">IF(OR((E$66&gt;=$BC$11:$BC$38)*(E$4&lt;=$BD$11:$BD$38)&gt;0),$B67,"")</f>
        <v/>
      </c>
      <c r="F67" s="84" t="str">
        <f t="array" aca="1" ref="F67" ca="1">IF(OR((F$66&gt;=$BC$11:$BC$38)*(F$4&lt;=$BD$11:$BD$38)&gt;0),$B67,"")</f>
        <v/>
      </c>
      <c r="G67" s="84" t="str">
        <f t="array" aca="1" ref="G67" ca="1">IF(OR((G$66&gt;=$BC$11:$BC$38)*(G$4&lt;=$BD$11:$BD$38)&gt;0),$B67,"")</f>
        <v/>
      </c>
      <c r="H67" s="84" t="str">
        <f t="array" aca="1" ref="H67" ca="1">IF(OR((H$66&gt;=$BC$11:$BC$38)*(H$4&lt;=$BD$11:$BD$38)&gt;0),$B67,"")</f>
        <v/>
      </c>
      <c r="I67" s="84" t="str">
        <f t="array" aca="1" ref="I67" ca="1">IF(OR((I$66&gt;=$BC$11:$BC$38)*(I$4&lt;=$BD$11:$BD$38)&gt;0),$B67,"")</f>
        <v/>
      </c>
      <c r="J67" s="84" t="str">
        <f t="array" aca="1" ref="J67" ca="1">IF(OR((J$66&gt;=$BC$11:$BC$38)*(J$4&lt;=$BD$11:$BD$38)&gt;0),$B67,"")</f>
        <v/>
      </c>
      <c r="K67" s="84" t="str">
        <f t="array" aca="1" ref="K67" ca="1">IF(OR((K$66&gt;=$BC$11:$BC$38)*(K$4&lt;=$BD$11:$BD$38)&gt;0),$B67,"")</f>
        <v/>
      </c>
      <c r="L67" s="84" t="str">
        <f t="array" aca="1" ref="L67" ca="1">IF(OR((L$66&gt;=$BC$11:$BC$38)*(L$4&lt;=$BD$11:$BD$38)&gt;0),$B67,"")</f>
        <v/>
      </c>
      <c r="M67" s="84" t="str">
        <f t="array" aca="1" ref="M67" ca="1">IF(OR((M$66&gt;=$BC$11:$BC$38)*(M$4&lt;=$BD$11:$BD$38)&gt;0),$B67,"")</f>
        <v/>
      </c>
      <c r="N67" s="84" t="str">
        <f t="array" aca="1" ref="N67" ca="1">IF(OR((N$66&gt;=$BC$11:$BC$38)*(N$4&lt;=$BD$11:$BD$38)&gt;0),$B67,"")</f>
        <v/>
      </c>
      <c r="O67" s="84" t="str">
        <f t="array" aca="1" ref="O67" ca="1">IF(OR((O$66&gt;=$BC$11:$BC$38)*(O$4&lt;=$BD$11:$BD$38)&gt;0),$B67,"")</f>
        <v/>
      </c>
      <c r="P67" s="84" t="str">
        <f t="array" aca="1" ref="P67" ca="1">IF(OR((P$66&gt;=$BC$11:$BC$38)*(P$4&lt;=$BD$11:$BD$38)&gt;0),$B67,"")</f>
        <v/>
      </c>
      <c r="Q67" s="84" t="str">
        <f t="array" aca="1" ref="Q67" ca="1">IF(OR((Q$66&gt;=$BC$11:$BC$38)*(Q$4&lt;=$BD$11:$BD$38)&gt;0),$B67,"")</f>
        <v/>
      </c>
      <c r="R67" s="84" t="str">
        <f t="array" aca="1" ref="R67" ca="1">IF(OR((R$66&gt;=$BC$11:$BC$38)*(R$4&lt;=$BD$11:$BD$38)&gt;0),$B67,"")</f>
        <v/>
      </c>
      <c r="S67" s="84" t="str">
        <f t="array" aca="1" ref="S67" ca="1">IF(OR((S$66&gt;=$BC$11:$BC$38)*(S$4&lt;=$BD$11:$BD$38)&gt;0),$B67,"")</f>
        <v/>
      </c>
      <c r="T67" s="84" t="str">
        <f t="array" aca="1" ref="T67" ca="1">IF(OR((T$66&gt;=$BC$11:$BC$38)*(T$4&lt;=$BD$11:$BD$38)&gt;0),$B67,"")</f>
        <v/>
      </c>
      <c r="U67" s="84" t="str">
        <f t="array" aca="1" ref="U67" ca="1">IF(OR((U$66&gt;=$BC$11:$BC$38)*(U$4&lt;=$BD$11:$BD$38)&gt;0),$B67,"")</f>
        <v/>
      </c>
      <c r="V67" s="84" t="str">
        <f t="array" aca="1" ref="V67" ca="1">IF(OR((V$66&gt;=$BC$11:$BC$38)*(V$4&lt;=$BD$11:$BD$38)&gt;0),$B67,"")</f>
        <v/>
      </c>
      <c r="W67" s="84" t="str">
        <f t="array" aca="1" ref="W67" ca="1">IF(OR((W$66&gt;=$BC$11:$BC$38)*(W$4&lt;=$BD$11:$BD$38)&gt;0),$B67,"")</f>
        <v/>
      </c>
      <c r="X67" s="84" t="str">
        <f t="array" aca="1" ref="X67" ca="1">IF(OR((X$66&gt;=$BC$11:$BC$38)*(X$4&lt;=$BD$11:$BD$38)&gt;0),$B67,"")</f>
        <v/>
      </c>
      <c r="Y67" s="84" t="str">
        <f t="array" aca="1" ref="Y67" ca="1">IF(OR((Y$66&gt;=$BC$11:$BC$38)*(Y$4&lt;=$BD$11:$BD$38)&gt;0),$B67,"")</f>
        <v/>
      </c>
      <c r="Z67" s="84" t="str">
        <f t="array" aca="1" ref="Z67" ca="1">IF(OR((Z$66&gt;=$BC$11:$BC$38)*(Z$4&lt;=$BD$11:$BD$38)&gt;0),$B67,"")</f>
        <v/>
      </c>
      <c r="AA67" s="84" t="str">
        <f t="array" aca="1" ref="AA67" ca="1">IF(OR((AA$66&gt;=$BC$11:$BC$38)*(AA$4&lt;=$BD$11:$BD$38)&gt;0),$B67,"")</f>
        <v/>
      </c>
      <c r="AB67" s="84" t="str">
        <f t="array" aca="1" ref="AB67" ca="1">IF(OR((AB$66&gt;=$BC$11:$BC$38)*(AB$4&lt;=$BD$11:$BD$38)&gt;0),$B67,"")</f>
        <v/>
      </c>
      <c r="AC67" s="84"/>
      <c r="AD67" s="84"/>
      <c r="AE67" s="84"/>
      <c r="AF67" s="84"/>
      <c r="AG67" s="84"/>
      <c r="AH67" s="84"/>
      <c r="AI67" s="84"/>
      <c r="AJ67" s="85"/>
    </row>
    <row r="68" spans="1:58">
      <c r="A68" s="75" t="s">
        <v>208</v>
      </c>
      <c r="B68" s="16">
        <f>'[1](Fill In) SIAO'!C3</f>
        <v>57</v>
      </c>
      <c r="C68" s="84" t="str">
        <f t="array" aca="1" ref="C68" ca="1">IF(OR((C$66&gt;=$BC$11:$BC$38)*(C$4&lt;=$BD$11:$BD$38)&gt;0),$B68,"")</f>
        <v/>
      </c>
      <c r="D68" s="84" t="str">
        <f t="array" aca="1" ref="D68" ca="1">IF(OR((D$66&gt;=$BC$11:$BC$38)*(D$4&lt;=$BD$11:$BD$38)&gt;0),$B68,"")</f>
        <v/>
      </c>
      <c r="E68" s="84" t="str">
        <f t="array" aca="1" ref="E68" ca="1">IF(OR((E$66&gt;=$BC$11:$BC$38)*(E$4&lt;=$BD$11:$BD$38)&gt;0),$B68,"")</f>
        <v/>
      </c>
      <c r="F68" s="84" t="str">
        <f t="array" aca="1" ref="F68" ca="1">IF(OR((F$66&gt;=$BC$11:$BC$38)*(F$4&lt;=$BD$11:$BD$38)&gt;0),$B68,"")</f>
        <v/>
      </c>
      <c r="G68" s="84" t="str">
        <f t="array" aca="1" ref="G68" ca="1">IF(OR((G$66&gt;=$BC$11:$BC$38)*(G$4&lt;=$BD$11:$BD$38)&gt;0),$B68,"")</f>
        <v/>
      </c>
      <c r="H68" s="84" t="str">
        <f t="array" aca="1" ref="H68" ca="1">IF(OR((H$66&gt;=$BC$11:$BC$38)*(H$4&lt;=$BD$11:$BD$38)&gt;0),$B68,"")</f>
        <v/>
      </c>
      <c r="I68" s="84" t="str">
        <f t="array" aca="1" ref="I68" ca="1">IF(OR((I$66&gt;=$BC$11:$BC$38)*(I$4&lt;=$BD$11:$BD$38)&gt;0),$B68,"")</f>
        <v/>
      </c>
      <c r="J68" s="84" t="str">
        <f t="array" aca="1" ref="J68" ca="1">IF(OR((J$66&gt;=$BC$11:$BC$38)*(J$4&lt;=$BD$11:$BD$38)&gt;0),$B68,"")</f>
        <v/>
      </c>
      <c r="K68" s="84" t="str">
        <f t="array" aca="1" ref="K68" ca="1">IF(OR((K$66&gt;=$BC$11:$BC$38)*(K$4&lt;=$BD$11:$BD$38)&gt;0),$B68,"")</f>
        <v/>
      </c>
      <c r="L68" s="84" t="str">
        <f t="array" aca="1" ref="L68" ca="1">IF(OR((L$66&gt;=$BC$11:$BC$38)*(L$4&lt;=$BD$11:$BD$38)&gt;0),$B68,"")</f>
        <v/>
      </c>
      <c r="M68" s="84" t="str">
        <f t="array" aca="1" ref="M68" ca="1">IF(OR((M$66&gt;=$BC$11:$BC$38)*(M$4&lt;=$BD$11:$BD$38)&gt;0),$B68,"")</f>
        <v/>
      </c>
      <c r="N68" s="84" t="str">
        <f t="array" aca="1" ref="N68" ca="1">IF(OR((N$66&gt;=$BC$11:$BC$38)*(N$4&lt;=$BD$11:$BD$38)&gt;0),$B68,"")</f>
        <v/>
      </c>
      <c r="O68" s="84" t="str">
        <f t="array" aca="1" ref="O68" ca="1">IF(OR((O$66&gt;=$BC$11:$BC$38)*(O$4&lt;=$BD$11:$BD$38)&gt;0),$B68,"")</f>
        <v/>
      </c>
      <c r="P68" s="84" t="str">
        <f t="array" aca="1" ref="P68" ca="1">IF(OR((P$66&gt;=$BC$11:$BC$38)*(P$4&lt;=$BD$11:$BD$38)&gt;0),$B68,"")</f>
        <v/>
      </c>
      <c r="Q68" s="84" t="str">
        <f t="array" aca="1" ref="Q68" ca="1">IF(OR((Q$66&gt;=$BC$11:$BC$38)*(Q$4&lt;=$BD$11:$BD$38)&gt;0),$B68,"")</f>
        <v/>
      </c>
      <c r="R68" s="84" t="str">
        <f t="array" aca="1" ref="R68" ca="1">IF(OR((R$66&gt;=$BC$11:$BC$38)*(R$4&lt;=$BD$11:$BD$38)&gt;0),$B68,"")</f>
        <v/>
      </c>
      <c r="S68" s="84" t="str">
        <f t="array" aca="1" ref="S68" ca="1">IF(OR((S$66&gt;=$BC$11:$BC$38)*(S$4&lt;=$BD$11:$BD$38)&gt;0),$B68,"")</f>
        <v/>
      </c>
      <c r="T68" s="84" t="str">
        <f t="array" aca="1" ref="T68" ca="1">IF(OR((T$66&gt;=$BC$11:$BC$38)*(T$4&lt;=$BD$11:$BD$38)&gt;0),$B68,"")</f>
        <v/>
      </c>
      <c r="U68" s="84" t="str">
        <f t="array" aca="1" ref="U68" ca="1">IF(OR((U$66&gt;=$BC$11:$BC$38)*(U$4&lt;=$BD$11:$BD$38)&gt;0),$B68,"")</f>
        <v/>
      </c>
      <c r="V68" s="84" t="str">
        <f t="array" aca="1" ref="V68" ca="1">IF(OR((V$66&gt;=$BC$11:$BC$38)*(V$4&lt;=$BD$11:$BD$38)&gt;0),$B68,"")</f>
        <v/>
      </c>
      <c r="W68" s="84" t="str">
        <f t="array" aca="1" ref="W68" ca="1">IF(OR((W$66&gt;=$BC$11:$BC$38)*(W$4&lt;=$BD$11:$BD$38)&gt;0),$B68,"")</f>
        <v/>
      </c>
      <c r="X68" s="84" t="str">
        <f t="array" aca="1" ref="X68" ca="1">IF(OR((X$66&gt;=$BC$11:$BC$38)*(X$4&lt;=$BD$11:$BD$38)&gt;0),$B68,"")</f>
        <v/>
      </c>
      <c r="Y68" s="84" t="str">
        <f t="array" aca="1" ref="Y68" ca="1">IF(OR((Y$66&gt;=$BC$11:$BC$38)*(Y$4&lt;=$BD$11:$BD$38)&gt;0),$B68,"")</f>
        <v/>
      </c>
      <c r="Z68" s="84" t="str">
        <f t="array" aca="1" ref="Z68" ca="1">IF(OR((Z$66&gt;=$BC$11:$BC$38)*(Z$4&lt;=$BD$11:$BD$38)&gt;0),$B68,"")</f>
        <v/>
      </c>
      <c r="AA68" s="84" t="str">
        <f t="array" aca="1" ref="AA68" ca="1">IF(OR((AA$66&gt;=$BC$11:$BC$38)*(AA$4&lt;=$BD$11:$BD$38)&gt;0),$B68,"")</f>
        <v/>
      </c>
      <c r="AB68" s="84" t="str">
        <f t="array" aca="1" ref="AB68" ca="1">IF(OR((AB$66&gt;=$BC$11:$BC$38)*(AB$4&lt;=$BD$11:$BD$38)&gt;0),$B68,"")</f>
        <v/>
      </c>
      <c r="AC68" s="84"/>
      <c r="AD68" s="84"/>
      <c r="AE68" s="84"/>
      <c r="AF68" s="84"/>
      <c r="AG68" s="84"/>
      <c r="AH68" s="84"/>
      <c r="AI68" s="84"/>
    </row>
    <row r="69" spans="1:58">
      <c r="A69" s="8"/>
      <c r="B69" s="12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</row>
    <row r="70" spans="1:58">
      <c r="A70" s="7" t="s">
        <v>96</v>
      </c>
      <c r="B70" s="10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</row>
    <row r="71" spans="1:58">
      <c r="A71" s="75"/>
      <c r="B71" s="11" t="s">
        <v>154</v>
      </c>
      <c r="C71" s="112">
        <f>EOMONTH($A$1,-1)</f>
        <v>46112</v>
      </c>
      <c r="D71" s="112">
        <f t="shared" ref="D71:AI71" si="6">C71+1</f>
        <v>46113</v>
      </c>
      <c r="E71" s="112">
        <f t="shared" si="6"/>
        <v>46114</v>
      </c>
      <c r="F71" s="112">
        <f t="shared" si="6"/>
        <v>46115</v>
      </c>
      <c r="G71" s="112">
        <f t="shared" si="6"/>
        <v>46116</v>
      </c>
      <c r="H71" s="112">
        <f t="shared" si="6"/>
        <v>46117</v>
      </c>
      <c r="I71" s="112">
        <f t="shared" si="6"/>
        <v>46118</v>
      </c>
      <c r="J71" s="112">
        <f t="shared" si="6"/>
        <v>46119</v>
      </c>
      <c r="K71" s="112">
        <f t="shared" si="6"/>
        <v>46120</v>
      </c>
      <c r="L71" s="112">
        <f t="shared" si="6"/>
        <v>46121</v>
      </c>
      <c r="M71" s="112">
        <f t="shared" si="6"/>
        <v>46122</v>
      </c>
      <c r="N71" s="112">
        <f t="shared" si="6"/>
        <v>46123</v>
      </c>
      <c r="O71" s="112">
        <f t="shared" si="6"/>
        <v>46124</v>
      </c>
      <c r="P71" s="112">
        <f t="shared" si="6"/>
        <v>46125</v>
      </c>
      <c r="Q71" s="112">
        <f t="shared" si="6"/>
        <v>46126</v>
      </c>
      <c r="R71" s="112">
        <f t="shared" si="6"/>
        <v>46127</v>
      </c>
      <c r="S71" s="112">
        <f t="shared" si="6"/>
        <v>46128</v>
      </c>
      <c r="T71" s="112">
        <f t="shared" si="6"/>
        <v>46129</v>
      </c>
      <c r="U71" s="112">
        <f t="shared" si="6"/>
        <v>46130</v>
      </c>
      <c r="V71" s="112">
        <f t="shared" si="6"/>
        <v>46131</v>
      </c>
      <c r="W71" s="112">
        <f t="shared" si="6"/>
        <v>46132</v>
      </c>
      <c r="X71" s="112">
        <f t="shared" si="6"/>
        <v>46133</v>
      </c>
      <c r="Y71" s="112">
        <f t="shared" si="6"/>
        <v>46134</v>
      </c>
      <c r="Z71" s="112">
        <f t="shared" si="6"/>
        <v>46135</v>
      </c>
      <c r="AA71" s="112">
        <f t="shared" si="6"/>
        <v>46136</v>
      </c>
      <c r="AB71" s="112">
        <f t="shared" si="6"/>
        <v>46137</v>
      </c>
      <c r="AC71" s="112">
        <f t="shared" si="6"/>
        <v>46138</v>
      </c>
      <c r="AD71" s="112">
        <f t="shared" si="6"/>
        <v>46139</v>
      </c>
      <c r="AE71" s="112">
        <f t="shared" si="6"/>
        <v>46140</v>
      </c>
      <c r="AF71" s="112">
        <f t="shared" si="6"/>
        <v>46141</v>
      </c>
      <c r="AG71" s="112">
        <f t="shared" si="6"/>
        <v>46142</v>
      </c>
      <c r="AH71" s="112">
        <f t="shared" si="6"/>
        <v>46143</v>
      </c>
      <c r="AI71" s="112">
        <f t="shared" si="6"/>
        <v>46144</v>
      </c>
    </row>
    <row r="72" spans="1:58" ht="14.55" customHeight="1">
      <c r="A72" s="75" t="s">
        <v>209</v>
      </c>
      <c r="B72" s="16" t="s">
        <v>210</v>
      </c>
      <c r="C72" s="84" t="str">
        <f t="array" aca="1" ref="C72" ca="1">IF(OR((C$71&gt;=$BE$11:$BE$38)*(C$4&lt;=$BF$11:$BF$38)&gt;0),$B72,"")</f>
        <v/>
      </c>
      <c r="D72" s="84" t="str">
        <f t="array" aca="1" ref="D72" ca="1">IF(OR((D$71&gt;=$BE$11:$BE$38)*(D$4&lt;=$BF$11:$BF$38)&gt;0),$B72,"")</f>
        <v/>
      </c>
      <c r="E72" s="84" t="str">
        <f t="array" aca="1" ref="E72" ca="1">IF(OR((E$71&gt;=$BE$11:$BE$38)*(E$4&lt;=$BF$11:$BF$38)&gt;0),$B72,"")</f>
        <v/>
      </c>
      <c r="F72" s="80"/>
      <c r="G72" s="81"/>
      <c r="H72" s="90"/>
      <c r="I72" s="89"/>
      <c r="J72" s="89"/>
      <c r="K72" s="89"/>
      <c r="L72" s="89"/>
      <c r="M72" s="89"/>
      <c r="N72" s="88"/>
      <c r="O72" s="84" t="str">
        <f t="array" aca="1" ref="O72" ca="1">IF(OR((O$71&gt;=$BE$11:$BE$38)*(O$4&lt;=$BF$11:$BF$38)&gt;0),$B72,"")</f>
        <v/>
      </c>
      <c r="P72" s="84" t="str">
        <f t="array" aca="1" ref="P72" ca="1">IF(OR((P$71&gt;=$BE$11:$BE$38)*(P$4&lt;=$BF$11:$BF$38)&gt;0),$B72,"")</f>
        <v/>
      </c>
      <c r="Q72" s="84" t="str">
        <f t="array" aca="1" ref="Q72" ca="1">IF(OR((Q$71&gt;=$BE$11:$BE$38)*(Q$4&lt;=$BF$11:$BF$38)&gt;0),$B72,"")</f>
        <v/>
      </c>
      <c r="R72" s="84" t="str">
        <f t="array" aca="1" ref="R72" ca="1">IF(OR((R$71&gt;=$BE$11:$BE$38)*(R$4&lt;=$BF$11:$BF$38)&gt;0),$B72,"")</f>
        <v/>
      </c>
      <c r="S72" s="18"/>
      <c r="T72" s="80"/>
      <c r="U72" s="81"/>
      <c r="V72" s="81"/>
      <c r="W72" s="18"/>
      <c r="X72" s="80"/>
      <c r="Y72" s="80"/>
      <c r="Z72" s="80"/>
      <c r="AA72" s="80"/>
      <c r="AB72" s="81"/>
      <c r="AC72" s="81"/>
      <c r="AD72" s="192" t="s">
        <v>216</v>
      </c>
      <c r="AE72" s="184"/>
      <c r="AF72" s="184"/>
      <c r="AG72" s="184"/>
      <c r="AH72" s="184"/>
      <c r="AI72" s="185"/>
    </row>
    <row r="73" spans="1:58">
      <c r="A73" s="75" t="s">
        <v>211</v>
      </c>
      <c r="B73" s="16">
        <v>0</v>
      </c>
      <c r="C73" s="84" t="str">
        <f t="array" aca="1" ref="C73" ca="1">IF(OR((C$71&gt;=$BE$11:$BE$38)*(C$4&lt;=$BF$11:$BF$38)&gt;0),$B73,"")</f>
        <v/>
      </c>
      <c r="D73" s="84" t="str">
        <f t="array" aca="1" ref="D73" ca="1">IF(OR((D$71&gt;=$BE$11:$BE$38)*(D$4&lt;=$BF$11:$BF$38)&gt;0),$B73,"")</f>
        <v/>
      </c>
      <c r="E73" s="84" t="str">
        <f t="array" aca="1" ref="E73" ca="1">IF(OR((E$71&gt;=$BE$11:$BE$38)*(E$4&lt;=$BF$11:$BF$38)&gt;0),$B73,"")</f>
        <v/>
      </c>
      <c r="F73" s="84" t="str">
        <f t="array" aca="1" ref="F73" ca="1">IF(OR((F$71&gt;=$BE$11:$BE$38)*(F$4&lt;=$BF$11:$BF$38)&gt;0),$B73,"")</f>
        <v/>
      </c>
      <c r="G73" s="84" t="str">
        <f t="array" aca="1" ref="G73" ca="1">IF(OR((G$71&gt;=$BE$11:$BE$38)*(G$4&lt;=$BF$11:$BF$38)&gt;0),$B73,"")</f>
        <v/>
      </c>
      <c r="H73" s="84" t="str">
        <f t="array" aca="1" ref="H73" ca="1">IF(OR((H$71&gt;=$BE$11:$BE$38)*(H$4&lt;=$BF$11:$BF$38)&gt;0),$B73,"")</f>
        <v/>
      </c>
      <c r="I73" s="84" t="str">
        <f t="array" aca="1" ref="I73" ca="1">IF(OR((I$71&gt;=$BE$11:$BE$38)*(I$4&lt;=$BF$11:$BF$38)&gt;0),$B73,"")</f>
        <v/>
      </c>
      <c r="J73" s="84" t="str">
        <f t="array" aca="1" ref="J73" ca="1">IF(OR((J$71&gt;=$BE$11:$BE$38)*(J$4&lt;=$BF$11:$BF$38)&gt;0),$B73,"")</f>
        <v/>
      </c>
      <c r="K73" s="84" t="str">
        <f t="array" aca="1" ref="K73" ca="1">IF(OR((K$71&gt;=$BE$11:$BE$38)*(K$4&lt;=$BF$11:$BF$38)&gt;0),$B73,"")</f>
        <v/>
      </c>
      <c r="L73" s="84"/>
      <c r="M73" s="84"/>
      <c r="N73" s="84" t="str">
        <f t="array" aca="1" ref="N73" ca="1">IF(OR((N$71&gt;=$BE$11:$BE$38)*(N$4&lt;=$BF$11:$BF$38)&gt;0),$B73,"")</f>
        <v/>
      </c>
      <c r="O73" s="84" t="str">
        <f t="array" aca="1" ref="O73" ca="1">IF(OR((O$71&gt;=$BE$11:$BE$38)*(O$4&lt;=$BF$11:$BF$38)&gt;0),$B73,"")</f>
        <v/>
      </c>
      <c r="P73" s="84" t="str">
        <f t="array" aca="1" ref="P73" ca="1">IF(OR((P$71&gt;=$BE$11:$BE$38)*(P$4&lt;=$BF$11:$BF$38)&gt;0),$B73,"")</f>
        <v/>
      </c>
      <c r="Q73" s="84" t="str">
        <f t="array" aca="1" ref="Q73" ca="1">IF(OR((Q$71&gt;=$BE$11:$BE$38)*(Q$4&lt;=$BF$11:$BF$38)&gt;0),$B73,"")</f>
        <v/>
      </c>
      <c r="R73" s="84" t="str">
        <f t="array" aca="1" ref="R73" ca="1">IF(OR((R$71&gt;=$BE$11:$BE$38)*(R$4&lt;=$BF$11:$BF$38)&gt;0),$B73,"")</f>
        <v/>
      </c>
      <c r="S73" s="84" t="str">
        <f t="array" aca="1" ref="S73" ca="1">IF(OR((S$71&gt;=$BE$11:$BE$38)*(S$4&lt;=$BF$11:$BF$38)&gt;0),$B73,"")</f>
        <v/>
      </c>
      <c r="T73" s="84" t="str">
        <f t="array" aca="1" ref="T73" ca="1">IF(OR((T$71&gt;=$BE$11:$BE$38)*(T$4&lt;=$BF$11:$BF$38)&gt;0),$B73,"")</f>
        <v/>
      </c>
      <c r="U73" s="84" t="str">
        <f t="array" aca="1" ref="U73" ca="1">IF(OR((U$71&gt;=$BE$11:$BE$38)*(U$4&lt;=$BF$11:$BF$38)&gt;0),$B73,"")</f>
        <v/>
      </c>
      <c r="V73" s="84" t="str">
        <f t="array" aca="1" ref="V73" ca="1">IF(OR((V$71&gt;=$BE$11:$BE$38)*(V$4&lt;=$BF$11:$BF$38)&gt;0),$B73,"")</f>
        <v/>
      </c>
      <c r="W73" s="84" t="str">
        <f t="array" aca="1" ref="W73" ca="1">IF(OR((W$71&gt;=$BE$11:$BE$38)*(W$4&lt;=$BF$11:$BF$38)&gt;0),$B73,"")</f>
        <v/>
      </c>
      <c r="X73" s="84" t="str">
        <f t="array" aca="1" ref="X73" ca="1">IF(OR((X$71&gt;=$BE$11:$BE$38)*(X$4&lt;=$BF$11:$BF$38)&gt;0),$B73,"")</f>
        <v/>
      </c>
      <c r="Y73" s="84" t="str">
        <f t="array" aca="1" ref="Y73" ca="1">IF(OR((Y$71&gt;=$BE$11:$BE$38)*(Y$4&lt;=$BF$11:$BF$38)&gt;0),$B73,"")</f>
        <v/>
      </c>
      <c r="Z73" s="84" t="str">
        <f t="array" aca="1" ref="Z73" ca="1">IF(OR((Z$71&gt;=$BE$11:$BE$38)*(Z$4&lt;=$BF$11:$BF$38)&gt;0),$B73,"")</f>
        <v/>
      </c>
      <c r="AA73" s="84" t="str">
        <f t="array" aca="1" ref="AA73" ca="1">IF(OR((AA$71&gt;=$BE$11:$BE$38)*(AA$4&lt;=$BF$11:$BF$38)&gt;0),$B73,"")</f>
        <v/>
      </c>
      <c r="AB73" s="84" t="str">
        <f t="array" aca="1" ref="AB73" ca="1">IF(OR((AB$71&gt;=$BE$11:$BE$38)*(AB$4&lt;=$BF$11:$BF$38)&gt;0),$B73,"")</f>
        <v/>
      </c>
      <c r="AC73" s="84" t="str">
        <f t="array" aca="1" ref="AC73" ca="1">IF(OR((AC$71&gt;=$BE$11:$BE$38)*(AC$4&lt;=$BF$11:$BF$38)&gt;0),$B73,"")</f>
        <v/>
      </c>
      <c r="AD73" s="84" t="str">
        <f t="array" aca="1" ref="AD73" ca="1">IF(OR((AD$71&gt;=$BE$11:$BE$38)*(AD$4&lt;=$BF$11:$BF$38)&gt;0),$B73,"")</f>
        <v/>
      </c>
      <c r="AE73" s="84" t="str">
        <f t="array" aca="1" ref="AE73" ca="1">IF(OR((AE$71&gt;=$BE$11:$BE$38)*(AE$4&lt;=$BF$11:$BF$38)&gt;0),$B73,"")</f>
        <v/>
      </c>
      <c r="AF73" s="84" t="str">
        <f t="array" aca="1" ref="AF73" ca="1">IF(OR((AF$71&gt;=$BE$11:$BE$38)*(AF$4&lt;=$BF$11:$BF$38)&gt;0),$B73,"")</f>
        <v/>
      </c>
      <c r="AG73" s="84" t="str">
        <f t="array" aca="1" ref="AG73" ca="1">IF(OR((AG$71&gt;=$BE$11:$BE$38)*(AG$4&lt;=$BF$11:$BF$38)&gt;0),$B73,"")</f>
        <v/>
      </c>
      <c r="AH73" s="84" t="str">
        <f t="array" aca="1" ref="AH73" ca="1">IF(OR((AH$71&gt;=$BE$11:$BE$38)*(AH$4&lt;=$BF$11:$BF$38)&gt;0),$B73,"")</f>
        <v/>
      </c>
      <c r="AI73" s="84" t="str">
        <f t="array" aca="1" ref="AI73" ca="1">IF(OR((AI$71&gt;=$BE$11:$BE$38)*(AI$4&lt;=$BF$11:$BF$38)&gt;0),$B73,"")</f>
        <v/>
      </c>
    </row>
    <row r="74" spans="1:58" ht="16.5" customHeight="1">
      <c r="A74" s="75" t="s">
        <v>212</v>
      </c>
      <c r="B74" s="16">
        <v>0</v>
      </c>
      <c r="C74" s="84" t="str">
        <f t="array" aca="1" ref="C74" ca="1">IF(OR((C$71&gt;=$BE$11:$BE$38)*(C$4&lt;=$BF$11:$BF$38)&gt;0),$B74,"")</f>
        <v/>
      </c>
      <c r="D74" s="84" t="str">
        <f t="array" aca="1" ref="D74" ca="1">IF(OR((D$71&gt;=$BE$11:$BE$38)*(D$4&lt;=$BF$11:$BF$38)&gt;0),$B74,"")</f>
        <v/>
      </c>
      <c r="E74" s="84" t="str">
        <f t="array" aca="1" ref="E74" ca="1">IF(OR((E$71&gt;=$BE$11:$BE$38)*(E$4&lt;=$BF$11:$BF$38)&gt;0),$B74,"")</f>
        <v/>
      </c>
      <c r="F74" s="84" t="str">
        <f t="array" aca="1" ref="F74" ca="1">IF(OR((F$71&gt;=$BE$11:$BE$38)*(F$4&lt;=$BF$11:$BF$38)&gt;0),$B74,"")</f>
        <v/>
      </c>
      <c r="G74" s="84" t="str">
        <f t="array" aca="1" ref="G74" ca="1">IF(OR((G$71&gt;=$BE$11:$BE$38)*(G$4&lt;=$BF$11:$BF$38)&gt;0),$B74,"")</f>
        <v/>
      </c>
      <c r="H74" s="84" t="str">
        <f t="array" aca="1" ref="H74" ca="1">IF(OR((H$71&gt;=$BE$11:$BE$38)*(H$4&lt;=$BF$11:$BF$38)&gt;0),$B74,"")</f>
        <v/>
      </c>
      <c r="I74" s="84" t="str">
        <f t="array" aca="1" ref="I74" ca="1">IF(OR((I$71&gt;=$BE$11:$BE$38)*(I$4&lt;=$BF$11:$BF$38)&gt;0),$B74,"")</f>
        <v/>
      </c>
      <c r="J74" s="84" t="str">
        <f t="array" aca="1" ref="J74" ca="1">IF(OR((J$71&gt;=$BE$11:$BE$38)*(J$4&lt;=$BF$11:$BF$38)&gt;0),$B74,"")</f>
        <v/>
      </c>
      <c r="K74" s="84" t="str">
        <f t="array" aca="1" ref="K74" ca="1">IF(OR((K$71&gt;=$BE$11:$BE$38)*(K$4&lt;=$BF$11:$BF$38)&gt;0),$B74,"")</f>
        <v/>
      </c>
      <c r="L74" s="84" t="str">
        <f t="array" aca="1" ref="L74" ca="1">IF(OR((L$71&gt;=$BE$11:$BE$38)*(L$4&lt;=$BF$11:$BF$38)&gt;0),$B74,"")</f>
        <v/>
      </c>
      <c r="M74" s="84" t="str">
        <f t="array" aca="1" ref="M74" ca="1">IF(OR((M$71&gt;=$BE$11:$BE$38)*(M$4&lt;=$BF$11:$BF$38)&gt;0),$B74,"")</f>
        <v/>
      </c>
      <c r="N74" s="84" t="str">
        <f t="array" aca="1" ref="N74" ca="1">IF(OR((N$71&gt;=$BE$11:$BE$38)*(N$4&lt;=$BF$11:$BF$38)&gt;0),$B74,"")</f>
        <v/>
      </c>
      <c r="O74" s="84" t="str">
        <f t="array" aca="1" ref="O74" ca="1">IF(OR((O$71&gt;=$BE$11:$BE$38)*(O$4&lt;=$BF$11:$BF$38)&gt;0),$B74,"")</f>
        <v/>
      </c>
      <c r="P74" s="84" t="str">
        <f t="array" aca="1" ref="P74" ca="1">IF(OR((P$71&gt;=$BE$11:$BE$38)*(P$4&lt;=$BF$11:$BF$38)&gt;0),$B74,"")</f>
        <v/>
      </c>
      <c r="Q74" s="84" t="str">
        <f t="array" aca="1" ref="Q74" ca="1">IF(OR((Q$71&gt;=$BE$11:$BE$38)*(Q$4&lt;=$BF$11:$BF$38)&gt;0),$B74,"")</f>
        <v/>
      </c>
      <c r="R74" s="84" t="str">
        <f t="array" aca="1" ref="R74" ca="1">IF(OR((R$71&gt;=$BE$11:$BE$38)*(R$4&lt;=$BF$11:$BF$38)&gt;0),$B74,"")</f>
        <v/>
      </c>
      <c r="S74" s="84" t="str">
        <f t="array" aca="1" ref="S74" ca="1">IF(OR((S$71&gt;=$BE$11:$BE$38)*(S$4&lt;=$BF$11:$BF$38)&gt;0),$B74,"")</f>
        <v/>
      </c>
      <c r="T74" s="84" t="str">
        <f t="array" aca="1" ref="T74" ca="1">IF(OR((T$71&gt;=$BE$11:$BE$38)*(T$4&lt;=$BF$11:$BF$38)&gt;0),$B74,"")</f>
        <v/>
      </c>
      <c r="U74" s="84" t="str">
        <f t="array" aca="1" ref="U74" ca="1">IF(OR((U$71&gt;=$BE$11:$BE$38)*(U$4&lt;=$BF$11:$BF$38)&gt;0),$B74,"")</f>
        <v/>
      </c>
      <c r="V74" s="84" t="str">
        <f t="array" aca="1" ref="V74" ca="1">IF(OR((V$71&gt;=$BE$11:$BE$38)*(V$4&lt;=$BF$11:$BF$38)&gt;0),$B74,"")</f>
        <v/>
      </c>
      <c r="W74" s="84" t="str">
        <f t="array" aca="1" ref="W74" ca="1">IF(OR((W$71&gt;=$BE$11:$BE$38)*(W$4&lt;=$BF$11:$BF$38)&gt;0),$B74,"")</f>
        <v/>
      </c>
      <c r="X74" s="84" t="str">
        <f t="array" aca="1" ref="X74" ca="1">IF(OR((X$71&gt;=$BE$11:$BE$38)*(X$4&lt;=$BF$11:$BF$38)&gt;0),$B74,"")</f>
        <v/>
      </c>
      <c r="Y74" s="84" t="str">
        <f t="array" aca="1" ref="Y74" ca="1">IF(OR((Y$71&gt;=$BE$11:$BE$38)*(Y$4&lt;=$BF$11:$BF$38)&gt;0),$B74,"")</f>
        <v/>
      </c>
      <c r="Z74" s="84" t="str">
        <f t="array" aca="1" ref="Z74" ca="1">IF(OR((Z$71&gt;=$BE$11:$BE$38)*(Z$4&lt;=$BF$11:$BF$38)&gt;0),$B74,"")</f>
        <v/>
      </c>
      <c r="AA74" s="84" t="str">
        <f t="array" aca="1" ref="AA74" ca="1">IF(OR((AA$71&gt;=$BE$11:$BE$38)*(AA$4&lt;=$BF$11:$BF$38)&gt;0),$B74,"")</f>
        <v/>
      </c>
      <c r="AB74" s="84" t="str">
        <f t="array" aca="1" ref="AB74" ca="1">IF(OR((AB$71&gt;=$BE$11:$BE$38)*(AB$4&lt;=$BF$11:$BF$38)&gt;0),$B74,"")</f>
        <v/>
      </c>
      <c r="AC74" s="84" t="str">
        <f t="array" aca="1" ref="AC74" ca="1">IF(OR((AC$71&gt;=$BE$11:$BE$38)*(AC$4&lt;=$BF$11:$BF$38)&gt;0),$B74,"")</f>
        <v/>
      </c>
      <c r="AD74" s="84" t="str">
        <f t="array" aca="1" ref="AD74" ca="1">IF(OR((AD$71&gt;=$BE$11:$BE$38)*(AD$4&lt;=$BF$11:$BF$38)&gt;0),$B74,"")</f>
        <v/>
      </c>
      <c r="AE74" s="84" t="str">
        <f t="array" aca="1" ref="AE74" ca="1">IF(OR((AE$71&gt;=$BE$11:$BE$38)*(AE$4&lt;=$BF$11:$BF$38)&gt;0),$B74,"")</f>
        <v/>
      </c>
      <c r="AF74" s="84" t="str">
        <f t="array" aca="1" ref="AF74" ca="1">IF(OR((AF$71&gt;=$BE$11:$BE$38)*(AF$4&lt;=$BF$11:$BF$38)&gt;0),$B74,"")</f>
        <v/>
      </c>
      <c r="AG74" s="84" t="str">
        <f t="array" aca="1" ref="AG74" ca="1">IF(OR((AG$71&gt;=$BE$11:$BE$38)*(AG$4&lt;=$BF$11:$BF$38)&gt;0),$B74,"")</f>
        <v/>
      </c>
      <c r="AH74" s="84" t="str">
        <f t="array" aca="1" ref="AH74" ca="1">IF(OR((AH$71&gt;=$BE$11:$BE$38)*(AH$4&lt;=$BF$11:$BF$38)&gt;0),$B74,"")</f>
        <v/>
      </c>
      <c r="AI74" s="84" t="str">
        <f t="array" aca="1" ref="AI74" ca="1">IF(OR((AI$71&gt;=$BE$11:$BE$38)*(AI$4&lt;=$BF$11:$BF$38)&gt;0),$B74,"")</f>
        <v/>
      </c>
    </row>
    <row r="75" spans="1:58">
      <c r="A75" s="75" t="s">
        <v>213</v>
      </c>
      <c r="B75" s="16">
        <v>0</v>
      </c>
      <c r="C75" s="84" t="str">
        <f t="array" aca="1" ref="C75" ca="1">IF(OR((C$71&gt;=$BE$11:$BE$38)*(C$4&lt;=$BF$11:$BF$38)&gt;0),$B75,"")</f>
        <v/>
      </c>
      <c r="D75" s="84" t="str">
        <f t="array" aca="1" ref="D75" ca="1">IF(OR((D$71&gt;=$BE$11:$BE$38)*(D$4&lt;=$BF$11:$BF$38)&gt;0),$B75,"")</f>
        <v/>
      </c>
      <c r="E75" s="84" t="str">
        <f t="array" aca="1" ref="E75" ca="1">IF(OR((E$71&gt;=$BE$11:$BE$38)*(E$4&lt;=$BF$11:$BF$38)&gt;0),$B75,"")</f>
        <v/>
      </c>
      <c r="F75" s="84" t="str">
        <f t="array" aca="1" ref="F75" ca="1">IF(OR((F$71&gt;=$BE$11:$BE$38)*(F$4&lt;=$BF$11:$BF$38)&gt;0),$B75,"")</f>
        <v/>
      </c>
      <c r="G75" s="84" t="str">
        <f t="array" aca="1" ref="G75" ca="1">IF(OR((G$71&gt;=$BE$11:$BE$38)*(G$4&lt;=$BF$11:$BF$38)&gt;0),$B75,"")</f>
        <v/>
      </c>
      <c r="H75" s="84" t="str">
        <f t="array" aca="1" ref="H75" ca="1">IF(OR((H$71&gt;=$BE$11:$BE$38)*(H$4&lt;=$BF$11:$BF$38)&gt;0),$B75,"")</f>
        <v/>
      </c>
      <c r="I75" s="84" t="str">
        <f t="array" aca="1" ref="I75" ca="1">IF(OR((I$71&gt;=$BE$11:$BE$38)*(I$4&lt;=$BF$11:$BF$38)&gt;0),$B75,"")</f>
        <v/>
      </c>
      <c r="J75" s="84" t="str">
        <f t="array" aca="1" ref="J75" ca="1">IF(OR((J$71&gt;=$BE$11:$BE$38)*(J$4&lt;=$BF$11:$BF$38)&gt;0),$B75,"")</f>
        <v/>
      </c>
      <c r="K75" s="84" t="str">
        <f t="array" aca="1" ref="K75" ca="1">IF(OR((K$71&gt;=$BE$11:$BE$38)*(K$4&lt;=$BF$11:$BF$38)&gt;0),$B75,"")</f>
        <v/>
      </c>
      <c r="L75" s="84" t="str">
        <f t="array" aca="1" ref="L75" ca="1">IF(OR((L$71&gt;=$BE$11:$BE$38)*(L$4&lt;=$BF$11:$BF$38)&gt;0),$B75,"")</f>
        <v/>
      </c>
      <c r="M75" s="84" t="str">
        <f t="array" aca="1" ref="M75" ca="1">IF(OR((M$71&gt;=$BE$11:$BE$38)*(M$4&lt;=$BF$11:$BF$38)&gt;0),$B75,"")</f>
        <v/>
      </c>
      <c r="N75" s="84" t="str">
        <f t="array" aca="1" ref="N75" ca="1">IF(OR((N$71&gt;=$BE$11:$BE$38)*(N$4&lt;=$BF$11:$BF$38)&gt;0),$B75,"")</f>
        <v/>
      </c>
      <c r="O75" s="84" t="str">
        <f t="array" aca="1" ref="O75" ca="1">IF(OR((O$71&gt;=$BE$11:$BE$38)*(O$4&lt;=$BF$11:$BF$38)&gt;0),$B75,"")</f>
        <v/>
      </c>
      <c r="P75" s="84" t="str">
        <f t="array" aca="1" ref="P75" ca="1">IF(OR((P$71&gt;=$BE$11:$BE$38)*(P$4&lt;=$BF$11:$BF$38)&gt;0),$B75,"")</f>
        <v/>
      </c>
      <c r="Q75" s="84" t="str">
        <f t="array" aca="1" ref="Q75" ca="1">IF(OR((Q$71&gt;=$BE$11:$BE$38)*(Q$4&lt;=$BF$11:$BF$38)&gt;0),$B75,"")</f>
        <v/>
      </c>
      <c r="R75" s="84" t="str">
        <f t="array" aca="1" ref="R75" ca="1">IF(OR((R$71&gt;=$BE$11:$BE$38)*(R$4&lt;=$BF$11:$BF$38)&gt;0),$B75,"")</f>
        <v/>
      </c>
      <c r="S75" s="84" t="str">
        <f t="array" aca="1" ref="S75" ca="1">IF(OR((S$71&gt;=$BE$11:$BE$38)*(S$4&lt;=$BF$11:$BF$38)&gt;0),$B75,"")</f>
        <v/>
      </c>
      <c r="T75" s="84" t="str">
        <f t="array" aca="1" ref="T75" ca="1">IF(OR((T$71&gt;=$BE$11:$BE$38)*(T$4&lt;=$BF$11:$BF$38)&gt;0),$B75,"")</f>
        <v/>
      </c>
      <c r="U75" s="84" t="str">
        <f t="array" aca="1" ref="U75" ca="1">IF(OR((U$71&gt;=$BE$11:$BE$38)*(U$4&lt;=$BF$11:$BF$38)&gt;0),$B75,"")</f>
        <v/>
      </c>
      <c r="V75" s="84" t="str">
        <f t="array" aca="1" ref="V75" ca="1">IF(OR((V$71&gt;=$BE$11:$BE$38)*(V$4&lt;=$BF$11:$BF$38)&gt;0),$B75,"")</f>
        <v/>
      </c>
      <c r="W75" s="84" t="str">
        <f t="array" aca="1" ref="W75" ca="1">IF(OR((W$71&gt;=$BE$11:$BE$38)*(W$4&lt;=$BF$11:$BF$38)&gt;0),$B75,"")</f>
        <v/>
      </c>
      <c r="X75" s="84" t="str">
        <f t="array" aca="1" ref="X75" ca="1">IF(OR((X$71&gt;=$BE$11:$BE$38)*(X$4&lt;=$BF$11:$BF$38)&gt;0),$B75,"")</f>
        <v/>
      </c>
      <c r="Y75" s="84" t="str">
        <f t="array" aca="1" ref="Y75" ca="1">IF(OR((Y$71&gt;=$BE$11:$BE$38)*(Y$4&lt;=$BF$11:$BF$38)&gt;0),$B75,"")</f>
        <v/>
      </c>
      <c r="Z75" s="84" t="str">
        <f t="array" aca="1" ref="Z75" ca="1">IF(OR((Z$71&gt;=$BE$11:$BE$38)*(Z$4&lt;=$BF$11:$BF$38)&gt;0),$B75,"")</f>
        <v/>
      </c>
      <c r="AA75" s="84" t="str">
        <f t="array" aca="1" ref="AA75" ca="1">IF(OR((AA$71&gt;=$BE$11:$BE$38)*(AA$4&lt;=$BF$11:$BF$38)&gt;0),$B75,"")</f>
        <v/>
      </c>
      <c r="AB75" s="84" t="str">
        <f t="array" aca="1" ref="AB75" ca="1">IF(OR((AB$71&gt;=$BE$11:$BE$38)*(AB$4&lt;=$BF$11:$BF$38)&gt;0),$B75,"")</f>
        <v/>
      </c>
      <c r="AC75" s="84" t="str">
        <f t="array" aca="1" ref="AC75" ca="1">IF(OR((AC$71&gt;=$BE$11:$BE$38)*(AC$4&lt;=$BF$11:$BF$38)&gt;0),$B75,"")</f>
        <v/>
      </c>
      <c r="AD75" s="84" t="str">
        <f t="array" aca="1" ref="AD75" ca="1">IF(OR((AD$71&gt;=$BE$11:$BE$38)*(AD$4&lt;=$BF$11:$BF$38)&gt;0),$B75,"")</f>
        <v/>
      </c>
      <c r="AE75" s="84" t="str">
        <f t="array" aca="1" ref="AE75" ca="1">IF(OR((AE$71&gt;=$BE$11:$BE$38)*(AE$4&lt;=$BF$11:$BF$38)&gt;0),$B75,"")</f>
        <v/>
      </c>
      <c r="AF75" s="84" t="str">
        <f t="array" aca="1" ref="AF75" ca="1">IF(OR((AF$71&gt;=$BE$11:$BE$38)*(AF$4&lt;=$BF$11:$BF$38)&gt;0),$B75,"")</f>
        <v/>
      </c>
      <c r="AG75" s="84" t="str">
        <f t="array" aca="1" ref="AG75" ca="1">IF(OR((AG$71&gt;=$BE$11:$BE$38)*(AG$4&lt;=$BF$11:$BF$38)&gt;0),$B75,"")</f>
        <v/>
      </c>
      <c r="AH75" s="84" t="str">
        <f t="array" aca="1" ref="AH75" ca="1">IF(OR((AH$71&gt;=$BE$11:$BE$38)*(AH$4&lt;=$BF$11:$BF$38)&gt;0),$B75,"")</f>
        <v/>
      </c>
      <c r="AI75" s="84" t="str">
        <f t="array" aca="1" ref="AI75" ca="1">IF(OR((AI$71&gt;=$BE$11:$BE$38)*(AI$4&lt;=$BF$11:$BF$38)&gt;0),$B75,"")</f>
        <v/>
      </c>
    </row>
    <row r="76" spans="1:58" s="55" customFormat="1">
      <c r="B76" s="56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</row>
    <row r="77" spans="1:58">
      <c r="A77" s="7" t="s">
        <v>9</v>
      </c>
      <c r="B77" s="1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M77" t="s">
        <v>151</v>
      </c>
      <c r="AN77" t="s">
        <v>152</v>
      </c>
      <c r="AO77" t="s">
        <v>153</v>
      </c>
      <c r="AP77" t="s">
        <v>151</v>
      </c>
      <c r="AQ77" t="s">
        <v>152</v>
      </c>
      <c r="AR77" t="s">
        <v>153</v>
      </c>
      <c r="AS77" t="s">
        <v>152</v>
      </c>
      <c r="AT77" t="s">
        <v>153</v>
      </c>
      <c r="AU77" t="s">
        <v>152</v>
      </c>
      <c r="AV77" t="s">
        <v>153</v>
      </c>
      <c r="AW77" t="s">
        <v>152</v>
      </c>
      <c r="AX77" t="s">
        <v>153</v>
      </c>
      <c r="AY77" t="s">
        <v>152</v>
      </c>
      <c r="AZ77" t="s">
        <v>153</v>
      </c>
      <c r="BA77" t="s">
        <v>152</v>
      </c>
      <c r="BB77" t="s">
        <v>153</v>
      </c>
      <c r="BC77" t="s">
        <v>152</v>
      </c>
      <c r="BD77" t="s">
        <v>153</v>
      </c>
      <c r="BE77" t="s">
        <v>152</v>
      </c>
      <c r="BF77" t="s">
        <v>153</v>
      </c>
    </row>
    <row r="78" spans="1:58">
      <c r="A78" s="75"/>
      <c r="B78" s="11" t="s">
        <v>154</v>
      </c>
      <c r="C78" s="112">
        <f>EOMONTH($A$1,-1)</f>
        <v>46112</v>
      </c>
      <c r="D78" s="112">
        <f t="shared" ref="D78:AI78" si="7">C78+1</f>
        <v>46113</v>
      </c>
      <c r="E78" s="112">
        <f t="shared" si="7"/>
        <v>46114</v>
      </c>
      <c r="F78" s="112">
        <f t="shared" si="7"/>
        <v>46115</v>
      </c>
      <c r="G78" s="112">
        <f t="shared" si="7"/>
        <v>46116</v>
      </c>
      <c r="H78" s="112">
        <f t="shared" si="7"/>
        <v>46117</v>
      </c>
      <c r="I78" s="112">
        <f t="shared" si="7"/>
        <v>46118</v>
      </c>
      <c r="J78" s="112">
        <f t="shared" si="7"/>
        <v>46119</v>
      </c>
      <c r="K78" s="112">
        <f t="shared" si="7"/>
        <v>46120</v>
      </c>
      <c r="L78" s="112">
        <f t="shared" si="7"/>
        <v>46121</v>
      </c>
      <c r="M78" s="112">
        <f t="shared" si="7"/>
        <v>46122</v>
      </c>
      <c r="N78" s="112">
        <f t="shared" si="7"/>
        <v>46123</v>
      </c>
      <c r="O78" s="112">
        <f t="shared" si="7"/>
        <v>46124</v>
      </c>
      <c r="P78" s="112">
        <f t="shared" si="7"/>
        <v>46125</v>
      </c>
      <c r="Q78" s="112">
        <f t="shared" si="7"/>
        <v>46126</v>
      </c>
      <c r="R78" s="112">
        <f t="shared" si="7"/>
        <v>46127</v>
      </c>
      <c r="S78" s="112">
        <f t="shared" si="7"/>
        <v>46128</v>
      </c>
      <c r="T78" s="112">
        <f t="shared" si="7"/>
        <v>46129</v>
      </c>
      <c r="U78" s="112">
        <f t="shared" si="7"/>
        <v>46130</v>
      </c>
      <c r="V78" s="112">
        <f t="shared" si="7"/>
        <v>46131</v>
      </c>
      <c r="W78" s="112">
        <f t="shared" si="7"/>
        <v>46132</v>
      </c>
      <c r="X78" s="112">
        <f t="shared" si="7"/>
        <v>46133</v>
      </c>
      <c r="Y78" s="112">
        <f t="shared" si="7"/>
        <v>46134</v>
      </c>
      <c r="Z78" s="112">
        <f t="shared" si="7"/>
        <v>46135</v>
      </c>
      <c r="AA78" s="112">
        <f t="shared" si="7"/>
        <v>46136</v>
      </c>
      <c r="AB78" s="112">
        <f t="shared" si="7"/>
        <v>46137</v>
      </c>
      <c r="AC78" s="112">
        <f t="shared" si="7"/>
        <v>46138</v>
      </c>
      <c r="AD78" s="112">
        <f t="shared" si="7"/>
        <v>46139</v>
      </c>
      <c r="AE78" s="112">
        <f t="shared" si="7"/>
        <v>46140</v>
      </c>
      <c r="AF78" s="112">
        <f t="shared" si="7"/>
        <v>46141</v>
      </c>
      <c r="AG78" s="112">
        <f t="shared" si="7"/>
        <v>46142</v>
      </c>
      <c r="AH78" s="112">
        <f t="shared" si="7"/>
        <v>46143</v>
      </c>
      <c r="AI78" s="112">
        <f t="shared" si="7"/>
        <v>46144</v>
      </c>
      <c r="AL78">
        <v>1</v>
      </c>
      <c r="AM78" t="str">
        <f t="array" aca="1" ref="AM78" ca="1">IFERROR(OFFSET('[1](Fill In) SIAO'!$A$1,SMALL(IF(Signals="Y",ROW(Signals)),AL78)-1,COLUMN(Conducts)-1),"")</f>
        <v/>
      </c>
      <c r="AN78" s="113" t="str">
        <f t="array" aca="1" ref="AN78" ca="1">IFERROR(OFFSET('[1](Fill In) SIAO'!$A$1,SMALL(IF(Signals="Y",ROW(Signals)),AL78)-1,COLUMN(StartDate)-1),"")</f>
        <v/>
      </c>
      <c r="AO78" s="113" t="str">
        <f t="array" aca="1" ref="AO78" ca="1">IFERROR(OFFSET('[1](Fill In) SIAO'!$A$1,SMALL(IF(Signals="Y",ROW(Signals)),AL78)-1,COLUMN(EndDate)-1),"")</f>
        <v/>
      </c>
      <c r="AP78" s="113" t="str">
        <f t="array" aca="1" ref="AP78" ca="1">IFERROR(OFFSET('[1](Fill In) SIAO'!$A$1,SMALL(IF(Optics="Y",ROW(Optics)),AL78)-1,COLUMN(Conducts)-1),"")</f>
        <v/>
      </c>
      <c r="AQ78" s="113" t="str">
        <f t="array" aca="1" ref="AQ78" ca="1">IFERROR(OFFSET('[1](Fill In) SIAO'!$A$1,SMALL(IF(Optics="Y",ROW(Optics)),AL78)-1,COLUMN(StartDate)-1),"")</f>
        <v/>
      </c>
      <c r="AR78" s="113" t="str">
        <f t="array" aca="1" ref="AR78" ca="1">IFERROR(OFFSET('[1](Fill In) SIAO'!$A$1,SMALL(IF(Optics="Y",ROW(Optics)),AL78)-1,COLUMN(EndDate)-1),"")</f>
        <v/>
      </c>
      <c r="AS78" s="113" t="str">
        <f t="array" aca="1" ref="AS78" ca="1">IFERROR(OFFSET('[1](Fill In) SIAO'!$A$1,SMALL(IF(ATMS="Y",ROW(ATMS)),AL78)-1,COLUMN(StartDate)-1),"")</f>
        <v/>
      </c>
      <c r="AT78" s="113" t="str">
        <f t="array" aca="1" ref="AT78" ca="1">IFERROR(OFFSET('[1](Fill In) SIAO'!$A$1,SMALL(IF(ATMS="Y",ROW(ATMS)),AL78)-1,COLUMN(EndDate)-1),"")</f>
        <v/>
      </c>
      <c r="AU78" s="113" t="str">
        <f t="array" aca="1" ref="AU78" ca="1">IFERROR(OFFSET('[1](Fill In) SIAO'!$A$1,SMALL(IF(UO="Y",ROW(UO)),AL78)-1,COLUMN(StartDate)-1),"")</f>
        <v/>
      </c>
      <c r="AV78" s="113" t="str">
        <f t="array" aca="1" ref="AV78" ca="1">IFERROR(OFFSET('[1](Fill In) SIAO'!$A$1,SMALL(IF(UO="Y",ROW(UO)),AL78)-1,COLUMN(EndDate)-1),"")</f>
        <v/>
      </c>
      <c r="AW78" s="113" t="str">
        <f t="array" aca="1" ref="AW78" ca="1">IFERROR(OFFSET('[1](Fill In) SIAO'!$A$1,SMALL(IF(HLT="Y",ROW(HLT)),AL78)-1,COLUMN(StartDate)-1),"")</f>
        <v/>
      </c>
      <c r="AX78" s="113" t="str">
        <f t="array" aca="1" ref="AX78" ca="1">IFERROR(OFFSET('[1](Fill In) SIAO'!$A$1,SMALL(IF(HLT="Y",ROW(HLT)),AL78)-1,COLUMN(EndDate)-1),"")</f>
        <v/>
      </c>
      <c r="AY78" s="113" t="str">
        <f t="array" aca="1" ref="AY78" ca="1">IFERROR(OFFSET('[1](Fill In) SIAO'!$A$1,SMALL(IF(PANTES="Y",ROW(PANTES)),AL78)-1,COLUMN(StartDate)-1),"")</f>
        <v/>
      </c>
      <c r="AZ78" s="113" t="str">
        <f t="array" aca="1" ref="AZ78" ca="1">IFERROR(OFFSET('[1](Fill In) SIAO'!$A$1,SMALL(IF(PANTES="Y",ROW(PANTES)),AL78)-1,COLUMN(EndDate)-1),"")</f>
        <v/>
      </c>
      <c r="BA78" s="113" t="str">
        <f t="array" aca="1" ref="BA78" ca="1">IFERROR(OFFSET('[1](Fill In) SIAO'!$A$1,SMALL(IF(Heli="Y",ROW(Heli)),AL78)-1,COLUMN(StartDate)-1),"")</f>
        <v/>
      </c>
      <c r="BB78" s="113" t="str">
        <f t="array" aca="1" ref="BB78" ca="1">IFERROR(OFFSET('[1](Fill In) SIAO'!$A$1,SMALL(IF(Heli="Y",ROW(Heli)),AL78)-1,COLUMN(EndDate)-1),"")</f>
        <v/>
      </c>
      <c r="BC78" s="113" t="str">
        <f t="array" aca="1" ref="BC78" ca="1">IFERROR(OFFSET('[1](Fill In) SIAO'!$A$1,SMALL(IF(MMR="Y",ROW(MMR)),AL78)-1,COLUMN(StartDate)-1),"")</f>
        <v/>
      </c>
      <c r="BD78" s="113" t="str">
        <f t="array" aca="1" ref="BD78" ca="1">IFERROR(OFFSET('[1](Fill In) SIAO'!$A$1,SMALL(IF(MMR="Y",ROW(MMR)),AL78)-1,COLUMN(EndDate)-1),"")</f>
        <v/>
      </c>
      <c r="BE78" s="113" t="str">
        <f t="array" aca="1" ref="BE78" ca="1">IFERROR(OFFSET('[1](Fill In) SIAO'!$A$1,SMALL(IF(POL="Y",ROW(POL)),AL78)-1,COLUMN(StartDate)-1),"")</f>
        <v/>
      </c>
      <c r="BF78" s="113" t="str">
        <f t="array" aca="1" ref="BF78" ca="1">IFERROR(OFFSET('[1](Fill In) SIAO'!$A$1,SMALL(IF(POL="Y",ROW(POL)),AL78)-1,COLUMN(EndDate)-1),"")</f>
        <v/>
      </c>
    </row>
    <row r="79" spans="1:58">
      <c r="A79" s="75" t="s">
        <v>217</v>
      </c>
      <c r="B79" s="74"/>
      <c r="C79" s="84" t="str">
        <f t="array" aca="1" ref="C79" ca="1">IF(OR((C$71&gt;=$BE$11:$BE$38)*(C$4&lt;=$BF$11:$BF$38)&gt;0),$B79,"")</f>
        <v/>
      </c>
      <c r="D79" s="84">
        <v>6</v>
      </c>
      <c r="E79" s="84">
        <v>6</v>
      </c>
      <c r="F79" s="84">
        <v>6</v>
      </c>
      <c r="G79" s="84">
        <v>6</v>
      </c>
      <c r="H79" s="84">
        <v>6</v>
      </c>
      <c r="I79" s="84">
        <v>6</v>
      </c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L79">
        <v>2</v>
      </c>
      <c r="AM79" t="str">
        <f t="array" aca="1" ref="AM79" ca="1">IFERROR(OFFSET('[1](Fill In) SIAO'!$A$1,SMALL(IF(Signals="Y",ROW(Signals)),AL79)-1,COLUMN(Conducts)-1),"")</f>
        <v/>
      </c>
      <c r="AN79" s="113" t="str">
        <f t="array" aca="1" ref="AN79" ca="1">IFERROR(OFFSET('[1](Fill In) SIAO'!$A$1,SMALL(IF(Signals="Y",ROW(Signals)),AL79)-1,COLUMN(StartDate)-1),"")</f>
        <v/>
      </c>
      <c r="AO79" s="113" t="str">
        <f t="array" aca="1" ref="AO79" ca="1">IFERROR(OFFSET('[1](Fill In) SIAO'!$A$1,SMALL(IF(Signals="Y",ROW(Signals)),AL79)-1,COLUMN(EndDate)-1),"")</f>
        <v/>
      </c>
      <c r="AP79" s="113" t="str">
        <f t="array" aca="1" ref="AP79" ca="1">IFERROR(OFFSET('[1](Fill In) SIAO'!$A$1,SMALL(IF(Optics="Y",ROW(Optics)),AL79)-1,COLUMN(Conducts)-1),"")</f>
        <v/>
      </c>
      <c r="AQ79" s="113" t="str">
        <f t="array" aca="1" ref="AQ79" ca="1">IFERROR(OFFSET('[1](Fill In) SIAO'!$A$1,SMALL(IF(Optics="Y",ROW(Optics)),AL79)-1,COLUMN(StartDate)-1),"")</f>
        <v/>
      </c>
      <c r="AR79" s="113" t="str">
        <f t="array" aca="1" ref="AR79" ca="1">IFERROR(OFFSET('[1](Fill In) SIAO'!$A$1,SMALL(IF(Optics="Y",ROW(Optics)),AL79)-1,COLUMN(EndDate)-1),"")</f>
        <v/>
      </c>
      <c r="AS79" s="113" t="str">
        <f t="array" aca="1" ref="AS79" ca="1">IFERROR(OFFSET('[1](Fill In) SIAO'!$A$1,SMALL(IF(ATMS="Y",ROW(ATMS)),AL79)-1,COLUMN(StartDate)-1),"")</f>
        <v/>
      </c>
      <c r="AT79" s="113" t="str">
        <f t="array" aca="1" ref="AT79" ca="1">IFERROR(OFFSET('[1](Fill In) SIAO'!$A$1,SMALL(IF(ATMS="Y",ROW(ATMS)),AL79)-1,COLUMN(EndDate)-1),"")</f>
        <v/>
      </c>
      <c r="AU79" s="113" t="str">
        <f t="array" aca="1" ref="AU79" ca="1">IFERROR(OFFSET('[1](Fill In) SIAO'!$A$1,SMALL(IF(UO="Y",ROW(UO)),AL79)-1,COLUMN(StartDate)-1),"")</f>
        <v/>
      </c>
      <c r="AV79" s="113" t="str">
        <f t="array" aca="1" ref="AV79" ca="1">IFERROR(OFFSET('[1](Fill In) SIAO'!$A$1,SMALL(IF(UO="Y",ROW(UO)),AL79)-1,COLUMN(EndDate)-1),"")</f>
        <v/>
      </c>
      <c r="AW79" s="113" t="str">
        <f t="array" aca="1" ref="AW79" ca="1">IFERROR(OFFSET('[1](Fill In) SIAO'!$A$1,SMALL(IF(HLT="Y",ROW(HLT)),AL79)-1,COLUMN(StartDate)-1),"")</f>
        <v/>
      </c>
      <c r="AX79" s="113" t="str">
        <f t="array" aca="1" ref="AX79" ca="1">IFERROR(OFFSET('[1](Fill In) SIAO'!$A$1,SMALL(IF(HLT="Y",ROW(HLT)),AL79)-1,COLUMN(EndDate)-1),"")</f>
        <v/>
      </c>
      <c r="AY79" s="113" t="str">
        <f t="array" aca="1" ref="AY79" ca="1">IFERROR(OFFSET('[1](Fill In) SIAO'!$A$1,SMALL(IF(PANTES="Y",ROW(PANTES)),AL79)-1,COLUMN(StartDate)-1),"")</f>
        <v/>
      </c>
      <c r="AZ79" s="113" t="str">
        <f t="array" aca="1" ref="AZ79" ca="1">IFERROR(OFFSET('[1](Fill In) SIAO'!$A$1,SMALL(IF(PANTES="Y",ROW(PANTES)),AL79)-1,COLUMN(EndDate)-1),"")</f>
        <v/>
      </c>
      <c r="BA79" s="113" t="str">
        <f t="array" aca="1" ref="BA79" ca="1">IFERROR(OFFSET('[1](Fill In) SIAO'!$A$1,SMALL(IF(Heli="Y",ROW(Heli)),AL79)-1,COLUMN(StartDate)-1),"")</f>
        <v/>
      </c>
      <c r="BB79" s="113" t="str">
        <f t="array" aca="1" ref="BB79" ca="1">IFERROR(OFFSET('[1](Fill In) SIAO'!$A$1,SMALL(IF(Heli="Y",ROW(Heli)),AL79)-1,COLUMN(EndDate)-1),"")</f>
        <v/>
      </c>
      <c r="BC79" s="113" t="str">
        <f t="array" aca="1" ref="BC79" ca="1">IFERROR(OFFSET('[1](Fill In) SIAO'!$A$1,SMALL(IF(MMR="Y",ROW(MMR)),AL79)-1,COLUMN(StartDate)-1),"")</f>
        <v/>
      </c>
      <c r="BD79" s="113" t="str">
        <f t="array" aca="1" ref="BD79" ca="1">IFERROR(OFFSET('[1](Fill In) SIAO'!$A$1,SMALL(IF(MMR="Y",ROW(MMR)),AL79)-1,COLUMN(EndDate)-1),"")</f>
        <v/>
      </c>
      <c r="BE79" s="113" t="str">
        <f t="array" aca="1" ref="BE79" ca="1">IFERROR(OFFSET('[1](Fill In) SIAO'!$A$1,SMALL(IF(POL="Y",ROW(POL)),AL79)-1,COLUMN(StartDate)-1),"")</f>
        <v/>
      </c>
      <c r="BF79" s="113" t="str">
        <f t="array" aca="1" ref="BF79" ca="1">IFERROR(OFFSET('[1](Fill In) SIAO'!$A$1,SMALL(IF(POL="Y",ROW(POL)),AL79)-1,COLUMN(EndDate)-1),"")</f>
        <v/>
      </c>
    </row>
    <row r="80" spans="1:58" ht="16.5" customHeight="1">
      <c r="A80" s="75" t="s">
        <v>218</v>
      </c>
      <c r="B80" s="7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 t="str">
        <f t="array" aca="1" ref="M80" ca="1">IF(OR((M$71&gt;=$BE$11:$BE$38)*(M$4&lt;=$BF$11:$BF$38)&gt;0),$B80,"")</f>
        <v/>
      </c>
      <c r="N80" s="84" t="str">
        <f t="array" aca="1" ref="N80" ca="1">IF(OR((N$71&gt;=$BE$11:$BE$38)*(N$4&lt;=$BF$11:$BF$38)&gt;0),$B80,"")</f>
        <v/>
      </c>
      <c r="O80" s="84" t="str">
        <f t="array" aca="1" ref="O80" ca="1">IF(OR((O$71&gt;=$BE$11:$BE$38)*(O$4&lt;=$BF$11:$BF$38)&gt;0),$B80,"")</f>
        <v/>
      </c>
      <c r="P80" s="84" t="str">
        <f t="array" aca="1" ref="P80" ca="1">IF(OR((P$71&gt;=$BE$11:$BE$38)*(P$4&lt;=$BF$11:$BF$38)&gt;0),$B80,"")</f>
        <v/>
      </c>
      <c r="Q80" s="84" t="str">
        <f t="array" aca="1" ref="Q80" ca="1">IF(OR((Q$71&gt;=$BE$11:$BE$38)*(Q$4&lt;=$BF$11:$BF$38)&gt;0),$B80,"")</f>
        <v/>
      </c>
      <c r="R80" s="84" t="str">
        <f t="array" aca="1" ref="R80" ca="1">IF(OR((R$71&gt;=$BE$11:$BE$38)*(R$4&lt;=$BF$11:$BF$38)&gt;0),$B80,"")</f>
        <v/>
      </c>
      <c r="S80" s="84" t="str">
        <f t="array" aca="1" ref="S80" ca="1">IF(OR((S$71&gt;=$BE$11:$BE$38)*(S$4&lt;=$BF$11:$BF$38)&gt;0),$B80,"")</f>
        <v/>
      </c>
      <c r="T80" s="84" t="str">
        <f t="array" aca="1" ref="T80" ca="1">IF(OR((T$71&gt;=$BE$11:$BE$38)*(T$4&lt;=$BF$11:$BF$38)&gt;0),$B80,"")</f>
        <v/>
      </c>
      <c r="U80" s="84" t="str">
        <f t="array" aca="1" ref="U80" ca="1">IF(OR((U$71&gt;=$BE$11:$BE$38)*(U$4&lt;=$BF$11:$BF$38)&gt;0),$B80,"")</f>
        <v/>
      </c>
      <c r="V80" s="84" t="str">
        <f t="array" aca="1" ref="V80" ca="1">IF(OR((V$71&gt;=$BE$11:$BE$38)*(V$4&lt;=$BF$11:$BF$38)&gt;0),$B80,"")</f>
        <v/>
      </c>
      <c r="W80" s="84" t="str">
        <f t="array" aca="1" ref="W80" ca="1">IF(OR((W$71&gt;=$BE$11:$BE$38)*(W$4&lt;=$BF$11:$BF$38)&gt;0),$B80,"")</f>
        <v/>
      </c>
      <c r="X80" s="84" t="str">
        <f t="array" aca="1" ref="X80" ca="1">IF(OR((X$71&gt;=$BE$11:$BE$38)*(X$4&lt;=$BF$11:$BF$38)&gt;0),$B80,"")</f>
        <v/>
      </c>
      <c r="Y80" s="84" t="str">
        <f t="array" aca="1" ref="Y80" ca="1">IF(OR((Y$71&gt;=$BE$11:$BE$38)*(Y$4&lt;=$BF$11:$BF$38)&gt;0),$B80,"")</f>
        <v/>
      </c>
      <c r="Z80" s="84" t="str">
        <f t="array" aca="1" ref="Z80" ca="1">IF(OR((Z$71&gt;=$BE$11:$BE$38)*(Z$4&lt;=$BF$11:$BF$38)&gt;0),$B80,"")</f>
        <v/>
      </c>
      <c r="AA80" s="84" t="str">
        <f t="array" aca="1" ref="AA80" ca="1">IF(OR((AA$71&gt;=$BE$11:$BE$38)*(AA$4&lt;=$BF$11:$BF$38)&gt;0),$B80,"")</f>
        <v/>
      </c>
      <c r="AB80" s="84" t="str">
        <f t="array" aca="1" ref="AB80" ca="1">IF(OR((AB$71&gt;=$BE$11:$BE$38)*(AB$4&lt;=$BF$11:$BF$38)&gt;0),$B80,"")</f>
        <v/>
      </c>
      <c r="AC80" s="84" t="str">
        <f t="array" aca="1" ref="AC80" ca="1">IF(OR((AC$71&gt;=$BE$11:$BE$38)*(AC$4&lt;=$BF$11:$BF$38)&gt;0),$B80,"")</f>
        <v/>
      </c>
      <c r="AD80" s="84" t="str">
        <f t="array" aca="1" ref="AD80" ca="1">IF(OR((AD$71&gt;=$BE$11:$BE$38)*(AD$4&lt;=$BF$11:$BF$38)&gt;0),$B80,"")</f>
        <v/>
      </c>
      <c r="AE80" s="84" t="str">
        <f t="array" aca="1" ref="AE80" ca="1">IF(OR((AE$71&gt;=$BE$11:$BE$38)*(AE$4&lt;=$BF$11:$BF$38)&gt;0),$B80,"")</f>
        <v/>
      </c>
      <c r="AF80" s="84" t="str">
        <f t="array" aca="1" ref="AF80" ca="1">IF(OR((AF$71&gt;=$BE$11:$BE$38)*(AF$4&lt;=$BF$11:$BF$38)&gt;0),$B80,"")</f>
        <v/>
      </c>
      <c r="AG80" s="84" t="str">
        <f t="array" aca="1" ref="AG80" ca="1">IF(OR((AG$71&gt;=$BE$11:$BE$38)*(AG$4&lt;=$BF$11:$BF$38)&gt;0),$B80,"")</f>
        <v/>
      </c>
      <c r="AH80" s="84" t="str">
        <f t="array" aca="1" ref="AH80" ca="1">IF(OR((AH$71&gt;=$BE$11:$BE$38)*(AH$4&lt;=$BF$11:$BF$38)&gt;0),$B80,"")</f>
        <v/>
      </c>
      <c r="AI80" s="84" t="str">
        <f t="array" aca="1" ref="AI80" ca="1">IF(OR((AI$71&gt;=$BE$11:$BE$38)*(AI$4&lt;=$BF$11:$BF$38)&gt;0),$B80,"")</f>
        <v/>
      </c>
    </row>
    <row r="81" spans="1:36">
      <c r="A81" s="75" t="s">
        <v>219</v>
      </c>
      <c r="B81" s="74"/>
      <c r="C81" s="84" t="str">
        <f t="array" aca="1" ref="C81" ca="1">IF(OR((C$71&gt;=$BE$11:$BE$38)*(C$4&lt;=$BF$11:$BF$38)&gt;0),$B81,"")</f>
        <v/>
      </c>
      <c r="D81" s="84" t="str">
        <f t="array" aca="1" ref="D81" ca="1">IF(OR((D$71&gt;=$BE$11:$BE$38)*(D$4&lt;=$BF$11:$BF$38)&gt;0),$B81,"")</f>
        <v/>
      </c>
      <c r="E81" s="84" t="str">
        <f t="array" aca="1" ref="E81" ca="1">IF(OR((E$71&gt;=$BE$11:$BE$38)*(E$4&lt;=$BF$11:$BF$38)&gt;0),$B81,"")</f>
        <v/>
      </c>
      <c r="F81" s="84" t="str">
        <f t="array" aca="1" ref="F81" ca="1">IF(OR((F$71&gt;=$BE$11:$BE$38)*(F$4&lt;=$BF$11:$BF$38)&gt;0),$B81,"")</f>
        <v/>
      </c>
      <c r="G81" s="84" t="str">
        <f t="array" aca="1" ref="G81" ca="1">IF(OR((G$71&gt;=$BE$11:$BE$38)*(G$4&lt;=$BF$11:$BF$38)&gt;0),$B81,"")</f>
        <v/>
      </c>
      <c r="H81" s="84" t="str">
        <f t="array" aca="1" ref="H81" ca="1">IF(OR((H$71&gt;=$BE$11:$BE$38)*(H$4&lt;=$BF$11:$BF$38)&gt;0),$B81,"")</f>
        <v/>
      </c>
      <c r="I81" s="84" t="str">
        <f t="array" aca="1" ref="I81" ca="1">IF(OR((I$71&gt;=$BE$11:$BE$38)*(I$4&lt;=$BF$11:$BF$38)&gt;0),$B81,"")</f>
        <v/>
      </c>
      <c r="J81" s="84"/>
      <c r="K81" s="84"/>
      <c r="L81" s="84"/>
      <c r="M81" s="84" t="str">
        <f t="array" aca="1" ref="M81" ca="1">IF(OR((M$71&gt;=$BE$11:$BE$38)*(M$4&lt;=$BF$11:$BF$38)&gt;0),$B81,"")</f>
        <v/>
      </c>
      <c r="N81" s="84" t="str">
        <f t="array" aca="1" ref="N81" ca="1">IF(OR((N$71&gt;=$BE$11:$BE$38)*(N$4&lt;=$BF$11:$BF$38)&gt;0),$B81,"")</f>
        <v/>
      </c>
      <c r="O81" s="84" t="str">
        <f t="array" aca="1" ref="O81" ca="1">IF(OR((O$71&gt;=$BE$11:$BE$38)*(O$4&lt;=$BF$11:$BF$38)&gt;0),$B81,"")</f>
        <v/>
      </c>
      <c r="P81" s="84" t="str">
        <f t="array" aca="1" ref="P81" ca="1">IF(OR((P$71&gt;=$BE$11:$BE$38)*(P$4&lt;=$BF$11:$BF$38)&gt;0),$B81,"")</f>
        <v/>
      </c>
      <c r="Q81" s="84" t="str">
        <f t="array" aca="1" ref="Q81" ca="1">IF(OR((Q$71&gt;=$BE$11:$BE$38)*(Q$4&lt;=$BF$11:$BF$38)&gt;0),$B81,"")</f>
        <v/>
      </c>
      <c r="R81" s="84"/>
      <c r="S81" s="84" t="str">
        <f t="array" aca="1" ref="S81" ca="1">IF(OR((S$71&gt;=$BE$11:$BE$38)*(S$4&lt;=$BF$11:$BF$38)&gt;0),$B81,"")</f>
        <v/>
      </c>
      <c r="T81" s="84" t="str">
        <f t="array" aca="1" ref="T81" ca="1">IF(OR((T$71&gt;=$BE$11:$BE$38)*(T$4&lt;=$BF$11:$BF$38)&gt;0),$B81,"")</f>
        <v/>
      </c>
      <c r="U81" s="84" t="str">
        <f t="array" aca="1" ref="U81" ca="1">IF(OR((U$71&gt;=$BE$11:$BE$38)*(U$4&lt;=$BF$11:$BF$38)&gt;0),$B81,"")</f>
        <v/>
      </c>
      <c r="V81" s="84" t="str">
        <f t="array" aca="1" ref="V81" ca="1">IF(OR((V$71&gt;=$BE$11:$BE$38)*(V$4&lt;=$BF$11:$BF$38)&gt;0),$B81,"")</f>
        <v/>
      </c>
      <c r="W81" s="84" t="str">
        <f t="array" aca="1" ref="W81" ca="1">IF(OR((W$71&gt;=$BE$11:$BE$38)*(W$4&lt;=$BF$11:$BF$38)&gt;0),$B81,"")</f>
        <v/>
      </c>
      <c r="X81" s="84" t="str">
        <f t="array" aca="1" ref="X81" ca="1">IF(OR((X$71&gt;=$BE$11:$BE$38)*(X$4&lt;=$BF$11:$BF$38)&gt;0),$B81,"")</f>
        <v/>
      </c>
      <c r="Y81" s="84" t="str">
        <f t="array" aca="1" ref="Y81" ca="1">IF(OR((Y$71&gt;=$BE$11:$BE$38)*(Y$4&lt;=$BF$11:$BF$38)&gt;0),$B81,"")</f>
        <v/>
      </c>
      <c r="Z81" s="84" t="str">
        <f t="array" aca="1" ref="Z81" ca="1">IF(OR((Z$71&gt;=$BE$11:$BE$38)*(Z$4&lt;=$BF$11:$BF$38)&gt;0),$B81,"")</f>
        <v/>
      </c>
      <c r="AA81" s="84" t="str">
        <f t="array" aca="1" ref="AA81" ca="1">IF(OR((AA$71&gt;=$BE$11:$BE$38)*(AA$4&lt;=$BF$11:$BF$38)&gt;0),$B81,"")</f>
        <v/>
      </c>
      <c r="AB81" s="84" t="str">
        <f t="array" aca="1" ref="AB81" ca="1">IF(OR((AB$71&gt;=$BE$11:$BE$38)*(AB$4&lt;=$BF$11:$BF$38)&gt;0),$B81,"")</f>
        <v/>
      </c>
      <c r="AC81" s="84" t="str">
        <f t="array" aca="1" ref="AC81" ca="1">IF(OR((AC$71&gt;=$BE$11:$BE$38)*(AC$4&lt;=$BF$11:$BF$38)&gt;0),$B81,"")</f>
        <v/>
      </c>
      <c r="AD81" s="84" t="str">
        <f t="array" aca="1" ref="AD81" ca="1">IF(OR((AD$71&gt;=$BE$11:$BE$38)*(AD$4&lt;=$BF$11:$BF$38)&gt;0),$B81,"")</f>
        <v/>
      </c>
      <c r="AE81" s="84" t="str">
        <f t="array" aca="1" ref="AE81" ca="1">IF(OR((AE$71&gt;=$BE$11:$BE$38)*(AE$4&lt;=$BF$11:$BF$38)&gt;0),$B81,"")</f>
        <v/>
      </c>
      <c r="AF81" s="84" t="str">
        <f t="array" aca="1" ref="AF81" ca="1">IF(OR((AF$71&gt;=$BE$11:$BE$38)*(AF$4&lt;=$BF$11:$BF$38)&gt;0),$B81,"")</f>
        <v/>
      </c>
      <c r="AG81" s="84" t="str">
        <f t="array" aca="1" ref="AG81" ca="1">IF(OR((AG$71&gt;=$BE$11:$BE$38)*(AG$4&lt;=$BF$11:$BF$38)&gt;0),$B81,"")</f>
        <v/>
      </c>
      <c r="AH81" s="84" t="str">
        <f t="array" aca="1" ref="AH81" ca="1">IF(OR((AH$71&gt;=$BE$11:$BE$38)*(AH$4&lt;=$BF$11:$BF$38)&gt;0),$B81,"")</f>
        <v/>
      </c>
      <c r="AI81" s="84" t="str">
        <f t="array" aca="1" ref="AI81" ca="1">IF(OR((AI$71&gt;=$BE$11:$BE$38)*(AI$4&lt;=$BF$11:$BF$38)&gt;0),$B81,"")</f>
        <v/>
      </c>
    </row>
    <row r="82" spans="1:36">
      <c r="A82" s="75" t="s">
        <v>220</v>
      </c>
      <c r="B82" s="74"/>
      <c r="C82" s="84" t="str">
        <f t="array" aca="1" ref="C82" ca="1">IF(OR((C$71&gt;=$BE$11:$BE$38)*(C$4&lt;=$BF$11:$BF$38)&gt;0),$B82,"")</f>
        <v/>
      </c>
      <c r="D82" s="84" t="str">
        <f t="array" aca="1" ref="D82" ca="1">IF(OR((D$71&gt;=$BE$11:$BE$38)*(D$4&lt;=$BF$11:$BF$38)&gt;0),$B82,"")</f>
        <v/>
      </c>
      <c r="E82" s="84" t="str">
        <f t="array" aca="1" ref="E82" ca="1">IF(OR((E$71&gt;=$BE$11:$BE$38)*(E$4&lt;=$BF$11:$BF$38)&gt;0),$B82,"")</f>
        <v/>
      </c>
      <c r="F82" s="84" t="str">
        <f t="array" aca="1" ref="F82" ca="1">IF(OR((F$71&gt;=$BE$11:$BE$38)*(F$4&lt;=$BF$11:$BF$38)&gt;0),$B82,"")</f>
        <v/>
      </c>
      <c r="G82" s="84" t="str">
        <f t="array" aca="1" ref="G82" ca="1">IF(OR((G$71&gt;=$BE$11:$BE$38)*(G$4&lt;=$BF$11:$BF$38)&gt;0),$B82,"")</f>
        <v/>
      </c>
      <c r="H82" s="84" t="str">
        <f t="array" aca="1" ref="H82" ca="1">IF(OR((H$71&gt;=$BE$11:$BE$38)*(H$4&lt;=$BF$11:$BF$38)&gt;0),$B82,"")</f>
        <v/>
      </c>
      <c r="I82" s="84" t="str">
        <f t="array" aca="1" ref="I82" ca="1">IF(OR((I$71&gt;=$BE$11:$BE$38)*(I$4&lt;=$BF$11:$BF$38)&gt;0),$B82,"")</f>
        <v/>
      </c>
      <c r="J82" s="84" t="str">
        <f t="array" aca="1" ref="J82" ca="1">IF(OR((J$71&gt;=$BE$11:$BE$38)*(J$4&lt;=$BF$11:$BF$38)&gt;0),$B82,"")</f>
        <v/>
      </c>
      <c r="K82" s="84" t="str">
        <f t="array" aca="1" ref="K82" ca="1">IF(OR((K$71&gt;=$BE$11:$BE$38)*(K$4&lt;=$BF$11:$BF$38)&gt;0),$B82,"")</f>
        <v/>
      </c>
      <c r="L82" s="84" t="str">
        <f t="array" aca="1" ref="L82" ca="1">IF(OR((L$71&gt;=$BE$11:$BE$38)*(L$4&lt;=$BF$11:$BF$38)&gt;0),$B82,"")</f>
        <v/>
      </c>
      <c r="M82" s="84" t="str">
        <f t="array" aca="1" ref="M82" ca="1">IF(OR((M$71&gt;=$BE$11:$BE$38)*(M$4&lt;=$BF$11:$BF$38)&gt;0),$B82,"")</f>
        <v/>
      </c>
      <c r="N82" s="84" t="str">
        <f t="array" aca="1" ref="N82" ca="1">IF(OR((N$71&gt;=$BE$11:$BE$38)*(N$4&lt;=$BF$11:$BF$38)&gt;0),$B82,"")</f>
        <v/>
      </c>
      <c r="O82" s="84" t="str">
        <f t="array" aca="1" ref="O82" ca="1">IF(OR((O$71&gt;=$BE$11:$BE$38)*(O$4&lt;=$BF$11:$BF$38)&gt;0),$B82,"")</f>
        <v/>
      </c>
      <c r="P82" s="84" t="str">
        <f t="array" aca="1" ref="P82" ca="1">IF(OR((P$71&gt;=$BE$11:$BE$38)*(P$4&lt;=$BF$11:$BF$38)&gt;0),$B82,"")</f>
        <v/>
      </c>
      <c r="Q82" s="84" t="str">
        <f t="array" aca="1" ref="Q82" ca="1">IF(OR((Q$71&gt;=$BE$11:$BE$38)*(Q$4&lt;=$BF$11:$BF$38)&gt;0),$B82,"")</f>
        <v/>
      </c>
      <c r="R82" s="84" t="str">
        <f t="array" aca="1" ref="R82" ca="1">IF(OR((R$71&gt;=$BE$11:$BE$38)*(R$4&lt;=$BF$11:$BF$38)&gt;0),$B82,"")</f>
        <v/>
      </c>
      <c r="S82" s="84"/>
      <c r="T82" s="84" t="str">
        <f t="array" aca="1" ref="T82" ca="1">IF(OR((T$71&gt;=$BE$11:$BE$38)*(T$4&lt;=$BF$11:$BF$38)&gt;0),$B82,"")</f>
        <v/>
      </c>
      <c r="U82" s="84" t="str">
        <f t="array" aca="1" ref="U82" ca="1">IF(OR((U$71&gt;=$BE$11:$BE$38)*(U$4&lt;=$BF$11:$BF$38)&gt;0),$B82,"")</f>
        <v/>
      </c>
      <c r="V82" s="84" t="str">
        <f t="array" aca="1" ref="V82" ca="1">IF(OR((V$71&gt;=$BE$11:$BE$38)*(V$4&lt;=$BF$11:$BF$38)&gt;0),$B82,"")</f>
        <v/>
      </c>
      <c r="W82" s="84" t="str">
        <f t="array" aca="1" ref="W82" ca="1">IF(OR((W$71&gt;=$BE$11:$BE$38)*(W$4&lt;=$BF$11:$BF$38)&gt;0),$B82,"")</f>
        <v/>
      </c>
      <c r="X82" s="84" t="str">
        <f t="array" aca="1" ref="X82" ca="1">IF(OR((X$71&gt;=$BE$11:$BE$38)*(X$4&lt;=$BF$11:$BF$38)&gt;0),$B82,"")</f>
        <v/>
      </c>
      <c r="Y82" s="84" t="str">
        <f t="array" aca="1" ref="Y82" ca="1">IF(OR((Y$71&gt;=$BE$11:$BE$38)*(Y$4&lt;=$BF$11:$BF$38)&gt;0),$B82,"")</f>
        <v/>
      </c>
      <c r="Z82" s="84" t="str">
        <f t="array" aca="1" ref="Z82" ca="1">IF(OR((Z$71&gt;=$BE$11:$BE$38)*(Z$4&lt;=$BF$11:$BF$38)&gt;0),$B82,"")</f>
        <v/>
      </c>
      <c r="AA82" s="84" t="str">
        <f t="array" aca="1" ref="AA82" ca="1">IF(OR((AA$71&gt;=$BE$11:$BE$38)*(AA$4&lt;=$BF$11:$BF$38)&gt;0),$B82,"")</f>
        <v/>
      </c>
      <c r="AB82" s="84" t="str">
        <f t="array" aca="1" ref="AB82" ca="1">IF(OR((AB$71&gt;=$BE$11:$BE$38)*(AB$4&lt;=$BF$11:$BF$38)&gt;0),$B82,"")</f>
        <v/>
      </c>
      <c r="AC82" s="84" t="str">
        <f t="array" aca="1" ref="AC82" ca="1">IF(OR((AC$71&gt;=$BE$11:$BE$38)*(AC$4&lt;=$BF$11:$BF$38)&gt;0),$B82,"")</f>
        <v/>
      </c>
      <c r="AD82" s="84" t="str">
        <f t="array" aca="1" ref="AD82" ca="1">IF(OR((AD$71&gt;=$BE$11:$BE$38)*(AD$4&lt;=$BF$11:$BF$38)&gt;0),$B82,"")</f>
        <v/>
      </c>
      <c r="AE82" s="84" t="str">
        <f t="array" aca="1" ref="AE82" ca="1">IF(OR((AE$71&gt;=$BE$11:$BE$38)*(AE$4&lt;=$BF$11:$BF$38)&gt;0),$B82,"")</f>
        <v/>
      </c>
      <c r="AF82" s="84" t="str">
        <f t="array" aca="1" ref="AF82" ca="1">IF(OR((AF$71&gt;=$BE$11:$BE$38)*(AF$4&lt;=$BF$11:$BF$38)&gt;0),$B82,"")</f>
        <v/>
      </c>
      <c r="AG82" s="84" t="str">
        <f t="array" aca="1" ref="AG82" ca="1">IF(OR((AG$71&gt;=$BE$11:$BE$38)*(AG$4&lt;=$BF$11:$BF$38)&gt;0),$B82,"")</f>
        <v/>
      </c>
      <c r="AH82" s="84" t="str">
        <f t="array" aca="1" ref="AH82" ca="1">IF(OR((AH$71&gt;=$BE$11:$BE$38)*(AH$4&lt;=$BF$11:$BF$38)&gt;0),$B82,"")</f>
        <v/>
      </c>
      <c r="AI82" s="84" t="str">
        <f t="array" aca="1" ref="AI82" ca="1">IF(OR((AI$71&gt;=$BE$11:$BE$38)*(AI$4&lt;=$BF$11:$BF$38)&gt;0),$B82,"")</f>
        <v/>
      </c>
    </row>
    <row r="83" spans="1:36">
      <c r="A83" s="75" t="s">
        <v>221</v>
      </c>
      <c r="B83" s="74"/>
      <c r="C83" s="84" t="str">
        <f t="array" aca="1" ref="C83" ca="1">IF(OR((C$71&gt;=$BE$11:$BE$38)*(C$4&lt;=$BF$11:$BF$38)&gt;0),$B83,"")</f>
        <v/>
      </c>
      <c r="D83" s="84" t="str">
        <f t="array" aca="1" ref="D83" ca="1">IF(OR((D$71&gt;=$BE$11:$BE$38)*(D$4&lt;=$BF$11:$BF$38)&gt;0),$B83,"")</f>
        <v/>
      </c>
      <c r="E83" s="84" t="str">
        <f t="array" aca="1" ref="E83" ca="1">IF(OR((E$71&gt;=$BE$11:$BE$38)*(E$4&lt;=$BF$11:$BF$38)&gt;0),$B83,"")</f>
        <v/>
      </c>
      <c r="F83" s="84" t="str">
        <f t="array" aca="1" ref="F83" ca="1">IF(OR((F$71&gt;=$BE$11:$BE$38)*(F$4&lt;=$BF$11:$BF$38)&gt;0),$B83,"")</f>
        <v/>
      </c>
      <c r="G83" s="84" t="str">
        <f t="array" aca="1" ref="G83" ca="1">IF(OR((G$71&gt;=$BE$11:$BE$38)*(G$4&lt;=$BF$11:$BF$38)&gt;0),$B83,"")</f>
        <v/>
      </c>
      <c r="H83" s="84" t="str">
        <f t="array" aca="1" ref="H83" ca="1">IF(OR((H$71&gt;=$BE$11:$BE$38)*(H$4&lt;=$BF$11:$BF$38)&gt;0),$B83,"")</f>
        <v/>
      </c>
      <c r="I83" s="84" t="str">
        <f t="array" aca="1" ref="I83" ca="1">IF(OR((I$71&gt;=$BE$11:$BE$38)*(I$4&lt;=$BF$11:$BF$38)&gt;0),$B83,"")</f>
        <v/>
      </c>
      <c r="J83" s="84" t="str">
        <f t="array" aca="1" ref="J83" ca="1">IF(OR((J$71&gt;=$BE$11:$BE$38)*(J$4&lt;=$BF$11:$BF$38)&gt;0),$B83,"")</f>
        <v/>
      </c>
      <c r="K83" s="84" t="str">
        <f t="array" aca="1" ref="K83" ca="1">IF(OR((K$71&gt;=$BE$11:$BE$38)*(K$4&lt;=$BF$11:$BF$38)&gt;0),$B83,"")</f>
        <v/>
      </c>
      <c r="L83" s="84" t="str">
        <f t="array" aca="1" ref="L83" ca="1">IF(OR((L$71&gt;=$BE$11:$BE$38)*(L$4&lt;=$BF$11:$BF$38)&gt;0),$B83,"")</f>
        <v/>
      </c>
      <c r="M83" s="84" t="str">
        <f t="array" aca="1" ref="M83" ca="1">IF(OR((M$71&gt;=$BE$11:$BE$38)*(M$4&lt;=$BF$11:$BF$38)&gt;0),$B83,"")</f>
        <v/>
      </c>
      <c r="N83" s="84" t="str">
        <f t="array" aca="1" ref="N83" ca="1">IF(OR((N$71&gt;=$BE$11:$BE$38)*(N$4&lt;=$BF$11:$BF$38)&gt;0),$B83,"")</f>
        <v/>
      </c>
      <c r="O83" s="84" t="str">
        <f t="array" aca="1" ref="O83" ca="1">IF(OR((O$71&gt;=$BE$11:$BE$38)*(O$4&lt;=$BF$11:$BF$38)&gt;0),$B83,"")</f>
        <v/>
      </c>
      <c r="P83" s="84" t="str">
        <f t="array" aca="1" ref="P83" ca="1">IF(OR((P$71&gt;=$BE$11:$BE$38)*(P$4&lt;=$BF$11:$BF$38)&gt;0),$B83,"")</f>
        <v/>
      </c>
      <c r="Q83" s="84" t="str">
        <f t="array" aca="1" ref="Q83" ca="1">IF(OR((Q$71&gt;=$BE$11:$BE$38)*(Q$4&lt;=$BF$11:$BF$38)&gt;0),$B83,"")</f>
        <v/>
      </c>
      <c r="R83" s="84" t="str">
        <f t="array" aca="1" ref="R83" ca="1">IF(OR((R$71&gt;=$BE$11:$BE$38)*(R$4&lt;=$BF$11:$BF$38)&gt;0),$B83,"")</f>
        <v/>
      </c>
      <c r="S83" s="84"/>
      <c r="T83" s="84" t="str">
        <f t="array" aca="1" ref="T83" ca="1">IF(OR((T$71&gt;=$BE$11:$BE$38)*(T$4&lt;=$BF$11:$BF$38)&gt;0),$B83,"")</f>
        <v/>
      </c>
      <c r="U83" s="84" t="str">
        <f t="array" aca="1" ref="U83" ca="1">IF(OR((U$71&gt;=$BE$11:$BE$38)*(U$4&lt;=$BF$11:$BF$38)&gt;0),$B83,"")</f>
        <v/>
      </c>
      <c r="V83" s="84" t="str">
        <f t="array" aca="1" ref="V83" ca="1">IF(OR((V$71&gt;=$BE$11:$BE$38)*(V$4&lt;=$BF$11:$BF$38)&gt;0),$B83,"")</f>
        <v/>
      </c>
      <c r="W83" s="84" t="str">
        <f t="array" aca="1" ref="W83" ca="1">IF(OR((W$71&gt;=$BE$11:$BE$38)*(W$4&lt;=$BF$11:$BF$38)&gt;0),$B83,"")</f>
        <v/>
      </c>
      <c r="X83" s="84" t="str">
        <f t="array" aca="1" ref="X83" ca="1">IF(OR((X$71&gt;=$BE$11:$BE$38)*(X$4&lt;=$BF$11:$BF$38)&gt;0),$B83,"")</f>
        <v/>
      </c>
      <c r="Y83" s="84">
        <v>1</v>
      </c>
      <c r="Z83" s="84">
        <v>1</v>
      </c>
      <c r="AA83" s="84">
        <v>1</v>
      </c>
      <c r="AB83" s="84">
        <v>1</v>
      </c>
      <c r="AC83" s="84">
        <v>1</v>
      </c>
      <c r="AD83" s="84">
        <v>1</v>
      </c>
      <c r="AE83" s="84">
        <v>1</v>
      </c>
      <c r="AF83" s="84">
        <v>1</v>
      </c>
      <c r="AG83" s="84">
        <v>1</v>
      </c>
      <c r="AH83" s="84">
        <v>1</v>
      </c>
      <c r="AI83" s="84">
        <v>1</v>
      </c>
      <c r="AJ83" s="91"/>
    </row>
  </sheetData>
  <mergeCells count="23">
    <mergeCell ref="AD72:AI72"/>
    <mergeCell ref="AQ2:AR2"/>
    <mergeCell ref="AS2:AT2"/>
    <mergeCell ref="A56:AI56"/>
    <mergeCell ref="AK11:AK38"/>
    <mergeCell ref="AN2:AO2"/>
    <mergeCell ref="AN23:AO23"/>
    <mergeCell ref="A42:AI42"/>
    <mergeCell ref="A52:AI52"/>
    <mergeCell ref="BE2:BF2"/>
    <mergeCell ref="AQ23:AR23"/>
    <mergeCell ref="AS23:AT23"/>
    <mergeCell ref="BC23:BD23"/>
    <mergeCell ref="BE23:BF23"/>
    <mergeCell ref="AU2:AV2"/>
    <mergeCell ref="AU23:AV23"/>
    <mergeCell ref="AW2:AX2"/>
    <mergeCell ref="BA2:BB2"/>
    <mergeCell ref="BC2:BD2"/>
    <mergeCell ref="AW23:AX23"/>
    <mergeCell ref="AY23:AZ23"/>
    <mergeCell ref="BA23:BB23"/>
    <mergeCell ref="AY2:AZ2"/>
  </mergeCells>
  <conditionalFormatting sqref="C72:F72 O72:P72 C73:P75 S73:AI75">
    <cfRule type="expression" dxfId="81" priority="11">
      <formula>OR(WEEKDAY(C$4)=7,WEEKDAY(C$4)=1)</formula>
    </cfRule>
  </conditionalFormatting>
  <conditionalFormatting sqref="C5:AI13 C17:AI20 C24:K35 X25:AI25 X27:AI30 C36:AI38 C53:AI55 C57:AI59">
    <cfRule type="expression" dxfId="80" priority="15">
      <formula>OR(WEEKDAY(C$4)=7,WEEKDAY(C$4)=1)</formula>
    </cfRule>
  </conditionalFormatting>
  <conditionalFormatting sqref="C43:AI51">
    <cfRule type="expression" dxfId="79" priority="14">
      <formula>OR(WEEKDAY(C$4)=7,WEEKDAY(C$4)=1)</formula>
    </cfRule>
  </conditionalFormatting>
  <conditionalFormatting sqref="C63:AI63">
    <cfRule type="expression" dxfId="78" priority="13">
      <formula>OR(WEEKDAY(C$4)=7,WEEKDAY(C$4)=1)</formula>
    </cfRule>
  </conditionalFormatting>
  <conditionalFormatting sqref="C67:AI68">
    <cfRule type="expression" dxfId="77" priority="12">
      <formula>OR(WEEKDAY(C$4)=7,WEEKDAY(C$4)=1)</formula>
    </cfRule>
  </conditionalFormatting>
  <conditionalFormatting sqref="C79:AI82">
    <cfRule type="expression" dxfId="76" priority="10">
      <formula>OR(WEEKDAY(C$4)=7,WEEKDAY(C$4)=1)</formula>
    </cfRule>
  </conditionalFormatting>
  <conditionalFormatting sqref="C83:AJ83">
    <cfRule type="expression" dxfId="75" priority="1">
      <formula>OR(WEEKDAY(C$4)=7,WEEKDAY(C$4)=1)</formula>
    </cfRule>
  </conditionalFormatting>
  <conditionalFormatting sqref="H72">
    <cfRule type="expression" dxfId="74" priority="104">
      <formula>OR(WEEKDAY(J$4)=7,WEEKDAY(J$4)=1)</formula>
    </cfRule>
  </conditionalFormatting>
  <conditionalFormatting sqref="L24:AI24 L26:AI26 L31:AI35">
    <cfRule type="expression" dxfId="73" priority="2">
      <formula>OR(WEEKDAY(L$4)=7,WEEKDAY(L$4)=1)</formula>
    </cfRule>
  </conditionalFormatting>
  <conditionalFormatting sqref="Q72:R75">
    <cfRule type="expression" dxfId="72" priority="8">
      <formula>OR(WEEKDAY(Q$4)=7,WEEKDAY(Q$4)=1)</formula>
    </cfRule>
  </conditionalFormatting>
  <conditionalFormatting sqref="S72">
    <cfRule type="expression" dxfId="71" priority="102">
      <formula>OR(WEEKDAY(X$4)=7,WEEKDAY(X$4)=1)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S120"/>
  <sheetViews>
    <sheetView zoomScale="73" zoomScaleNormal="85" workbookViewId="0">
      <selection activeCell="AJ43" sqref="AJ43"/>
    </sheetView>
  </sheetViews>
  <sheetFormatPr defaultRowHeight="14.4"/>
  <cols>
    <col min="1" max="1" width="47.5546875" style="114" bestFit="1" customWidth="1"/>
    <col min="2" max="2" width="16.5546875" style="126" bestFit="1" customWidth="1"/>
    <col min="3" max="35" width="4.77734375" style="2" bestFit="1" customWidth="1"/>
    <col min="36" max="36" width="9.44140625" style="114" customWidth="1"/>
    <col min="37" max="37" width="5" style="114" bestFit="1" customWidth="1"/>
    <col min="38" max="38" width="3.77734375" style="114" bestFit="1" customWidth="1"/>
    <col min="39" max="39" width="9" style="114" bestFit="1" customWidth="1"/>
    <col min="40" max="40" width="5.77734375" style="114" bestFit="1" customWidth="1"/>
    <col min="41" max="41" width="4.77734375" style="114" bestFit="1" customWidth="1"/>
    <col min="42" max="42" width="9" style="114" bestFit="1" customWidth="1"/>
    <col min="43" max="43" width="5.77734375" style="114" bestFit="1" customWidth="1"/>
    <col min="44" max="44" width="4.77734375" style="114" bestFit="1" customWidth="1"/>
    <col min="45" max="45" width="5.77734375" style="114" bestFit="1" customWidth="1"/>
    <col min="46" max="46" width="4.77734375" style="114" bestFit="1" customWidth="1"/>
    <col min="47" max="47" width="5.77734375" style="114" bestFit="1" customWidth="1"/>
    <col min="48" max="48" width="4.77734375" style="114" bestFit="1" customWidth="1"/>
    <col min="49" max="49" width="5.77734375" style="114" bestFit="1" customWidth="1"/>
    <col min="50" max="50" width="4.77734375" style="114" bestFit="1" customWidth="1"/>
    <col min="51" max="51" width="5.77734375" style="114" bestFit="1" customWidth="1"/>
    <col min="52" max="52" width="4.77734375" style="114" bestFit="1" customWidth="1"/>
    <col min="53" max="53" width="5.77734375" style="114" bestFit="1" customWidth="1"/>
    <col min="54" max="54" width="4.77734375" style="114" bestFit="1" customWidth="1"/>
    <col min="55" max="55" width="5.77734375" style="114" bestFit="1" customWidth="1"/>
    <col min="56" max="56" width="4.77734375" style="114" bestFit="1" customWidth="1"/>
    <col min="57" max="57" width="5.77734375" style="114" bestFit="1" customWidth="1"/>
    <col min="58" max="58" width="4.77734375" style="114" bestFit="1" customWidth="1"/>
    <col min="59" max="59" width="9.21875" style="114" customWidth="1"/>
  </cols>
  <sheetData>
    <row r="1" spans="1:58">
      <c r="A1" s="67">
        <v>45017</v>
      </c>
      <c r="B1" s="6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126"/>
    </row>
    <row r="2" spans="1:58" ht="15" hidden="1" customHeight="1">
      <c r="A2" s="59"/>
      <c r="B2" s="60"/>
      <c r="C2" s="64" t="str">
        <f t="array" aca="1" ref="C2:C9" ca="1">IF((C$48&gt;=$AN$11:$AN$74)*(C$48&lt;=$AO$11:$AO$74),$AM$11:$AM$74,"")</f>
        <v/>
      </c>
      <c r="D2" s="64" t="str">
        <f t="array" aca="1" ref="D2:D9" ca="1">IF((D$48&gt;=$AN$11:$AN$74)*(D$48&lt;=$AO$11:$AO$74),$AM$11:$AM$74,"")</f>
        <v/>
      </c>
      <c r="E2" s="64" t="str">
        <f t="array" aca="1" ref="E2:E9" ca="1">IF((E$48&gt;=$AN$11:$AN$74)*(E$48&lt;=$AO$11:$AO$74),$AM$11:$AM$74,"")</f>
        <v/>
      </c>
      <c r="F2" s="64" t="str">
        <f t="array" aca="1" ref="F2:F9" ca="1">IF((F$48&gt;=$AN$11:$AN$74)*(F$48&lt;=$AO$11:$AO$74),$AM$11:$AM$74,"")</f>
        <v/>
      </c>
      <c r="G2" s="65" t="str">
        <f t="array" aca="1" ref="G2:G9" ca="1">IF((G$48&gt;=$AN$11:$AN$74)*(G$48&lt;=$AO$11:$AO$74),$AM$11:$AM$74,"")</f>
        <v/>
      </c>
      <c r="H2" s="65" t="str">
        <f t="array" aca="1" ref="H2:H9" ca="1">IF((H$48&gt;=$AN$11:$AN$74)*(H$48&lt;=$AO$11:$AO$74),$AM$11:$AM$74,"")</f>
        <v/>
      </c>
      <c r="I2" s="65" t="str">
        <f t="array" aca="1" ref="I2:I9" ca="1">IF((I$48&gt;=$AN$11:$AN$74)*(I$48&lt;=$AO$11:$AO$74),$AM$11:$AM$74,"")</f>
        <v/>
      </c>
      <c r="J2" s="65" t="str">
        <f t="array" aca="1" ref="J2:J9" ca="1">IF((J$48&gt;=$AN$11:$AN$74)*(J$48&lt;=$AO$11:$AO$74),$AM$11:$AM$74,"")</f>
        <v/>
      </c>
      <c r="K2" s="65" t="str">
        <f t="array" aca="1" ref="K2:K9" ca="1">IF((K$48&gt;=$AN$11:$AN$74)*(K$48&lt;=$AO$11:$AO$74),$AM$11:$AM$74,"")</f>
        <v/>
      </c>
      <c r="L2" s="65" t="str">
        <f t="array" aca="1" ref="L2:L9" ca="1">IF((L$48&gt;=$AN$11:$AN$74)*(L$48&lt;=$AO$11:$AO$74),$AM$11:$AM$74,"")</f>
        <v/>
      </c>
      <c r="M2" s="65" t="str">
        <f t="array" aca="1" ref="M2:M9" ca="1">IF((M$48&gt;=$AN$11:$AN$74)*(M$48&lt;=$AO$11:$AO$74),$AM$11:$AM$74,"")</f>
        <v/>
      </c>
      <c r="N2" s="65" t="str">
        <f t="array" aca="1" ref="N2:N9" ca="1">IF((N$48&gt;=$AN$11:$AN$74)*(N$48&lt;=$AO$11:$AO$74),$AM$11:$AM$74,"")</f>
        <v/>
      </c>
      <c r="O2" s="65" t="str">
        <f t="array" aca="1" ref="O2:O9" ca="1">IF((O$48&gt;=$AN$11:$AN$74)*(O$48&lt;=$AO$11:$AO$74),$AM$11:$AM$74,"")</f>
        <v/>
      </c>
      <c r="P2" s="65" t="str">
        <f t="array" aca="1" ref="P2:P9" ca="1">IF((P$48&gt;=$AN$11:$AN$74)*(P$48&lt;=$AO$11:$AO$74),$AM$11:$AM$74,"")</f>
        <v/>
      </c>
      <c r="Q2" s="64" t="str">
        <f t="array" aca="1" ref="Q2:Q9" ca="1">IF((Q$48&gt;=$AN$11:$AN$74)*(Q$48&lt;=$AO$11:$AO$74),$AM$11:$AM$74,"")</f>
        <v/>
      </c>
      <c r="R2" s="64" t="str">
        <f t="array" aca="1" ref="R2:R9" ca="1">IF((R$48&gt;=$AN$11:$AN$74)*(R$48&lt;=$AO$11:$AO$74),$AM$11:$AM$74,"")</f>
        <v/>
      </c>
      <c r="S2" s="64" t="str">
        <f t="array" aca="1" ref="S2:S9" ca="1">IF((S$48&gt;=$AN$11:$AN$74)*(S$48&lt;=$AO$11:$AO$74),$AM$11:$AM$74,"")</f>
        <v/>
      </c>
      <c r="T2" s="64" t="str">
        <f t="array" aca="1" ref="T2:T9" ca="1">IF((T$48&gt;=$AN$11:$AN$74)*(T$48&lt;=$AO$11:$AO$74),$AM$11:$AM$74,"")</f>
        <v/>
      </c>
      <c r="U2" s="64" t="str">
        <f t="array" aca="1" ref="U2:U9" ca="1">IF((U$48&gt;=$AN$11:$AN$74)*(U$48&lt;=$AO$11:$AO$74),$AM$11:$AM$74,"")</f>
        <v/>
      </c>
      <c r="V2" s="64" t="str">
        <f t="array" aca="1" ref="V2:V9" ca="1">IF((V$48&gt;=$AN$11:$AN$74)*(V$48&lt;=$AO$11:$AO$74),$AM$11:$AM$74,"")</f>
        <v/>
      </c>
      <c r="W2" s="64" t="str">
        <f t="array" aca="1" ref="W2:W9" ca="1">IF((W$48&gt;=$AN$11:$AN$74)*(W$48&lt;=$AO$11:$AO$74),$AM$11:$AM$74,"")</f>
        <v/>
      </c>
      <c r="X2" s="64" t="str">
        <f t="array" aca="1" ref="X2:X9" ca="1">IF((X$48&gt;=$AN$11:$AN$74)*(X$48&lt;=$AO$11:$AO$74),$AM$11:$AM$74,"")</f>
        <v/>
      </c>
      <c r="Y2" s="64" t="str">
        <f t="array" aca="1" ref="Y2:Y9" ca="1">IF((Y$48&gt;=$AN$11:$AN$74)*(Y$48&lt;=$AO$11:$AO$74),$AM$11:$AM$74,"")</f>
        <v/>
      </c>
      <c r="Z2" s="64" t="str">
        <f t="array" aca="1" ref="Z2:Z9" ca="1">IF((Z$48&gt;=$AN$11:$AN$74)*(Z$48&lt;=$AO$11:$AO$74),$AM$11:$AM$74,"")</f>
        <v/>
      </c>
      <c r="AA2" s="64" t="str">
        <f t="array" aca="1" ref="AA2:AA9" ca="1">IF((AA$48&gt;=$AN$11:$AN$74)*(AA$48&lt;=$AO$11:$AO$74),$AM$11:$AM$74,"")</f>
        <v/>
      </c>
      <c r="AB2" s="64" t="str">
        <f t="array" aca="1" ref="AB2:AB9" ca="1">IF((AB$48&gt;=$AN$11:$AN$74)*(AB$48&lt;=$AO$11:$AO$74),$AM$11:$AM$74,"")</f>
        <v/>
      </c>
      <c r="AC2" s="64" t="str">
        <f t="array" aca="1" ref="AC2:AC9" ca="1">IF((AC$48&gt;=$AN$11:$AN$74)*(AC$48&lt;=$AO$11:$AO$74),$AM$11:$AM$74,"")</f>
        <v/>
      </c>
      <c r="AD2" s="64" t="str">
        <f t="array" aca="1" ref="AD2:AD9" ca="1">IF((AD$48&gt;=$AN$11:$AN$74)*(AD$48&lt;=$AO$11:$AO$74),$AM$11:$AM$74,"")</f>
        <v/>
      </c>
      <c r="AE2" s="64" t="str">
        <f t="array" aca="1" ref="AE2:AE9" ca="1">IF((AE$48&gt;=$AN$11:$AN$74)*(AE$48&lt;=$AO$11:$AO$74),$AM$11:$AM$74,"")</f>
        <v/>
      </c>
      <c r="AF2" s="64" t="str">
        <f t="array" aca="1" ref="AF2:AF9" ca="1">IF((AF$48&gt;=$AN$11:$AN$74)*(AF$48&lt;=$AO$11:$AO$74),$AM$11:$AM$74,"")</f>
        <v/>
      </c>
      <c r="AG2" s="64" t="str">
        <f t="array" aca="1" ref="AG2:AG9" ca="1">IF((AG$48&gt;=$AN$11:$AN$74)*(AG$48&lt;=$AO$11:$AO$74),$AM$11:$AM$74,"")</f>
        <v/>
      </c>
      <c r="AH2" s="64" t="str">
        <f t="array" aca="1" ref="AH2:AH9" ca="1">IF((AH$48&gt;=$AN$11:$AN$74)*(AH$48&lt;=$AO$11:$AO$74),$AM$11:$AM$74,"")</f>
        <v/>
      </c>
      <c r="AI2" s="64" t="str">
        <f t="array" aca="1" ref="AI2:AI9" ca="1">IF((AI$48&gt;=$AN$11:$AN$74)*(AI$48&lt;=$AO$11:$AO$74),$AM$11:$AM$74,"")</f>
        <v/>
      </c>
      <c r="AN2" s="186" t="s">
        <v>3</v>
      </c>
      <c r="AO2" s="187"/>
      <c r="AP2" s="126"/>
      <c r="AQ2" s="186" t="s">
        <v>60</v>
      </c>
      <c r="AR2" s="187"/>
      <c r="AS2" s="186" t="s">
        <v>89</v>
      </c>
      <c r="AT2" s="187"/>
      <c r="AU2" s="186" t="s">
        <v>90</v>
      </c>
      <c r="AV2" s="187"/>
      <c r="AW2" s="186" t="s">
        <v>148</v>
      </c>
      <c r="AX2" s="187"/>
      <c r="AY2" s="186" t="s">
        <v>92</v>
      </c>
      <c r="AZ2" s="187"/>
      <c r="BA2" s="186" t="s">
        <v>149</v>
      </c>
      <c r="BB2" s="187"/>
      <c r="BC2" s="186" t="s">
        <v>150</v>
      </c>
      <c r="BD2" s="187"/>
      <c r="BE2" s="186" t="s">
        <v>96</v>
      </c>
      <c r="BF2" s="187"/>
    </row>
    <row r="3" spans="1:58" ht="15" hidden="1" customHeight="1">
      <c r="A3" s="59"/>
      <c r="B3" s="60"/>
      <c r="C3" s="57" t="str">
        <f ca="1"/>
        <v/>
      </c>
      <c r="D3" s="57" t="str">
        <f ca="1"/>
        <v/>
      </c>
      <c r="E3" s="57" t="str">
        <f ca="1"/>
        <v/>
      </c>
      <c r="F3" s="57" t="str">
        <f ca="1"/>
        <v/>
      </c>
      <c r="G3" s="54" t="str">
        <f ca="1"/>
        <v/>
      </c>
      <c r="H3" s="54" t="str">
        <f ca="1"/>
        <v/>
      </c>
      <c r="I3" s="54" t="str">
        <f ca="1"/>
        <v/>
      </c>
      <c r="J3" s="54" t="str">
        <f ca="1"/>
        <v/>
      </c>
      <c r="K3" s="54" t="str">
        <f ca="1"/>
        <v/>
      </c>
      <c r="L3" s="54" t="str">
        <f ca="1"/>
        <v/>
      </c>
      <c r="M3" s="54" t="str">
        <f ca="1"/>
        <v/>
      </c>
      <c r="N3" s="54" t="str">
        <f ca="1"/>
        <v/>
      </c>
      <c r="O3" s="54" t="str">
        <f ca="1"/>
        <v/>
      </c>
      <c r="P3" s="54" t="str">
        <f ca="1"/>
        <v/>
      </c>
      <c r="Q3" s="57" t="str">
        <f ca="1"/>
        <v/>
      </c>
      <c r="R3" s="57" t="str">
        <f ca="1"/>
        <v/>
      </c>
      <c r="S3" s="57" t="str">
        <f ca="1"/>
        <v/>
      </c>
      <c r="T3" s="57" t="str">
        <f ca="1"/>
        <v/>
      </c>
      <c r="U3" s="57" t="str">
        <f ca="1"/>
        <v/>
      </c>
      <c r="V3" s="57" t="str">
        <f ca="1"/>
        <v/>
      </c>
      <c r="W3" s="57" t="str">
        <f ca="1"/>
        <v/>
      </c>
      <c r="X3" s="57" t="str">
        <f ca="1"/>
        <v/>
      </c>
      <c r="Y3" s="57" t="str">
        <f ca="1"/>
        <v/>
      </c>
      <c r="Z3" s="57" t="str">
        <f ca="1"/>
        <v/>
      </c>
      <c r="AA3" s="57" t="str">
        <f ca="1"/>
        <v/>
      </c>
      <c r="AB3" s="57" t="str">
        <f ca="1"/>
        <v/>
      </c>
      <c r="AC3" s="57" t="str">
        <f ca="1"/>
        <v/>
      </c>
      <c r="AD3" s="57" t="str">
        <f ca="1"/>
        <v/>
      </c>
      <c r="AE3" s="57" t="str">
        <f ca="1"/>
        <v/>
      </c>
      <c r="AF3" s="57" t="str">
        <f ca="1"/>
        <v/>
      </c>
      <c r="AG3" s="57" t="str">
        <f ca="1"/>
        <v/>
      </c>
      <c r="AH3" s="57" t="str">
        <f ca="1"/>
        <v/>
      </c>
      <c r="AI3" s="57" t="str">
        <f ca="1"/>
        <v/>
      </c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</row>
    <row r="4" spans="1:58" ht="15" hidden="1" customHeight="1">
      <c r="A4" s="59"/>
      <c r="B4" s="60"/>
      <c r="C4" s="57" t="str">
        <f ca="1"/>
        <v/>
      </c>
      <c r="D4" s="57" t="str">
        <f ca="1"/>
        <v/>
      </c>
      <c r="E4" s="57" t="str">
        <f ca="1"/>
        <v/>
      </c>
      <c r="F4" s="57" t="str">
        <f ca="1"/>
        <v/>
      </c>
      <c r="G4" s="57" t="str">
        <f ca="1"/>
        <v/>
      </c>
      <c r="H4" s="57" t="str">
        <f ca="1"/>
        <v/>
      </c>
      <c r="I4" s="57" t="str">
        <f ca="1"/>
        <v/>
      </c>
      <c r="J4" s="57" t="str">
        <f ca="1"/>
        <v/>
      </c>
      <c r="K4" s="57" t="str">
        <f ca="1"/>
        <v/>
      </c>
      <c r="L4" s="57" t="str">
        <f ca="1"/>
        <v/>
      </c>
      <c r="M4" s="57" t="str">
        <f ca="1"/>
        <v/>
      </c>
      <c r="N4" s="57" t="str">
        <f ca="1"/>
        <v/>
      </c>
      <c r="O4" s="57" t="str">
        <f ca="1"/>
        <v/>
      </c>
      <c r="P4" s="57" t="str">
        <f ca="1"/>
        <v/>
      </c>
      <c r="Q4" s="57" t="str">
        <f ca="1"/>
        <v/>
      </c>
      <c r="R4" s="57" t="str">
        <f ca="1"/>
        <v/>
      </c>
      <c r="S4" s="57" t="str">
        <f ca="1"/>
        <v/>
      </c>
      <c r="T4" s="57" t="str">
        <f ca="1"/>
        <v/>
      </c>
      <c r="U4" s="57" t="str">
        <f ca="1"/>
        <v/>
      </c>
      <c r="V4" s="57" t="str">
        <f ca="1"/>
        <v/>
      </c>
      <c r="W4" s="57" t="str">
        <f ca="1"/>
        <v/>
      </c>
      <c r="X4" s="57" t="str">
        <f ca="1"/>
        <v/>
      </c>
      <c r="Y4" s="57" t="str">
        <f ca="1"/>
        <v/>
      </c>
      <c r="Z4" s="57" t="str">
        <f ca="1"/>
        <v/>
      </c>
      <c r="AA4" s="57" t="str">
        <f ca="1"/>
        <v/>
      </c>
      <c r="AB4" s="57" t="str">
        <f ca="1"/>
        <v/>
      </c>
      <c r="AC4" s="57" t="str">
        <f ca="1"/>
        <v/>
      </c>
      <c r="AD4" s="57" t="str">
        <f ca="1"/>
        <v/>
      </c>
      <c r="AE4" s="57" t="str">
        <f ca="1"/>
        <v/>
      </c>
      <c r="AF4" s="57" t="str">
        <f ca="1"/>
        <v/>
      </c>
      <c r="AG4" s="57" t="str">
        <f ca="1"/>
        <v/>
      </c>
      <c r="AH4" s="57" t="str">
        <f ca="1"/>
        <v/>
      </c>
      <c r="AI4" s="57" t="str">
        <f ca="1"/>
        <v/>
      </c>
      <c r="AN4" s="126"/>
      <c r="AO4" s="126"/>
      <c r="AP4" s="126"/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</row>
    <row r="5" spans="1:58" ht="15" hidden="1" customHeight="1">
      <c r="A5" s="59"/>
      <c r="B5" s="60"/>
      <c r="C5" s="57" t="str">
        <f ca="1"/>
        <v/>
      </c>
      <c r="D5" s="57" t="str">
        <f ca="1"/>
        <v/>
      </c>
      <c r="E5" s="57" t="str">
        <f ca="1"/>
        <v/>
      </c>
      <c r="F5" s="57" t="str">
        <f ca="1"/>
        <v/>
      </c>
      <c r="G5" s="57" t="str">
        <f ca="1"/>
        <v/>
      </c>
      <c r="H5" s="57" t="str">
        <f ca="1"/>
        <v/>
      </c>
      <c r="I5" s="57" t="str">
        <f ca="1"/>
        <v/>
      </c>
      <c r="J5" s="57" t="str">
        <f ca="1"/>
        <v/>
      </c>
      <c r="K5" s="57" t="str">
        <f ca="1"/>
        <v/>
      </c>
      <c r="L5" s="57" t="str">
        <f ca="1"/>
        <v/>
      </c>
      <c r="M5" s="57" t="str">
        <f ca="1"/>
        <v/>
      </c>
      <c r="N5" s="57" t="str">
        <f ca="1"/>
        <v/>
      </c>
      <c r="O5" s="57" t="str">
        <f ca="1"/>
        <v/>
      </c>
      <c r="P5" s="57" t="str">
        <f ca="1"/>
        <v/>
      </c>
      <c r="Q5" s="57" t="str">
        <f ca="1"/>
        <v/>
      </c>
      <c r="R5" s="57" t="str">
        <f ca="1"/>
        <v/>
      </c>
      <c r="S5" s="57" t="str">
        <f ca="1"/>
        <v/>
      </c>
      <c r="T5" s="57" t="str">
        <f ca="1"/>
        <v/>
      </c>
      <c r="U5" s="57" t="str">
        <f ca="1"/>
        <v/>
      </c>
      <c r="V5" s="57" t="str">
        <f ca="1"/>
        <v/>
      </c>
      <c r="W5" s="57" t="str">
        <f ca="1"/>
        <v/>
      </c>
      <c r="X5" s="57" t="str">
        <f ca="1"/>
        <v/>
      </c>
      <c r="Y5" s="57" t="str">
        <f ca="1"/>
        <v/>
      </c>
      <c r="Z5" s="57" t="str">
        <f ca="1"/>
        <v/>
      </c>
      <c r="AA5" s="57" t="str">
        <f ca="1"/>
        <v/>
      </c>
      <c r="AB5" s="57" t="str">
        <f ca="1"/>
        <v/>
      </c>
      <c r="AC5" s="57" t="str">
        <f ca="1"/>
        <v/>
      </c>
      <c r="AD5" s="57" t="str">
        <f ca="1"/>
        <v/>
      </c>
      <c r="AE5" s="57" t="str">
        <f ca="1"/>
        <v/>
      </c>
      <c r="AF5" s="57" t="str">
        <f ca="1"/>
        <v/>
      </c>
      <c r="AG5" s="57" t="str">
        <f ca="1"/>
        <v/>
      </c>
      <c r="AH5" s="57" t="str">
        <f ca="1"/>
        <v/>
      </c>
      <c r="AI5" s="57" t="str">
        <f ca="1"/>
        <v/>
      </c>
      <c r="AN5" s="126"/>
      <c r="AO5" s="126"/>
      <c r="AP5" s="126"/>
      <c r="AQ5" s="126"/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6"/>
      <c r="BF5" s="126"/>
    </row>
    <row r="6" spans="1:58" ht="15" hidden="1" customHeight="1">
      <c r="A6" s="59"/>
      <c r="B6" s="60"/>
      <c r="C6" s="57" t="str">
        <f ca="1"/>
        <v/>
      </c>
      <c r="D6" s="57" t="str">
        <f ca="1"/>
        <v/>
      </c>
      <c r="E6" s="57" t="str">
        <f ca="1"/>
        <v/>
      </c>
      <c r="F6" s="57" t="str">
        <f ca="1"/>
        <v/>
      </c>
      <c r="G6" s="57" t="str">
        <f ca="1"/>
        <v/>
      </c>
      <c r="H6" s="57" t="str">
        <f ca="1"/>
        <v/>
      </c>
      <c r="I6" s="57" t="str">
        <f ca="1"/>
        <v/>
      </c>
      <c r="J6" s="57" t="str">
        <f ca="1"/>
        <v/>
      </c>
      <c r="K6" s="57" t="str">
        <f ca="1"/>
        <v/>
      </c>
      <c r="L6" s="57" t="str">
        <f ca="1"/>
        <v/>
      </c>
      <c r="M6" s="57" t="str">
        <f ca="1"/>
        <v/>
      </c>
      <c r="N6" s="57" t="str">
        <f ca="1"/>
        <v/>
      </c>
      <c r="O6" s="57" t="str">
        <f ca="1"/>
        <v/>
      </c>
      <c r="P6" s="57" t="str">
        <f ca="1"/>
        <v/>
      </c>
      <c r="Q6" s="57" t="str">
        <f ca="1"/>
        <v/>
      </c>
      <c r="R6" s="57" t="str">
        <f ca="1"/>
        <v/>
      </c>
      <c r="S6" s="57" t="str">
        <f ca="1"/>
        <v/>
      </c>
      <c r="T6" s="57" t="str">
        <f ca="1"/>
        <v/>
      </c>
      <c r="U6" s="57" t="str">
        <f ca="1"/>
        <v/>
      </c>
      <c r="V6" s="57" t="str">
        <f ca="1"/>
        <v/>
      </c>
      <c r="W6" s="57" t="str">
        <f ca="1"/>
        <v/>
      </c>
      <c r="X6" s="57" t="str">
        <f ca="1"/>
        <v/>
      </c>
      <c r="Y6" s="57" t="str">
        <f ca="1"/>
        <v/>
      </c>
      <c r="Z6" s="57" t="str">
        <f ca="1"/>
        <v/>
      </c>
      <c r="AA6" s="57" t="str">
        <f ca="1"/>
        <v/>
      </c>
      <c r="AB6" s="57" t="str">
        <f ca="1"/>
        <v/>
      </c>
      <c r="AC6" s="57" t="str">
        <f ca="1"/>
        <v/>
      </c>
      <c r="AD6" s="57" t="str">
        <f ca="1"/>
        <v/>
      </c>
      <c r="AE6" s="57" t="str">
        <f ca="1"/>
        <v/>
      </c>
      <c r="AF6" s="57" t="str">
        <f ca="1"/>
        <v/>
      </c>
      <c r="AG6" s="57" t="str">
        <f ca="1"/>
        <v/>
      </c>
      <c r="AH6" s="57" t="str">
        <f ca="1"/>
        <v/>
      </c>
      <c r="AI6" s="57" t="str">
        <f ca="1"/>
        <v/>
      </c>
      <c r="AN6" s="126"/>
      <c r="AO6" s="126"/>
      <c r="AP6" s="126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</row>
    <row r="7" spans="1:58" ht="15" hidden="1" customHeight="1">
      <c r="A7" s="59"/>
      <c r="B7" s="60"/>
      <c r="C7" s="57" t="str">
        <f ca="1"/>
        <v/>
      </c>
      <c r="D7" s="57" t="str">
        <f ca="1"/>
        <v/>
      </c>
      <c r="E7" s="57" t="str">
        <f ca="1"/>
        <v/>
      </c>
      <c r="F7" s="57" t="str">
        <f ca="1"/>
        <v/>
      </c>
      <c r="G7" s="57" t="str">
        <f ca="1"/>
        <v/>
      </c>
      <c r="H7" s="57" t="str">
        <f ca="1"/>
        <v/>
      </c>
      <c r="I7" s="57" t="str">
        <f ca="1"/>
        <v/>
      </c>
      <c r="J7" s="57" t="str">
        <f ca="1"/>
        <v/>
      </c>
      <c r="K7" s="57" t="str">
        <f ca="1"/>
        <v/>
      </c>
      <c r="L7" s="57" t="str">
        <f ca="1"/>
        <v/>
      </c>
      <c r="M7" s="57" t="str">
        <f ca="1"/>
        <v/>
      </c>
      <c r="N7" s="57" t="str">
        <f ca="1"/>
        <v/>
      </c>
      <c r="O7" s="57" t="str">
        <f ca="1"/>
        <v/>
      </c>
      <c r="P7" s="57" t="str">
        <f ca="1"/>
        <v/>
      </c>
      <c r="Q7" s="57" t="str">
        <f ca="1"/>
        <v/>
      </c>
      <c r="R7" s="57" t="str">
        <f ca="1"/>
        <v/>
      </c>
      <c r="S7" s="57" t="str">
        <f ca="1"/>
        <v/>
      </c>
      <c r="T7" s="57" t="str">
        <f ca="1"/>
        <v/>
      </c>
      <c r="U7" s="57" t="str">
        <f ca="1"/>
        <v/>
      </c>
      <c r="V7" s="57" t="str">
        <f ca="1"/>
        <v/>
      </c>
      <c r="W7" s="57" t="str">
        <f ca="1"/>
        <v/>
      </c>
      <c r="X7" s="57" t="str">
        <f ca="1"/>
        <v/>
      </c>
      <c r="Y7" s="57" t="str">
        <f ca="1"/>
        <v/>
      </c>
      <c r="Z7" s="57" t="str">
        <f ca="1"/>
        <v/>
      </c>
      <c r="AA7" s="57" t="str">
        <f ca="1"/>
        <v/>
      </c>
      <c r="AB7" s="57" t="str">
        <f ca="1"/>
        <v/>
      </c>
      <c r="AC7" s="57" t="str">
        <f ca="1"/>
        <v/>
      </c>
      <c r="AD7" s="57" t="str">
        <f ca="1"/>
        <v/>
      </c>
      <c r="AE7" s="57" t="str">
        <f ca="1"/>
        <v/>
      </c>
      <c r="AF7" s="57" t="str">
        <f ca="1"/>
        <v/>
      </c>
      <c r="AG7" s="57" t="str">
        <f ca="1"/>
        <v/>
      </c>
      <c r="AH7" s="57" t="str">
        <f ca="1"/>
        <v/>
      </c>
      <c r="AI7" s="57" t="str">
        <f ca="1"/>
        <v/>
      </c>
      <c r="AN7" s="126"/>
      <c r="AO7" s="126"/>
      <c r="AP7" s="126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</row>
    <row r="8" spans="1:58" ht="15" hidden="1" customHeight="1">
      <c r="A8" s="61"/>
      <c r="B8" s="62"/>
      <c r="C8" s="57" t="str">
        <f ca="1"/>
        <v/>
      </c>
      <c r="D8" s="57" t="str">
        <f ca="1"/>
        <v/>
      </c>
      <c r="E8" s="57" t="str">
        <f ca="1"/>
        <v/>
      </c>
      <c r="F8" s="57" t="str">
        <f ca="1"/>
        <v/>
      </c>
      <c r="G8" s="57" t="str">
        <f ca="1"/>
        <v/>
      </c>
      <c r="H8" s="57" t="str">
        <f ca="1"/>
        <v/>
      </c>
      <c r="I8" s="57" t="str">
        <f ca="1"/>
        <v/>
      </c>
      <c r="J8" s="57" t="str">
        <f ca="1"/>
        <v/>
      </c>
      <c r="K8" s="57" t="str">
        <f ca="1"/>
        <v/>
      </c>
      <c r="L8" s="57" t="str">
        <f ca="1"/>
        <v/>
      </c>
      <c r="M8" s="57" t="str">
        <f ca="1"/>
        <v/>
      </c>
      <c r="N8" s="57" t="str">
        <f ca="1"/>
        <v/>
      </c>
      <c r="O8" s="57" t="str">
        <f ca="1"/>
        <v/>
      </c>
      <c r="P8" s="57" t="str">
        <f ca="1"/>
        <v/>
      </c>
      <c r="Q8" s="57" t="str">
        <f ca="1"/>
        <v/>
      </c>
      <c r="R8" s="57" t="str">
        <f ca="1"/>
        <v/>
      </c>
      <c r="S8" s="57" t="str">
        <f ca="1"/>
        <v/>
      </c>
      <c r="T8" s="57" t="str">
        <f ca="1"/>
        <v/>
      </c>
      <c r="U8" s="57" t="str">
        <f ca="1"/>
        <v/>
      </c>
      <c r="V8" s="57" t="str">
        <f ca="1"/>
        <v/>
      </c>
      <c r="W8" s="57" t="str">
        <f ca="1"/>
        <v/>
      </c>
      <c r="X8" s="57" t="str">
        <f ca="1"/>
        <v/>
      </c>
      <c r="Y8" s="57" t="str">
        <f ca="1"/>
        <v/>
      </c>
      <c r="Z8" s="57" t="str">
        <f ca="1"/>
        <v/>
      </c>
      <c r="AA8" s="57" t="str">
        <f ca="1"/>
        <v/>
      </c>
      <c r="AB8" s="57" t="str">
        <f ca="1"/>
        <v/>
      </c>
      <c r="AC8" s="57" t="str">
        <f ca="1"/>
        <v/>
      </c>
      <c r="AD8" s="57" t="str">
        <f ca="1"/>
        <v/>
      </c>
      <c r="AE8" s="57" t="str">
        <f ca="1"/>
        <v/>
      </c>
      <c r="AF8" s="57" t="str">
        <f ca="1"/>
        <v/>
      </c>
      <c r="AG8" s="57" t="str">
        <f ca="1"/>
        <v/>
      </c>
      <c r="AH8" s="57" t="str">
        <f ca="1"/>
        <v/>
      </c>
      <c r="AI8" s="57" t="str">
        <f ca="1"/>
        <v/>
      </c>
      <c r="AN8" s="126"/>
      <c r="AO8" s="126"/>
      <c r="AP8" s="126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</row>
    <row r="9" spans="1:58">
      <c r="A9" s="55"/>
      <c r="B9" s="56"/>
      <c r="C9" s="66" t="str">
        <f ca="1"/>
        <v/>
      </c>
      <c r="D9" s="66" t="str">
        <f ca="1"/>
        <v/>
      </c>
      <c r="E9" s="66" t="str">
        <f ca="1"/>
        <v/>
      </c>
      <c r="F9" s="66" t="str">
        <f ca="1"/>
        <v/>
      </c>
      <c r="G9" s="66" t="str">
        <f ca="1"/>
        <v/>
      </c>
      <c r="H9" s="66" t="str">
        <f ca="1"/>
        <v/>
      </c>
      <c r="I9" s="66" t="str">
        <f ca="1"/>
        <v/>
      </c>
      <c r="J9" s="66" t="str">
        <f ca="1"/>
        <v/>
      </c>
      <c r="K9" s="66" t="str">
        <f ca="1"/>
        <v/>
      </c>
      <c r="L9" s="66" t="str">
        <f ca="1"/>
        <v/>
      </c>
      <c r="M9" s="66" t="str">
        <f ca="1"/>
        <v/>
      </c>
      <c r="N9" s="66" t="str">
        <f ca="1"/>
        <v/>
      </c>
      <c r="O9" s="66" t="str">
        <f ca="1"/>
        <v/>
      </c>
      <c r="P9" s="66" t="str">
        <f ca="1"/>
        <v/>
      </c>
      <c r="Q9" s="66" t="str">
        <f ca="1"/>
        <v/>
      </c>
      <c r="R9" s="66" t="str">
        <f ca="1"/>
        <v/>
      </c>
      <c r="S9" s="66" t="str">
        <f ca="1"/>
        <v/>
      </c>
      <c r="T9" s="66" t="str">
        <f ca="1"/>
        <v/>
      </c>
      <c r="U9" s="66" t="str">
        <f ca="1"/>
        <v/>
      </c>
      <c r="V9" s="66" t="str">
        <f ca="1"/>
        <v/>
      </c>
      <c r="W9" s="66" t="str">
        <f ca="1"/>
        <v/>
      </c>
      <c r="X9" s="66" t="str">
        <f ca="1"/>
        <v/>
      </c>
      <c r="Y9" s="66" t="str">
        <f ca="1"/>
        <v/>
      </c>
      <c r="Z9" s="66" t="str">
        <f ca="1"/>
        <v/>
      </c>
      <c r="AA9" s="66" t="str">
        <f ca="1"/>
        <v/>
      </c>
      <c r="AB9" s="66" t="str">
        <f ca="1"/>
        <v/>
      </c>
      <c r="AC9" s="66" t="str">
        <f ca="1"/>
        <v/>
      </c>
      <c r="AD9" s="66" t="str">
        <f ca="1"/>
        <v/>
      </c>
      <c r="AE9" s="66" t="str">
        <f ca="1"/>
        <v/>
      </c>
      <c r="AF9" s="66" t="str">
        <f ca="1"/>
        <v/>
      </c>
      <c r="AG9" s="66" t="str">
        <f ca="1"/>
        <v/>
      </c>
      <c r="AH9" s="66" t="str">
        <f ca="1"/>
        <v/>
      </c>
      <c r="AI9" s="66" t="str">
        <f ca="1"/>
        <v/>
      </c>
      <c r="AN9" s="126"/>
      <c r="AO9" s="126"/>
      <c r="AP9" s="126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</row>
    <row r="10" spans="1:58">
      <c r="A10" s="7" t="s">
        <v>3</v>
      </c>
      <c r="B10" s="1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M10" t="s">
        <v>151</v>
      </c>
      <c r="AN10" t="s">
        <v>152</v>
      </c>
      <c r="AO10" t="s">
        <v>153</v>
      </c>
      <c r="AP10" t="s">
        <v>151</v>
      </c>
      <c r="AQ10" t="s">
        <v>152</v>
      </c>
      <c r="AR10" t="s">
        <v>153</v>
      </c>
      <c r="AS10" t="s">
        <v>152</v>
      </c>
      <c r="AT10" t="s">
        <v>153</v>
      </c>
      <c r="AU10" t="s">
        <v>152</v>
      </c>
      <c r="AV10" t="s">
        <v>153</v>
      </c>
      <c r="AW10" t="s">
        <v>152</v>
      </c>
      <c r="AX10" t="s">
        <v>153</v>
      </c>
      <c r="AY10" t="s">
        <v>152</v>
      </c>
      <c r="AZ10" t="s">
        <v>153</v>
      </c>
      <c r="BA10" t="s">
        <v>152</v>
      </c>
      <c r="BB10" t="s">
        <v>153</v>
      </c>
      <c r="BC10" t="s">
        <v>152</v>
      </c>
      <c r="BD10" t="s">
        <v>153</v>
      </c>
      <c r="BE10" t="s">
        <v>152</v>
      </c>
      <c r="BF10" t="s">
        <v>153</v>
      </c>
    </row>
    <row r="11" spans="1:58">
      <c r="A11" s="75"/>
      <c r="B11" s="11" t="s">
        <v>154</v>
      </c>
      <c r="C11" s="112">
        <f>EOMONTH($A$1,-1)</f>
        <v>45016</v>
      </c>
      <c r="D11" s="112">
        <f t="shared" ref="D11:AI11" si="0">C11+1</f>
        <v>45017</v>
      </c>
      <c r="E11" s="112">
        <f t="shared" si="0"/>
        <v>45018</v>
      </c>
      <c r="F11" s="112">
        <f t="shared" si="0"/>
        <v>45019</v>
      </c>
      <c r="G11" s="112">
        <f t="shared" si="0"/>
        <v>45020</v>
      </c>
      <c r="H11" s="112">
        <f t="shared" si="0"/>
        <v>45021</v>
      </c>
      <c r="I11" s="112">
        <f t="shared" si="0"/>
        <v>45022</v>
      </c>
      <c r="J11" s="112">
        <f t="shared" si="0"/>
        <v>45023</v>
      </c>
      <c r="K11" s="112">
        <f t="shared" si="0"/>
        <v>45024</v>
      </c>
      <c r="L11" s="112">
        <f t="shared" si="0"/>
        <v>45025</v>
      </c>
      <c r="M11" s="112">
        <f t="shared" si="0"/>
        <v>45026</v>
      </c>
      <c r="N11" s="112">
        <f t="shared" si="0"/>
        <v>45027</v>
      </c>
      <c r="O11" s="112">
        <f t="shared" si="0"/>
        <v>45028</v>
      </c>
      <c r="P11" s="112">
        <f t="shared" si="0"/>
        <v>45029</v>
      </c>
      <c r="Q11" s="112">
        <f t="shared" si="0"/>
        <v>45030</v>
      </c>
      <c r="R11" s="112">
        <f t="shared" si="0"/>
        <v>45031</v>
      </c>
      <c r="S11" s="112">
        <f t="shared" si="0"/>
        <v>45032</v>
      </c>
      <c r="T11" s="112">
        <f t="shared" si="0"/>
        <v>45033</v>
      </c>
      <c r="U11" s="112">
        <f t="shared" si="0"/>
        <v>45034</v>
      </c>
      <c r="V11" s="112">
        <f t="shared" si="0"/>
        <v>45035</v>
      </c>
      <c r="W11" s="112">
        <f t="shared" si="0"/>
        <v>45036</v>
      </c>
      <c r="X11" s="112">
        <f t="shared" si="0"/>
        <v>45037</v>
      </c>
      <c r="Y11" s="112">
        <f t="shared" si="0"/>
        <v>45038</v>
      </c>
      <c r="Z11" s="112">
        <f t="shared" si="0"/>
        <v>45039</v>
      </c>
      <c r="AA11" s="112">
        <f t="shared" si="0"/>
        <v>45040</v>
      </c>
      <c r="AB11" s="112">
        <f t="shared" si="0"/>
        <v>45041</v>
      </c>
      <c r="AC11" s="112">
        <f t="shared" si="0"/>
        <v>45042</v>
      </c>
      <c r="AD11" s="112">
        <f t="shared" si="0"/>
        <v>45043</v>
      </c>
      <c r="AE11" s="112">
        <f t="shared" si="0"/>
        <v>45044</v>
      </c>
      <c r="AF11" s="112">
        <f t="shared" si="0"/>
        <v>45045</v>
      </c>
      <c r="AG11" s="112">
        <f t="shared" si="0"/>
        <v>45046</v>
      </c>
      <c r="AH11" s="112">
        <f t="shared" si="0"/>
        <v>45047</v>
      </c>
      <c r="AI11" s="112">
        <f t="shared" si="0"/>
        <v>45048</v>
      </c>
      <c r="AK11" s="190" t="s">
        <v>214</v>
      </c>
      <c r="AL11">
        <v>1</v>
      </c>
      <c r="AM11" t="str">
        <f t="array" aca="1" ref="AM11" ca="1">IFERROR(OFFSET('(Fill In) SIAO'!$A$1,SMALL(IF(Signals="Y",ROW(Signals)),AL11)-1,COLUMN(Conducts)-1),"")</f>
        <v/>
      </c>
      <c r="AN11" s="113" t="str">
        <f t="array" aca="1" ref="AN11" ca="1">IFERROR(OFFSET('(Fill In) SIAO'!$A$1,SMALL(IF(Signals="Y",ROW(Signals)),AL11)-1,COLUMN(StartDate)-1),"")</f>
        <v/>
      </c>
      <c r="AO11" s="113" t="str">
        <f t="array" aca="1" ref="AO11" ca="1">IFERROR(OFFSET('(Fill In) SIAO'!$A$1,SMALL(IF(Signals="Y",ROW(Signals)),AL11)-1,COLUMN(EndDate)-1),"")</f>
        <v/>
      </c>
      <c r="AP11" s="113" t="str">
        <f t="array" aca="1" ref="AP11" ca="1">IFERROR(OFFSET('(Fill In) SIAO'!$A$1,SMALL(IF(Optics="Y",ROW(Optics)),AL11)-1,COLUMN(Conducts)-1),"")</f>
        <v/>
      </c>
      <c r="AQ11" s="113" t="str">
        <f t="array" aca="1" ref="AQ11" ca="1">IFERROR(OFFSET('(Fill In) SIAO'!$A$1,SMALL(IF(Optics="Y",ROW(Optics)),AL11)-1,COLUMN(StartDate)-1),"")</f>
        <v/>
      </c>
      <c r="AR11" s="113" t="str">
        <f t="array" aca="1" ref="AR11" ca="1">IFERROR(OFFSET('(Fill In) SIAO'!$A$1,SMALL(IF(Optics="Y",ROW(Optics)),AL11)-1,COLUMN(EndDate)-1),"")</f>
        <v/>
      </c>
      <c r="AS11" s="113" t="str">
        <f t="array" aca="1" ref="AS11" ca="1">IFERROR(OFFSET('(Fill In) SIAO'!$A$1,SMALL(IF(ACMS="Y",ROW(ACMS)),AL11)-1,COLUMN(StartDate)-1),"")</f>
        <v/>
      </c>
      <c r="AT11" s="113" t="str">
        <f t="array" aca="1" ref="AT11" ca="1">IFERROR(OFFSET('(Fill In) SIAO'!$A$1,SMALL(IF(ACMS="Y",ROW(ACMS)),AL11)-1,COLUMN(EndDate)-1),"")</f>
        <v/>
      </c>
      <c r="AU11" s="113" t="str">
        <f t="array" aca="1" ref="AU11" ca="1">IFERROR(OFFSET('(Fill In) SIAO'!$A$1,SMALL(IF(UOCE="Y",ROW(UOCE)),AL11)-1,COLUMN(StartDate)-1),"")</f>
        <v/>
      </c>
      <c r="AV11" s="113" t="str">
        <f t="array" aca="1" ref="AV11" ca="1">IFERROR(OFFSET('(Fill In) SIAO'!$A$1,SMALL(IF(UOCE="Y",ROW(UOCE)),AL11)-1,COLUMN(EndDate)-1),"")</f>
        <v/>
      </c>
      <c r="AW11" s="113" t="str">
        <f t="array" aca="1" ref="AW11" ca="1">IFERROR(OFFSET('(Fill In) SIAO'!$A$1,SMALL(IF(HLT="Y",ROW(HLT)),AL11)-1,COLUMN(StartDate)-1),"")</f>
        <v/>
      </c>
      <c r="AX11" s="113" t="str">
        <f t="array" aca="1" ref="AX11" ca="1">IFERROR(OFFSET('(Fill In) SIAO'!$A$1,SMALL(IF(HLT="Y",ROW(HLT)),AL11)-1,COLUMN(EndDate)-1),"")</f>
        <v/>
      </c>
      <c r="AY11" s="113" t="str">
        <f t="array" aca="1" ref="AY11" ca="1">IFERROR(OFFSET('(Fill In) SIAO'!$A$1,SMALL(IF(PANTES="Y",ROW(PANTES)),AL11)-1,COLUMN(StartDate)-1),"")</f>
        <v/>
      </c>
      <c r="AZ11" s="113" t="str">
        <f t="array" aca="1" ref="AZ11" ca="1">IFERROR(OFFSET('(Fill In) SIAO'!$A$1,SMALL(IF(PANTES="Y",ROW(PANTES)),AL11)-1,COLUMN(EndDate)-1),"")</f>
        <v/>
      </c>
      <c r="BA11" s="113" t="str">
        <f t="array" aca="1" ref="BA11" ca="1">IFERROR(OFFSET('(Fill In) SIAO'!$A$1,SMALL(IF(Heli="Y",ROW(Heli)),AL11)-1,COLUMN(StartDate)-1),"")</f>
        <v/>
      </c>
      <c r="BB11" s="113" t="str">
        <f t="array" aca="1" ref="BB11" ca="1">IFERROR(OFFSET('(Fill In) SIAO'!$A$1,SMALL(IF(Heli="Y",ROW(Heli)),AL11)-1,COLUMN(EndDate)-1),"")</f>
        <v/>
      </c>
      <c r="BC11" s="113" t="str">
        <f t="array" aca="1" ref="BC11" ca="1">IFERROR(OFFSET('(Fill In) SIAO'!$A$1,SMALL(IF(MMR="Y",ROW(MMR)),AL11)-1,COLUMN(StartDate)-1),"")</f>
        <v/>
      </c>
      <c r="BD11" s="113" t="str">
        <f t="array" aca="1" ref="BD11" ca="1">IFERROR(OFFSET('(Fill In) SIAO'!$A$1,SMALL(IF(MMR="Y",ROW(MMR)),AL11)-1,COLUMN(EndDate)-1),"")</f>
        <v/>
      </c>
      <c r="BE11" s="113" t="str">
        <f t="array" aca="1" ref="BE11" ca="1">IFERROR(OFFSET('(Fill In) SIAO'!$A$1,SMALL(IF(POL="Y",ROW(POL)),AL11)-1,COLUMN(StartDate)-1),"")</f>
        <v/>
      </c>
      <c r="BF11" s="113" t="str">
        <f t="array" aca="1" ref="BF11" ca="1">IFERROR(OFFSET('(Fill In) SIAO'!$A$1,SMALL(IF(POL="Y",ROW(POL)),AL11)-1,COLUMN(EndDate)-1),"")</f>
        <v/>
      </c>
    </row>
    <row r="12" spans="1:58">
      <c r="A12" s="75" t="s">
        <v>38</v>
      </c>
      <c r="B12" s="188" t="s">
        <v>222</v>
      </c>
      <c r="C12" s="76"/>
      <c r="D12" s="77"/>
      <c r="E12" s="77"/>
      <c r="F12" s="78"/>
      <c r="G12" s="78"/>
      <c r="H12" s="78"/>
      <c r="I12" s="78"/>
      <c r="J12" s="78"/>
      <c r="K12" s="77"/>
      <c r="L12" s="77"/>
      <c r="M12" s="78">
        <v>20</v>
      </c>
      <c r="N12" s="78">
        <v>20</v>
      </c>
      <c r="O12" s="78">
        <v>20</v>
      </c>
      <c r="P12" s="78">
        <v>20</v>
      </c>
      <c r="Q12" s="78">
        <v>20</v>
      </c>
      <c r="R12" s="77">
        <v>20</v>
      </c>
      <c r="S12" s="77">
        <v>20</v>
      </c>
      <c r="T12" s="78">
        <v>20</v>
      </c>
      <c r="U12" s="78">
        <v>20</v>
      </c>
      <c r="V12" s="78">
        <v>20</v>
      </c>
      <c r="W12" s="78">
        <v>20</v>
      </c>
      <c r="X12" s="78">
        <v>20</v>
      </c>
      <c r="Y12" s="77">
        <v>20</v>
      </c>
      <c r="Z12" s="77">
        <v>20</v>
      </c>
      <c r="AA12" s="78">
        <v>20</v>
      </c>
      <c r="AB12" s="78">
        <v>20</v>
      </c>
      <c r="AC12" s="78">
        <v>20</v>
      </c>
      <c r="AD12" s="78">
        <v>20</v>
      </c>
      <c r="AE12" s="78">
        <v>20</v>
      </c>
      <c r="AF12" s="77">
        <v>20</v>
      </c>
      <c r="AG12" s="77">
        <v>20</v>
      </c>
      <c r="AH12" s="78">
        <v>20</v>
      </c>
      <c r="AI12" s="78">
        <v>20</v>
      </c>
      <c r="AK12" s="191"/>
      <c r="AL12">
        <v>2</v>
      </c>
      <c r="AM12" t="str">
        <f t="array" aca="1" ref="AM12" ca="1">IFERROR(OFFSET('(Fill In) SIAO'!$A$1,SMALL(IF(Signals="Y",ROW(Signals)),AL12)-1,COLUMN(Conducts)-1),"")</f>
        <v/>
      </c>
      <c r="AN12" s="113" t="str">
        <f t="array" aca="1" ref="AN12" ca="1">IFERROR(OFFSET('(Fill In) SIAO'!$A$1,SMALL(IF(Signals="Y",ROW(Signals)),AL12)-1,COLUMN(StartDate)-1),"")</f>
        <v/>
      </c>
      <c r="AO12" s="113" t="str">
        <f t="array" aca="1" ref="AO12" ca="1">IFERROR(OFFSET('(Fill In) SIAO'!$A$1,SMALL(IF(Signals="Y",ROW(Signals)),AL12)-1,COLUMN(EndDate)-1),"")</f>
        <v/>
      </c>
      <c r="AP12" s="113" t="str">
        <f t="array" aca="1" ref="AP12" ca="1">IFERROR(OFFSET('(Fill In) SIAO'!$A$1,SMALL(IF(Optics="Y",ROW(Optics)),AL12)-1,COLUMN(Conducts)-1),"")</f>
        <v/>
      </c>
      <c r="AQ12" s="113" t="str">
        <f t="array" aca="1" ref="AQ12" ca="1">IFERROR(OFFSET('(Fill In) SIAO'!$A$1,SMALL(IF(Optics="Y",ROW(Optics)),AL12)-1,COLUMN(StartDate)-1),"")</f>
        <v/>
      </c>
      <c r="AR12" s="113" t="str">
        <f t="array" aca="1" ref="AR12" ca="1">IFERROR(OFFSET('(Fill In) SIAO'!$A$1,SMALL(IF(Optics="Y",ROW(Optics)),AL12)-1,COLUMN(EndDate)-1),"")</f>
        <v/>
      </c>
      <c r="AS12" s="113" t="str">
        <f t="array" aca="1" ref="AS12" ca="1">IFERROR(OFFSET('(Fill In) SIAO'!$A$1,SMALL(IF(ACMS="Y",ROW(ACMS)),AL12)-1,COLUMN(StartDate)-1),"")</f>
        <v/>
      </c>
      <c r="AT12" s="113" t="str">
        <f t="array" aca="1" ref="AT12" ca="1">IFERROR(OFFSET('(Fill In) SIAO'!$A$1,SMALL(IF(ACMS="Y",ROW(ACMS)),AL12)-1,COLUMN(EndDate)-1),"")</f>
        <v/>
      </c>
      <c r="AU12" s="113" t="str">
        <f t="array" aca="1" ref="AU12" ca="1">IFERROR(OFFSET('(Fill In) SIAO'!$A$1,SMALL(IF(UOCE="Y",ROW(UOCE)),AL12)-1,COLUMN(StartDate)-1),"")</f>
        <v/>
      </c>
      <c r="AV12" s="113" t="str">
        <f t="array" aca="1" ref="AV12" ca="1">IFERROR(OFFSET('(Fill In) SIAO'!$A$1,SMALL(IF(UOCE="Y",ROW(UOCE)),AL12)-1,COLUMN(EndDate)-1),"")</f>
        <v/>
      </c>
      <c r="AW12" s="113" t="str">
        <f t="array" aca="1" ref="AW12" ca="1">IFERROR(OFFSET('(Fill In) SIAO'!$A$1,SMALL(IF(HLT="Y",ROW(HLT)),AL12)-1,COLUMN(StartDate)-1),"")</f>
        <v/>
      </c>
      <c r="AX12" s="113" t="str">
        <f t="array" aca="1" ref="AX12" ca="1">IFERROR(OFFSET('(Fill In) SIAO'!$A$1,SMALL(IF(HLT="Y",ROW(HLT)),AL12)-1,COLUMN(EndDate)-1),"")</f>
        <v/>
      </c>
      <c r="AY12" s="113" t="str">
        <f t="array" aca="1" ref="AY12" ca="1">IFERROR(OFFSET('(Fill In) SIAO'!$A$1,SMALL(IF(PANTES="Y",ROW(PANTES)),AL12)-1,COLUMN(StartDate)-1),"")</f>
        <v/>
      </c>
      <c r="AZ12" s="113" t="str">
        <f t="array" aca="1" ref="AZ12" ca="1">IFERROR(OFFSET('(Fill In) SIAO'!$A$1,SMALL(IF(PANTES="Y",ROW(PANTES)),AL12)-1,COLUMN(EndDate)-1),"")</f>
        <v/>
      </c>
      <c r="BA12" s="113" t="str">
        <f t="array" aca="1" ref="BA12" ca="1">IFERROR(OFFSET('(Fill In) SIAO'!$A$1,SMALL(IF(Heli="Y",ROW(Heli)),AL12)-1,COLUMN(StartDate)-1),"")</f>
        <v/>
      </c>
      <c r="BB12" s="113" t="str">
        <f t="array" aca="1" ref="BB12" ca="1">IFERROR(OFFSET('(Fill In) SIAO'!$A$1,SMALL(IF(Heli="Y",ROW(Heli)),AL12)-1,COLUMN(EndDate)-1),"")</f>
        <v/>
      </c>
      <c r="BC12" s="113" t="str">
        <f t="array" aca="1" ref="BC12" ca="1">IFERROR(OFFSET('(Fill In) SIAO'!$A$1,SMALL(IF(MMR="Y",ROW(MMR)),AL12)-1,COLUMN(StartDate)-1),"")</f>
        <v/>
      </c>
      <c r="BD12" s="113" t="str">
        <f t="array" aca="1" ref="BD12" ca="1">IFERROR(OFFSET('(Fill In) SIAO'!$A$1,SMALL(IF(MMR="Y",ROW(MMR)),AL12)-1,COLUMN(EndDate)-1),"")</f>
        <v/>
      </c>
      <c r="BE12" s="113" t="str">
        <f t="array" aca="1" ref="BE12" ca="1">IFERROR(OFFSET('(Fill In) SIAO'!$A$1,SMALL(IF(POL="Y",ROW(POL)),AL12)-1,COLUMN(StartDate)-1),"")</f>
        <v/>
      </c>
      <c r="BF12" s="113" t="str">
        <f t="array" aca="1" ref="BF12" ca="1">IFERROR(OFFSET('(Fill In) SIAO'!$A$1,SMALL(IF(POL="Y",ROW(POL)),AL12)-1,COLUMN(EndDate)-1),"")</f>
        <v/>
      </c>
    </row>
    <row r="13" spans="1:58">
      <c r="A13" s="75" t="s">
        <v>39</v>
      </c>
      <c r="B13" s="189"/>
      <c r="C13" s="76"/>
      <c r="D13" s="77"/>
      <c r="E13" s="77"/>
      <c r="F13" s="84"/>
      <c r="G13" s="84"/>
      <c r="H13" s="84"/>
      <c r="I13" s="84"/>
      <c r="J13" s="84"/>
      <c r="K13" s="84"/>
      <c r="L13" s="84"/>
      <c r="M13" s="84">
        <v>4</v>
      </c>
      <c r="N13" s="84">
        <v>4</v>
      </c>
      <c r="O13" s="84">
        <v>4</v>
      </c>
      <c r="P13" s="84">
        <v>4</v>
      </c>
      <c r="Q13" s="84">
        <v>4</v>
      </c>
      <c r="R13" s="84">
        <v>4</v>
      </c>
      <c r="S13" s="84">
        <v>4</v>
      </c>
      <c r="T13" s="84">
        <v>4</v>
      </c>
      <c r="U13" s="84">
        <v>4</v>
      </c>
      <c r="V13" s="84">
        <v>4</v>
      </c>
      <c r="W13" s="84">
        <v>4</v>
      </c>
      <c r="X13" s="84">
        <v>4</v>
      </c>
      <c r="Y13" s="84">
        <v>4</v>
      </c>
      <c r="Z13" s="84">
        <v>4</v>
      </c>
      <c r="AA13" s="84">
        <v>4</v>
      </c>
      <c r="AB13" s="84">
        <v>4</v>
      </c>
      <c r="AC13" s="84">
        <v>4</v>
      </c>
      <c r="AD13" s="84">
        <v>4</v>
      </c>
      <c r="AE13" s="84">
        <v>4</v>
      </c>
      <c r="AF13" s="84">
        <v>4</v>
      </c>
      <c r="AG13" s="84">
        <v>4</v>
      </c>
      <c r="AH13" s="84">
        <v>4</v>
      </c>
      <c r="AI13" s="84">
        <v>4</v>
      </c>
      <c r="AK13" s="191"/>
      <c r="AL13">
        <v>3</v>
      </c>
      <c r="AM13" t="str">
        <f t="array" aca="1" ref="AM13" ca="1">IFERROR(OFFSET('(Fill In) SIAO'!$A$1,SMALL(IF(Signals="Y",ROW(Signals)),AL13)-1,COLUMN(Conducts)-1),"")</f>
        <v/>
      </c>
      <c r="AN13" s="113" t="str">
        <f t="array" aca="1" ref="AN13" ca="1">IFERROR(OFFSET('(Fill In) SIAO'!$A$1,SMALL(IF(Signals="Y",ROW(Signals)),AL13)-1,COLUMN(StartDate)-1),"")</f>
        <v/>
      </c>
      <c r="AO13" s="113" t="str">
        <f t="array" aca="1" ref="AO13" ca="1">IFERROR(OFFSET('(Fill In) SIAO'!$A$1,SMALL(IF(Signals="Y",ROW(Signals)),AL13)-1,COLUMN(EndDate)-1),"")</f>
        <v/>
      </c>
      <c r="AP13" s="113" t="str">
        <f t="array" aca="1" ref="AP13" ca="1">IFERROR(OFFSET('(Fill In) SIAO'!$A$1,SMALL(IF(Optics="Y",ROW(Optics)),AL13)-1,COLUMN(Conducts)-1),"")</f>
        <v/>
      </c>
      <c r="AQ13" s="113" t="str">
        <f t="array" aca="1" ref="AQ13" ca="1">IFERROR(OFFSET('(Fill In) SIAO'!$A$1,SMALL(IF(Optics="Y",ROW(Optics)),AL13)-1,COLUMN(StartDate)-1),"")</f>
        <v/>
      </c>
      <c r="AR13" s="113" t="str">
        <f t="array" aca="1" ref="AR13" ca="1">IFERROR(OFFSET('(Fill In) SIAO'!$A$1,SMALL(IF(Optics="Y",ROW(Optics)),AL13)-1,COLUMN(EndDate)-1),"")</f>
        <v/>
      </c>
      <c r="AS13" s="113" t="str">
        <f t="array" aca="1" ref="AS13" ca="1">IFERROR(OFFSET('(Fill In) SIAO'!$A$1,SMALL(IF(ACMS="Y",ROW(ACMS)),AL13)-1,COLUMN(StartDate)-1),"")</f>
        <v/>
      </c>
      <c r="AT13" s="113" t="str">
        <f t="array" aca="1" ref="AT13" ca="1">IFERROR(OFFSET('(Fill In) SIAO'!$A$1,SMALL(IF(ACMS="Y",ROW(ACMS)),AL13)-1,COLUMN(EndDate)-1),"")</f>
        <v/>
      </c>
      <c r="AU13" s="113" t="str">
        <f t="array" aca="1" ref="AU13" ca="1">IFERROR(OFFSET('(Fill In) SIAO'!$A$1,SMALL(IF(UOCE="Y",ROW(UOCE)),AL13)-1,COLUMN(StartDate)-1),"")</f>
        <v/>
      </c>
      <c r="AV13" s="113" t="str">
        <f t="array" aca="1" ref="AV13" ca="1">IFERROR(OFFSET('(Fill In) SIAO'!$A$1,SMALL(IF(UOCE="Y",ROW(UOCE)),AL13)-1,COLUMN(EndDate)-1),"")</f>
        <v/>
      </c>
      <c r="AW13" s="113" t="str">
        <f t="array" aca="1" ref="AW13" ca="1">IFERROR(OFFSET('(Fill In) SIAO'!$A$1,SMALL(IF(HLT="Y",ROW(HLT)),AL13)-1,COLUMN(StartDate)-1),"")</f>
        <v/>
      </c>
      <c r="AX13" s="113" t="str">
        <f t="array" aca="1" ref="AX13" ca="1">IFERROR(OFFSET('(Fill In) SIAO'!$A$1,SMALL(IF(HLT="Y",ROW(HLT)),AL13)-1,COLUMN(EndDate)-1),"")</f>
        <v/>
      </c>
      <c r="AY13" s="113" t="str">
        <f t="array" aca="1" ref="AY13" ca="1">IFERROR(OFFSET('(Fill In) SIAO'!$A$1,SMALL(IF(PANTES="Y",ROW(PANTES)),AL13)-1,COLUMN(StartDate)-1),"")</f>
        <v/>
      </c>
      <c r="AZ13" s="113" t="str">
        <f t="array" aca="1" ref="AZ13" ca="1">IFERROR(OFFSET('(Fill In) SIAO'!$A$1,SMALL(IF(PANTES="Y",ROW(PANTES)),AL13)-1,COLUMN(EndDate)-1),"")</f>
        <v/>
      </c>
      <c r="BA13" s="113" t="str">
        <f t="array" aca="1" ref="BA13" ca="1">IFERROR(OFFSET('(Fill In) SIAO'!$A$1,SMALL(IF(Heli="Y",ROW(Heli)),AL13)-1,COLUMN(StartDate)-1),"")</f>
        <v/>
      </c>
      <c r="BB13" s="113" t="str">
        <f t="array" aca="1" ref="BB13" ca="1">IFERROR(OFFSET('(Fill In) SIAO'!$A$1,SMALL(IF(Heli="Y",ROW(Heli)),AL13)-1,COLUMN(EndDate)-1),"")</f>
        <v/>
      </c>
      <c r="BC13" s="113" t="str">
        <f t="array" aca="1" ref="BC13" ca="1">IFERROR(OFFSET('(Fill In) SIAO'!$A$1,SMALL(IF(MMR="Y",ROW(MMR)),AL13)-1,COLUMN(StartDate)-1),"")</f>
        <v/>
      </c>
      <c r="BD13" s="113" t="str">
        <f t="array" aca="1" ref="BD13" ca="1">IFERROR(OFFSET('(Fill In) SIAO'!$A$1,SMALL(IF(MMR="Y",ROW(MMR)),AL13)-1,COLUMN(EndDate)-1),"")</f>
        <v/>
      </c>
      <c r="BE13" s="113" t="str">
        <f t="array" aca="1" ref="BE13" ca="1">IFERROR(OFFSET('(Fill In) SIAO'!$A$1,SMALL(IF(POL="Y",ROW(POL)),AL13)-1,COLUMN(StartDate)-1),"")</f>
        <v/>
      </c>
      <c r="BF13" s="113" t="str">
        <f t="array" aca="1" ref="BF13" ca="1">IFERROR(OFFSET('(Fill In) SIAO'!$A$1,SMALL(IF(POL="Y",ROW(POL)),AL13)-1,COLUMN(EndDate)-1),"")</f>
        <v/>
      </c>
    </row>
    <row r="14" spans="1:58">
      <c r="A14" s="75" t="s">
        <v>40</v>
      </c>
      <c r="B14" s="189"/>
      <c r="C14" s="76"/>
      <c r="D14" s="77"/>
      <c r="E14" s="77"/>
      <c r="F14" s="84"/>
      <c r="G14" s="84"/>
      <c r="H14" s="84"/>
      <c r="I14" s="84"/>
      <c r="J14" s="84"/>
      <c r="K14" s="84"/>
      <c r="L14" s="84"/>
      <c r="M14" s="84">
        <v>4</v>
      </c>
      <c r="N14" s="84">
        <v>4</v>
      </c>
      <c r="O14" s="84">
        <v>4</v>
      </c>
      <c r="P14" s="84">
        <v>4</v>
      </c>
      <c r="Q14" s="84">
        <v>4</v>
      </c>
      <c r="R14" s="84">
        <v>4</v>
      </c>
      <c r="S14" s="84">
        <v>4</v>
      </c>
      <c r="T14" s="84">
        <v>4</v>
      </c>
      <c r="U14" s="84">
        <v>4</v>
      </c>
      <c r="V14" s="84">
        <v>4</v>
      </c>
      <c r="W14" s="84">
        <v>4</v>
      </c>
      <c r="X14" s="84">
        <v>4</v>
      </c>
      <c r="Y14" s="84">
        <v>4</v>
      </c>
      <c r="Z14" s="84">
        <v>4</v>
      </c>
      <c r="AA14" s="84">
        <v>4</v>
      </c>
      <c r="AB14" s="84">
        <v>4</v>
      </c>
      <c r="AC14" s="84">
        <v>4</v>
      </c>
      <c r="AD14" s="84">
        <v>4</v>
      </c>
      <c r="AE14" s="84">
        <v>4</v>
      </c>
      <c r="AF14" s="84">
        <v>4</v>
      </c>
      <c r="AG14" s="84">
        <v>4</v>
      </c>
      <c r="AH14" s="84">
        <v>4</v>
      </c>
      <c r="AI14" s="84">
        <v>4</v>
      </c>
      <c r="AK14" s="191"/>
      <c r="AL14">
        <v>4</v>
      </c>
      <c r="AM14" t="str">
        <f t="array" aca="1" ref="AM14" ca="1">IFERROR(OFFSET('(Fill In) SIAO'!$A$1,SMALL(IF(Signals="Y",ROW(Signals)),AL14)-1,COLUMN(Conducts)-1),"")</f>
        <v/>
      </c>
      <c r="AN14" s="113" t="str">
        <f t="array" aca="1" ref="AN14" ca="1">IFERROR(OFFSET('(Fill In) SIAO'!$A$1,SMALL(IF(Signals="Y",ROW(Signals)),AL14)-1,COLUMN(StartDate)-1),"")</f>
        <v/>
      </c>
      <c r="AO14" s="113" t="str">
        <f t="array" aca="1" ref="AO14" ca="1">IFERROR(OFFSET('(Fill In) SIAO'!$A$1,SMALL(IF(Signals="Y",ROW(Signals)),AL14)-1,COLUMN(EndDate)-1),"")</f>
        <v/>
      </c>
      <c r="AP14" s="113" t="str">
        <f t="array" aca="1" ref="AP14" ca="1">IFERROR(OFFSET('(Fill In) SIAO'!$A$1,SMALL(IF(Optics="Y",ROW(Optics)),AL14)-1,COLUMN(Conducts)-1),"")</f>
        <v/>
      </c>
      <c r="AQ14" s="113" t="str">
        <f t="array" aca="1" ref="AQ14" ca="1">IFERROR(OFFSET('(Fill In) SIAO'!$A$1,SMALL(IF(Optics="Y",ROW(Optics)),AL14)-1,COLUMN(StartDate)-1),"")</f>
        <v/>
      </c>
      <c r="AR14" s="113" t="str">
        <f t="array" aca="1" ref="AR14" ca="1">IFERROR(OFFSET('(Fill In) SIAO'!$A$1,SMALL(IF(Optics="Y",ROW(Optics)),AL14)-1,COLUMN(EndDate)-1),"")</f>
        <v/>
      </c>
      <c r="AS14" s="113" t="str">
        <f t="array" aca="1" ref="AS14" ca="1">IFERROR(OFFSET('(Fill In) SIAO'!$A$1,SMALL(IF(ACMS="Y",ROW(ACMS)),AL14)-1,COLUMN(StartDate)-1),"")</f>
        <v/>
      </c>
      <c r="AT14" s="113" t="str">
        <f t="array" aca="1" ref="AT14" ca="1">IFERROR(OFFSET('(Fill In) SIAO'!$A$1,SMALL(IF(ACMS="Y",ROW(ACMS)),AL14)-1,COLUMN(EndDate)-1),"")</f>
        <v/>
      </c>
      <c r="AU14" s="113" t="str">
        <f t="array" aca="1" ref="AU14" ca="1">IFERROR(OFFSET('(Fill In) SIAO'!$A$1,SMALL(IF(UOCE="Y",ROW(UOCE)),AL14)-1,COLUMN(StartDate)-1),"")</f>
        <v/>
      </c>
      <c r="AV14" s="113" t="str">
        <f t="array" aca="1" ref="AV14" ca="1">IFERROR(OFFSET('(Fill In) SIAO'!$A$1,SMALL(IF(UOCE="Y",ROW(UOCE)),AL14)-1,COLUMN(EndDate)-1),"")</f>
        <v/>
      </c>
      <c r="AW14" s="113" t="str">
        <f t="array" aca="1" ref="AW14" ca="1">IFERROR(OFFSET('(Fill In) SIAO'!$A$1,SMALL(IF(HLT="Y",ROW(HLT)),AL14)-1,COLUMN(StartDate)-1),"")</f>
        <v/>
      </c>
      <c r="AX14" s="113" t="str">
        <f t="array" aca="1" ref="AX14" ca="1">IFERROR(OFFSET('(Fill In) SIAO'!$A$1,SMALL(IF(HLT="Y",ROW(HLT)),AL14)-1,COLUMN(EndDate)-1),"")</f>
        <v/>
      </c>
      <c r="AY14" s="113" t="str">
        <f t="array" aca="1" ref="AY14" ca="1">IFERROR(OFFSET('(Fill In) SIAO'!$A$1,SMALL(IF(PANTES="Y",ROW(PANTES)),AL14)-1,COLUMN(StartDate)-1),"")</f>
        <v/>
      </c>
      <c r="AZ14" s="113" t="str">
        <f t="array" aca="1" ref="AZ14" ca="1">IFERROR(OFFSET('(Fill In) SIAO'!$A$1,SMALL(IF(PANTES="Y",ROW(PANTES)),AL14)-1,COLUMN(EndDate)-1),"")</f>
        <v/>
      </c>
      <c r="BA14" s="113" t="str">
        <f t="array" aca="1" ref="BA14" ca="1">IFERROR(OFFSET('(Fill In) SIAO'!$A$1,SMALL(IF(Heli="Y",ROW(Heli)),AL14)-1,COLUMN(StartDate)-1),"")</f>
        <v/>
      </c>
      <c r="BB14" s="113" t="str">
        <f t="array" aca="1" ref="BB14" ca="1">IFERROR(OFFSET('(Fill In) SIAO'!$A$1,SMALL(IF(Heli="Y",ROW(Heli)),AL14)-1,COLUMN(EndDate)-1),"")</f>
        <v/>
      </c>
      <c r="BC14" s="113" t="str">
        <f t="array" aca="1" ref="BC14" ca="1">IFERROR(OFFSET('(Fill In) SIAO'!$A$1,SMALL(IF(MMR="Y",ROW(MMR)),AL14)-1,COLUMN(StartDate)-1),"")</f>
        <v/>
      </c>
      <c r="BD14" s="113" t="str">
        <f t="array" aca="1" ref="BD14" ca="1">IFERROR(OFFSET('(Fill In) SIAO'!$A$1,SMALL(IF(MMR="Y",ROW(MMR)),AL14)-1,COLUMN(EndDate)-1),"")</f>
        <v/>
      </c>
      <c r="BE14" s="113" t="str">
        <f t="array" aca="1" ref="BE14" ca="1">IFERROR(OFFSET('(Fill In) SIAO'!$A$1,SMALL(IF(POL="Y",ROW(POL)),AL14)-1,COLUMN(StartDate)-1),"")</f>
        <v/>
      </c>
      <c r="BF14" s="113" t="str">
        <f t="array" aca="1" ref="BF14" ca="1">IFERROR(OFFSET('(Fill In) SIAO'!$A$1,SMALL(IF(POL="Y",ROW(POL)),AL14)-1,COLUMN(EndDate)-1),"")</f>
        <v/>
      </c>
    </row>
    <row r="15" spans="1:58">
      <c r="A15" s="75" t="s">
        <v>41</v>
      </c>
      <c r="B15" s="189"/>
      <c r="C15" s="76"/>
      <c r="D15" s="77"/>
      <c r="E15" s="77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K15" s="191"/>
      <c r="AL15">
        <v>5</v>
      </c>
      <c r="AM15" t="str">
        <f t="array" aca="1" ref="AM15" ca="1">IFERROR(OFFSET('(Fill In) SIAO'!$A$1,SMALL(IF(Signals="Y",ROW(Signals)),AL15)-1,COLUMN(Conducts)-1),"")</f>
        <v/>
      </c>
      <c r="AN15" s="113" t="str">
        <f t="array" aca="1" ref="AN15" ca="1">IFERROR(OFFSET('(Fill In) SIAO'!$A$1,SMALL(IF(Signals="Y",ROW(Signals)),AL15)-1,COLUMN(StartDate)-1),"")</f>
        <v/>
      </c>
      <c r="AO15" s="113" t="str">
        <f t="array" aca="1" ref="AO15" ca="1">IFERROR(OFFSET('(Fill In) SIAO'!$A$1,SMALL(IF(Signals="Y",ROW(Signals)),AL15)-1,COLUMN(EndDate)-1),"")</f>
        <v/>
      </c>
      <c r="AP15" s="113" t="str">
        <f t="array" aca="1" ref="AP15" ca="1">IFERROR(OFFSET('(Fill In) SIAO'!$A$1,SMALL(IF(Optics="Y",ROW(Optics)),AL15)-1,COLUMN(Conducts)-1),"")</f>
        <v/>
      </c>
      <c r="AQ15" s="113" t="str">
        <f t="array" aca="1" ref="AQ15" ca="1">IFERROR(OFFSET('(Fill In) SIAO'!$A$1,SMALL(IF(Optics="Y",ROW(Optics)),AL15)-1,COLUMN(StartDate)-1),"")</f>
        <v/>
      </c>
      <c r="AR15" s="113" t="str">
        <f t="array" aca="1" ref="AR15" ca="1">IFERROR(OFFSET('(Fill In) SIAO'!$A$1,SMALL(IF(Optics="Y",ROW(Optics)),AL15)-1,COLUMN(EndDate)-1),"")</f>
        <v/>
      </c>
      <c r="AS15" s="113" t="str">
        <f t="array" aca="1" ref="AS15" ca="1">IFERROR(OFFSET('(Fill In) SIAO'!$A$1,SMALL(IF(ACMS="Y",ROW(ACMS)),AL15)-1,COLUMN(StartDate)-1),"")</f>
        <v/>
      </c>
      <c r="AT15" s="113" t="str">
        <f t="array" aca="1" ref="AT15" ca="1">IFERROR(OFFSET('(Fill In) SIAO'!$A$1,SMALL(IF(ACMS="Y",ROW(ACMS)),AL15)-1,COLUMN(EndDate)-1),"")</f>
        <v/>
      </c>
      <c r="AU15" s="113" t="str">
        <f t="array" aca="1" ref="AU15" ca="1">IFERROR(OFFSET('(Fill In) SIAO'!$A$1,SMALL(IF(UOCE="Y",ROW(UOCE)),AL15)-1,COLUMN(StartDate)-1),"")</f>
        <v/>
      </c>
      <c r="AV15" s="113" t="str">
        <f t="array" aca="1" ref="AV15" ca="1">IFERROR(OFFSET('(Fill In) SIAO'!$A$1,SMALL(IF(UOCE="Y",ROW(UOCE)),AL15)-1,COLUMN(EndDate)-1),"")</f>
        <v/>
      </c>
      <c r="AW15" s="113" t="str">
        <f t="array" aca="1" ref="AW15" ca="1">IFERROR(OFFSET('(Fill In) SIAO'!$A$1,SMALL(IF(HLT="Y",ROW(HLT)),AL15)-1,COLUMN(StartDate)-1),"")</f>
        <v/>
      </c>
      <c r="AX15" s="113" t="str">
        <f t="array" aca="1" ref="AX15" ca="1">IFERROR(OFFSET('(Fill In) SIAO'!$A$1,SMALL(IF(HLT="Y",ROW(HLT)),AL15)-1,COLUMN(EndDate)-1),"")</f>
        <v/>
      </c>
      <c r="AY15" s="113" t="str">
        <f t="array" aca="1" ref="AY15" ca="1">IFERROR(OFFSET('(Fill In) SIAO'!$A$1,SMALL(IF(PANTES="Y",ROW(PANTES)),AL15)-1,COLUMN(StartDate)-1),"")</f>
        <v/>
      </c>
      <c r="AZ15" s="113" t="str">
        <f t="array" aca="1" ref="AZ15" ca="1">IFERROR(OFFSET('(Fill In) SIAO'!$A$1,SMALL(IF(PANTES="Y",ROW(PANTES)),AL15)-1,COLUMN(EndDate)-1),"")</f>
        <v/>
      </c>
      <c r="BA15" s="113" t="str">
        <f t="array" aca="1" ref="BA15" ca="1">IFERROR(OFFSET('(Fill In) SIAO'!$A$1,SMALL(IF(Heli="Y",ROW(Heli)),AL15)-1,COLUMN(StartDate)-1),"")</f>
        <v/>
      </c>
      <c r="BB15" s="113" t="str">
        <f t="array" aca="1" ref="BB15" ca="1">IFERROR(OFFSET('(Fill In) SIAO'!$A$1,SMALL(IF(Heli="Y",ROW(Heli)),AL15)-1,COLUMN(EndDate)-1),"")</f>
        <v/>
      </c>
      <c r="BC15" s="113" t="str">
        <f t="array" aca="1" ref="BC15" ca="1">IFERROR(OFFSET('(Fill In) SIAO'!$A$1,SMALL(IF(MMR="Y",ROW(MMR)),AL15)-1,COLUMN(StartDate)-1),"")</f>
        <v/>
      </c>
      <c r="BD15" s="113" t="str">
        <f t="array" aca="1" ref="BD15" ca="1">IFERROR(OFFSET('(Fill In) SIAO'!$A$1,SMALL(IF(MMR="Y",ROW(MMR)),AL15)-1,COLUMN(EndDate)-1),"")</f>
        <v/>
      </c>
      <c r="BE15" s="113" t="str">
        <f t="array" aca="1" ref="BE15" ca="1">IFERROR(OFFSET('(Fill In) SIAO'!$A$1,SMALL(IF(POL="Y",ROW(POL)),AL15)-1,COLUMN(StartDate)-1),"")</f>
        <v/>
      </c>
      <c r="BF15" s="113" t="str">
        <f t="array" aca="1" ref="BF15" ca="1">IFERROR(OFFSET('(Fill In) SIAO'!$A$1,SMALL(IF(POL="Y",ROW(POL)),AL15)-1,COLUMN(EndDate)-1),"")</f>
        <v/>
      </c>
    </row>
    <row r="16" spans="1:58">
      <c r="A16" s="75" t="s">
        <v>42</v>
      </c>
      <c r="B16" s="189"/>
      <c r="C16" s="76"/>
      <c r="D16" s="77"/>
      <c r="E16" s="77"/>
      <c r="F16" s="84"/>
      <c r="G16" s="84"/>
      <c r="H16" s="84"/>
      <c r="I16" s="84"/>
      <c r="J16" s="84"/>
      <c r="K16" s="84"/>
      <c r="L16" s="84"/>
      <c r="M16" s="84">
        <v>2</v>
      </c>
      <c r="N16" s="84">
        <v>2</v>
      </c>
      <c r="O16" s="84">
        <v>2</v>
      </c>
      <c r="P16" s="84">
        <v>2</v>
      </c>
      <c r="Q16" s="84">
        <v>2</v>
      </c>
      <c r="R16" s="84">
        <v>2</v>
      </c>
      <c r="S16" s="84">
        <v>2</v>
      </c>
      <c r="T16" s="84">
        <v>2</v>
      </c>
      <c r="U16" s="84">
        <v>2</v>
      </c>
      <c r="V16" s="84">
        <v>2</v>
      </c>
      <c r="W16" s="84">
        <v>2</v>
      </c>
      <c r="X16" s="84">
        <v>2</v>
      </c>
      <c r="Y16" s="84">
        <v>2</v>
      </c>
      <c r="Z16" s="84">
        <v>2</v>
      </c>
      <c r="AA16" s="84">
        <v>2</v>
      </c>
      <c r="AB16" s="84">
        <v>2</v>
      </c>
      <c r="AC16" s="84">
        <v>2</v>
      </c>
      <c r="AD16" s="84">
        <v>2</v>
      </c>
      <c r="AE16" s="84">
        <v>2</v>
      </c>
      <c r="AF16" s="84">
        <v>2</v>
      </c>
      <c r="AG16" s="84">
        <v>2</v>
      </c>
      <c r="AH16" s="84">
        <v>2</v>
      </c>
      <c r="AI16" s="84">
        <v>2</v>
      </c>
      <c r="AK16" s="191"/>
      <c r="AL16">
        <v>6</v>
      </c>
      <c r="AM16" t="str">
        <f t="array" aca="1" ref="AM16" ca="1">IFERROR(OFFSET('(Fill In) SIAO'!$A$1,SMALL(IF(Signals="Y",ROW(Signals)),AL16)-1,COLUMN(Conducts)-1),"")</f>
        <v/>
      </c>
      <c r="AN16" s="113" t="str">
        <f t="array" aca="1" ref="AN16" ca="1">IFERROR(OFFSET('(Fill In) SIAO'!$A$1,SMALL(IF(Signals="Y",ROW(Signals)),AL16)-1,COLUMN(StartDate)-1),"")</f>
        <v/>
      </c>
      <c r="AO16" s="113" t="str">
        <f t="array" aca="1" ref="AO16" ca="1">IFERROR(OFFSET('(Fill In) SIAO'!$A$1,SMALL(IF(Signals="Y",ROW(Signals)),AL16)-1,COLUMN(EndDate)-1),"")</f>
        <v/>
      </c>
      <c r="AP16" s="113" t="str">
        <f t="array" aca="1" ref="AP16" ca="1">IFERROR(OFFSET('(Fill In) SIAO'!$A$1,SMALL(IF(Optics="Y",ROW(Optics)),AL16)-1,COLUMN(Conducts)-1),"")</f>
        <v/>
      </c>
      <c r="AQ16" s="113" t="str">
        <f t="array" aca="1" ref="AQ16" ca="1">IFERROR(OFFSET('(Fill In) SIAO'!$A$1,SMALL(IF(Optics="Y",ROW(Optics)),AL16)-1,COLUMN(StartDate)-1),"")</f>
        <v/>
      </c>
      <c r="AR16" s="113" t="str">
        <f t="array" aca="1" ref="AR16" ca="1">IFERROR(OFFSET('(Fill In) SIAO'!$A$1,SMALL(IF(Optics="Y",ROW(Optics)),AL16)-1,COLUMN(EndDate)-1),"")</f>
        <v/>
      </c>
      <c r="AS16" s="113" t="str">
        <f t="array" aca="1" ref="AS16" ca="1">IFERROR(OFFSET('(Fill In) SIAO'!$A$1,SMALL(IF(ACMS="Y",ROW(ACMS)),AL16)-1,COLUMN(StartDate)-1),"")</f>
        <v/>
      </c>
      <c r="AT16" s="113" t="str">
        <f t="array" aca="1" ref="AT16" ca="1">IFERROR(OFFSET('(Fill In) SIAO'!$A$1,SMALL(IF(ACMS="Y",ROW(ACMS)),AL16)-1,COLUMN(EndDate)-1),"")</f>
        <v/>
      </c>
      <c r="AU16" s="113" t="str">
        <f t="array" aca="1" ref="AU16" ca="1">IFERROR(OFFSET('(Fill In) SIAO'!$A$1,SMALL(IF(UOCE="Y",ROW(UOCE)),AL16)-1,COLUMN(StartDate)-1),"")</f>
        <v/>
      </c>
      <c r="AV16" s="113" t="str">
        <f t="array" aca="1" ref="AV16" ca="1">IFERROR(OFFSET('(Fill In) SIAO'!$A$1,SMALL(IF(UOCE="Y",ROW(UOCE)),AL16)-1,COLUMN(EndDate)-1),"")</f>
        <v/>
      </c>
      <c r="AW16" s="113" t="str">
        <f t="array" aca="1" ref="AW16" ca="1">IFERROR(OFFSET('(Fill In) SIAO'!$A$1,SMALL(IF(HLT="Y",ROW(HLT)),AL16)-1,COLUMN(StartDate)-1),"")</f>
        <v/>
      </c>
      <c r="AX16" s="113" t="str">
        <f t="array" aca="1" ref="AX16" ca="1">IFERROR(OFFSET('(Fill In) SIAO'!$A$1,SMALL(IF(HLT="Y",ROW(HLT)),AL16)-1,COLUMN(EndDate)-1),"")</f>
        <v/>
      </c>
      <c r="AY16" s="113" t="str">
        <f t="array" aca="1" ref="AY16" ca="1">IFERROR(OFFSET('(Fill In) SIAO'!$A$1,SMALL(IF(PANTES="Y",ROW(PANTES)),AL16)-1,COLUMN(StartDate)-1),"")</f>
        <v/>
      </c>
      <c r="AZ16" s="113" t="str">
        <f t="array" aca="1" ref="AZ16" ca="1">IFERROR(OFFSET('(Fill In) SIAO'!$A$1,SMALL(IF(PANTES="Y",ROW(PANTES)),AL16)-1,COLUMN(EndDate)-1),"")</f>
        <v/>
      </c>
      <c r="BA16" s="113" t="str">
        <f t="array" aca="1" ref="BA16" ca="1">IFERROR(OFFSET('(Fill In) SIAO'!$A$1,SMALL(IF(Heli="Y",ROW(Heli)),AL16)-1,COLUMN(StartDate)-1),"")</f>
        <v/>
      </c>
      <c r="BB16" s="113" t="str">
        <f t="array" aca="1" ref="BB16" ca="1">IFERROR(OFFSET('(Fill In) SIAO'!$A$1,SMALL(IF(Heli="Y",ROW(Heli)),AL16)-1,COLUMN(EndDate)-1),"")</f>
        <v/>
      </c>
      <c r="BC16" s="113" t="str">
        <f t="array" aca="1" ref="BC16" ca="1">IFERROR(OFFSET('(Fill In) SIAO'!$A$1,SMALL(IF(MMR="Y",ROW(MMR)),AL16)-1,COLUMN(StartDate)-1),"")</f>
        <v/>
      </c>
      <c r="BD16" s="113" t="str">
        <f t="array" aca="1" ref="BD16" ca="1">IFERROR(OFFSET('(Fill In) SIAO'!$A$1,SMALL(IF(MMR="Y",ROW(MMR)),AL16)-1,COLUMN(EndDate)-1),"")</f>
        <v/>
      </c>
      <c r="BE16" s="113" t="str">
        <f t="array" aca="1" ref="BE16" ca="1">IFERROR(OFFSET('(Fill In) SIAO'!$A$1,SMALL(IF(POL="Y",ROW(POL)),AL16)-1,COLUMN(StartDate)-1),"")</f>
        <v/>
      </c>
      <c r="BF16" s="113" t="str">
        <f t="array" aca="1" ref="BF16" ca="1">IFERROR(OFFSET('(Fill In) SIAO'!$A$1,SMALL(IF(POL="Y",ROW(POL)),AL16)-1,COLUMN(EndDate)-1),"")</f>
        <v/>
      </c>
    </row>
    <row r="17" spans="1:58">
      <c r="A17" s="75" t="s">
        <v>43</v>
      </c>
      <c r="B17" s="189"/>
      <c r="C17" s="76"/>
      <c r="D17" s="77"/>
      <c r="E17" s="77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K17" s="191"/>
      <c r="AL17">
        <v>7</v>
      </c>
      <c r="AM17" t="str">
        <f t="array" aca="1" ref="AM17" ca="1">IFERROR(OFFSET('(Fill In) SIAO'!$A$1,SMALL(IF(Signals="Y",ROW(Signals)),AL17)-1,COLUMN(Conducts)-1),"")</f>
        <v/>
      </c>
      <c r="AN17" s="113" t="str">
        <f t="array" aca="1" ref="AN17" ca="1">IFERROR(OFFSET('(Fill In) SIAO'!$A$1,SMALL(IF(Signals="Y",ROW(Signals)),AL17)-1,COLUMN(StartDate)-1),"")</f>
        <v/>
      </c>
      <c r="AO17" s="113" t="str">
        <f t="array" aca="1" ref="AO17" ca="1">IFERROR(OFFSET('(Fill In) SIAO'!$A$1,SMALL(IF(Signals="Y",ROW(Signals)),AL17)-1,COLUMN(EndDate)-1),"")</f>
        <v/>
      </c>
      <c r="AP17" s="113" t="str">
        <f t="array" aca="1" ref="AP17" ca="1">IFERROR(OFFSET('(Fill In) SIAO'!$A$1,SMALL(IF(Optics="Y",ROW(Optics)),AL17)-1,COLUMN(Conducts)-1),"")</f>
        <v/>
      </c>
      <c r="AQ17" s="113" t="str">
        <f t="array" aca="1" ref="AQ17" ca="1">IFERROR(OFFSET('(Fill In) SIAO'!$A$1,SMALL(IF(Optics="Y",ROW(Optics)),AL17)-1,COLUMN(StartDate)-1),"")</f>
        <v/>
      </c>
      <c r="AR17" s="113" t="str">
        <f t="array" aca="1" ref="AR17" ca="1">IFERROR(OFFSET('(Fill In) SIAO'!$A$1,SMALL(IF(Optics="Y",ROW(Optics)),AL17)-1,COLUMN(EndDate)-1),"")</f>
        <v/>
      </c>
      <c r="AS17" s="113" t="str">
        <f t="array" aca="1" ref="AS17" ca="1">IFERROR(OFFSET('(Fill In) SIAO'!$A$1,SMALL(IF(ACMS="Y",ROW(ACMS)),AL17)-1,COLUMN(StartDate)-1),"")</f>
        <v/>
      </c>
      <c r="AT17" s="113" t="str">
        <f t="array" aca="1" ref="AT17" ca="1">IFERROR(OFFSET('(Fill In) SIAO'!$A$1,SMALL(IF(ACMS="Y",ROW(ACMS)),AL17)-1,COLUMN(EndDate)-1),"")</f>
        <v/>
      </c>
      <c r="AU17" s="113" t="str">
        <f t="array" aca="1" ref="AU17" ca="1">IFERROR(OFFSET('(Fill In) SIAO'!$A$1,SMALL(IF(UOCE="Y",ROW(UOCE)),AL17)-1,COLUMN(StartDate)-1),"")</f>
        <v/>
      </c>
      <c r="AV17" s="113" t="str">
        <f t="array" aca="1" ref="AV17" ca="1">IFERROR(OFFSET('(Fill In) SIAO'!$A$1,SMALL(IF(UOCE="Y",ROW(UOCE)),AL17)-1,COLUMN(EndDate)-1),"")</f>
        <v/>
      </c>
      <c r="AW17" s="113" t="str">
        <f t="array" aca="1" ref="AW17" ca="1">IFERROR(OFFSET('(Fill In) SIAO'!$A$1,SMALL(IF(HLT="Y",ROW(HLT)),AL17)-1,COLUMN(StartDate)-1),"")</f>
        <v/>
      </c>
      <c r="AX17" s="113" t="str">
        <f t="array" aca="1" ref="AX17" ca="1">IFERROR(OFFSET('(Fill In) SIAO'!$A$1,SMALL(IF(HLT="Y",ROW(HLT)),AL17)-1,COLUMN(EndDate)-1),"")</f>
        <v/>
      </c>
      <c r="AY17" s="113" t="str">
        <f t="array" aca="1" ref="AY17" ca="1">IFERROR(OFFSET('(Fill In) SIAO'!$A$1,SMALL(IF(PANTES="Y",ROW(PANTES)),AL17)-1,COLUMN(StartDate)-1),"")</f>
        <v/>
      </c>
      <c r="AZ17" s="113" t="str">
        <f t="array" aca="1" ref="AZ17" ca="1">IFERROR(OFFSET('(Fill In) SIAO'!$A$1,SMALL(IF(PANTES="Y",ROW(PANTES)),AL17)-1,COLUMN(EndDate)-1),"")</f>
        <v/>
      </c>
      <c r="BA17" s="113" t="str">
        <f t="array" aca="1" ref="BA17" ca="1">IFERROR(OFFSET('(Fill In) SIAO'!$A$1,SMALL(IF(Heli="Y",ROW(Heli)),AL17)-1,COLUMN(StartDate)-1),"")</f>
        <v/>
      </c>
      <c r="BB17" s="113" t="str">
        <f t="array" aca="1" ref="BB17" ca="1">IFERROR(OFFSET('(Fill In) SIAO'!$A$1,SMALL(IF(Heli="Y",ROW(Heli)),AL17)-1,COLUMN(EndDate)-1),"")</f>
        <v/>
      </c>
      <c r="BC17" s="113" t="str">
        <f t="array" aca="1" ref="BC17" ca="1">IFERROR(OFFSET('(Fill In) SIAO'!$A$1,SMALL(IF(MMR="Y",ROW(MMR)),AL17)-1,COLUMN(StartDate)-1),"")</f>
        <v/>
      </c>
      <c r="BD17" s="113" t="str">
        <f t="array" aca="1" ref="BD17" ca="1">IFERROR(OFFSET('(Fill In) SIAO'!$A$1,SMALL(IF(MMR="Y",ROW(MMR)),AL17)-1,COLUMN(EndDate)-1),"")</f>
        <v/>
      </c>
      <c r="BE17" s="113" t="str">
        <f t="array" aca="1" ref="BE17" ca="1">IFERROR(OFFSET('(Fill In) SIAO'!$A$1,SMALL(IF(POL="Y",ROW(POL)),AL17)-1,COLUMN(StartDate)-1),"")</f>
        <v/>
      </c>
      <c r="BF17" s="113" t="str">
        <f t="array" aca="1" ref="BF17" ca="1">IFERROR(OFFSET('(Fill In) SIAO'!$A$1,SMALL(IF(POL="Y",ROW(POL)),AL17)-1,COLUMN(EndDate)-1),"")</f>
        <v/>
      </c>
    </row>
    <row r="18" spans="1:58">
      <c r="A18" s="75" t="s">
        <v>44</v>
      </c>
      <c r="B18" s="189"/>
      <c r="C18" s="76"/>
      <c r="D18" s="77"/>
      <c r="E18" s="77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K18" s="191"/>
      <c r="AL18">
        <v>8</v>
      </c>
      <c r="AM18" t="str">
        <f t="array" aca="1" ref="AM18" ca="1">IFERROR(OFFSET('(Fill In) SIAO'!$A$1,SMALL(IF(Signals="Y",ROW(Signals)),AL18)-1,COLUMN(Conducts)-1),"")</f>
        <v/>
      </c>
      <c r="AN18" s="113" t="str">
        <f t="array" aca="1" ref="AN18" ca="1">IFERROR(OFFSET('(Fill In) SIAO'!$A$1,SMALL(IF(Signals="Y",ROW(Signals)),AL18)-1,COLUMN(StartDate)-1),"")</f>
        <v/>
      </c>
      <c r="AO18" s="113" t="str">
        <f t="array" aca="1" ref="AO18" ca="1">IFERROR(OFFSET('(Fill In) SIAO'!$A$1,SMALL(IF(Signals="Y",ROW(Signals)),AL18)-1,COLUMN(EndDate)-1),"")</f>
        <v/>
      </c>
      <c r="AP18" s="113" t="str">
        <f t="array" aca="1" ref="AP18" ca="1">IFERROR(OFFSET('(Fill In) SIAO'!$A$1,SMALL(IF(Optics="Y",ROW(Optics)),AL18)-1,COLUMN(Conducts)-1),"")</f>
        <v/>
      </c>
      <c r="AQ18" s="113" t="str">
        <f t="array" aca="1" ref="AQ18" ca="1">IFERROR(OFFSET('(Fill In) SIAO'!$A$1,SMALL(IF(Optics="Y",ROW(Optics)),AL18)-1,COLUMN(StartDate)-1),"")</f>
        <v/>
      </c>
      <c r="AR18" s="113" t="str">
        <f t="array" aca="1" ref="AR18" ca="1">IFERROR(OFFSET('(Fill In) SIAO'!$A$1,SMALL(IF(Optics="Y",ROW(Optics)),AL18)-1,COLUMN(EndDate)-1),"")</f>
        <v/>
      </c>
      <c r="AS18" s="113" t="str">
        <f t="array" aca="1" ref="AS18" ca="1">IFERROR(OFFSET('(Fill In) SIAO'!$A$1,SMALL(IF(ACMS="Y",ROW(ACMS)),AL18)-1,COLUMN(StartDate)-1),"")</f>
        <v/>
      </c>
      <c r="AT18" s="113" t="str">
        <f t="array" aca="1" ref="AT18" ca="1">IFERROR(OFFSET('(Fill In) SIAO'!$A$1,SMALL(IF(ACMS="Y",ROW(ACMS)),AL18)-1,COLUMN(EndDate)-1),"")</f>
        <v/>
      </c>
      <c r="AU18" s="113" t="str">
        <f t="array" aca="1" ref="AU18" ca="1">IFERROR(OFFSET('(Fill In) SIAO'!$A$1,SMALL(IF(UOCE="Y",ROW(UOCE)),AL18)-1,COLUMN(StartDate)-1),"")</f>
        <v/>
      </c>
      <c r="AV18" s="113" t="str">
        <f t="array" aca="1" ref="AV18" ca="1">IFERROR(OFFSET('(Fill In) SIAO'!$A$1,SMALL(IF(UOCE="Y",ROW(UOCE)),AL18)-1,COLUMN(EndDate)-1),"")</f>
        <v/>
      </c>
      <c r="AW18" s="113" t="str">
        <f t="array" aca="1" ref="AW18" ca="1">IFERROR(OFFSET('(Fill In) SIAO'!$A$1,SMALL(IF(HLT="Y",ROW(HLT)),AL18)-1,COLUMN(StartDate)-1),"")</f>
        <v/>
      </c>
      <c r="AX18" s="113" t="str">
        <f t="array" aca="1" ref="AX18" ca="1">IFERROR(OFFSET('(Fill In) SIAO'!$A$1,SMALL(IF(HLT="Y",ROW(HLT)),AL18)-1,COLUMN(EndDate)-1),"")</f>
        <v/>
      </c>
      <c r="AY18" s="113" t="str">
        <f t="array" aca="1" ref="AY18" ca="1">IFERROR(OFFSET('(Fill In) SIAO'!$A$1,SMALL(IF(PANTES="Y",ROW(PANTES)),AL18)-1,COLUMN(StartDate)-1),"")</f>
        <v/>
      </c>
      <c r="AZ18" s="113" t="str">
        <f t="array" aca="1" ref="AZ18" ca="1">IFERROR(OFFSET('(Fill In) SIAO'!$A$1,SMALL(IF(PANTES="Y",ROW(PANTES)),AL18)-1,COLUMN(EndDate)-1),"")</f>
        <v/>
      </c>
      <c r="BA18" s="113" t="str">
        <f t="array" aca="1" ref="BA18" ca="1">IFERROR(OFFSET('(Fill In) SIAO'!$A$1,SMALL(IF(Heli="Y",ROW(Heli)),AL18)-1,COLUMN(StartDate)-1),"")</f>
        <v/>
      </c>
      <c r="BB18" s="113" t="str">
        <f t="array" aca="1" ref="BB18" ca="1">IFERROR(OFFSET('(Fill In) SIAO'!$A$1,SMALL(IF(Heli="Y",ROW(Heli)),AL18)-1,COLUMN(EndDate)-1),"")</f>
        <v/>
      </c>
      <c r="BC18" s="113" t="str">
        <f t="array" aca="1" ref="BC18" ca="1">IFERROR(OFFSET('(Fill In) SIAO'!$A$1,SMALL(IF(MMR="Y",ROW(MMR)),AL18)-1,COLUMN(StartDate)-1),"")</f>
        <v/>
      </c>
      <c r="BD18" s="113" t="str">
        <f t="array" aca="1" ref="BD18" ca="1">IFERROR(OFFSET('(Fill In) SIAO'!$A$1,SMALL(IF(MMR="Y",ROW(MMR)),AL18)-1,COLUMN(EndDate)-1),"")</f>
        <v/>
      </c>
      <c r="BE18" s="113" t="str">
        <f t="array" aca="1" ref="BE18" ca="1">IFERROR(OFFSET('(Fill In) SIAO'!$A$1,SMALL(IF(POL="Y",ROW(POL)),AL18)-1,COLUMN(StartDate)-1),"")</f>
        <v/>
      </c>
      <c r="BF18" s="113" t="str">
        <f t="array" aca="1" ref="BF18" ca="1">IFERROR(OFFSET('(Fill In) SIAO'!$A$1,SMALL(IF(POL="Y",ROW(POL)),AL18)-1,COLUMN(EndDate)-1),"")</f>
        <v/>
      </c>
    </row>
    <row r="19" spans="1:58">
      <c r="A19" s="75" t="s">
        <v>45</v>
      </c>
      <c r="B19" s="189"/>
      <c r="C19" s="76"/>
      <c r="D19" s="77"/>
      <c r="E19" s="77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K19" s="191"/>
      <c r="AL19">
        <v>9</v>
      </c>
      <c r="AM19" t="str">
        <f t="array" aca="1" ref="AM19" ca="1">IFERROR(OFFSET('(Fill In) SIAO'!$A$1,SMALL(IF(Signals="Y",ROW(Signals)),AL19)-1,COLUMN(Conducts)-1),"")</f>
        <v/>
      </c>
      <c r="AN19" s="113" t="str">
        <f t="array" aca="1" ref="AN19" ca="1">IFERROR(OFFSET('(Fill In) SIAO'!$A$1,SMALL(IF(Signals="Y",ROW(Signals)),AL19)-1,COLUMN(StartDate)-1),"")</f>
        <v/>
      </c>
      <c r="AO19" s="113" t="str">
        <f t="array" aca="1" ref="AO19" ca="1">IFERROR(OFFSET('(Fill In) SIAO'!$A$1,SMALL(IF(Signals="Y",ROW(Signals)),AL19)-1,COLUMN(EndDate)-1),"")</f>
        <v/>
      </c>
      <c r="AP19" s="113" t="str">
        <f t="array" aca="1" ref="AP19" ca="1">IFERROR(OFFSET('(Fill In) SIAO'!$A$1,SMALL(IF(Optics="Y",ROW(Optics)),AL19)-1,COLUMN(Conducts)-1),"")</f>
        <v/>
      </c>
      <c r="AQ19" s="113" t="str">
        <f t="array" aca="1" ref="AQ19" ca="1">IFERROR(OFFSET('(Fill In) SIAO'!$A$1,SMALL(IF(Optics="Y",ROW(Optics)),AL19)-1,COLUMN(StartDate)-1),"")</f>
        <v/>
      </c>
      <c r="AR19" s="113" t="str">
        <f t="array" aca="1" ref="AR19" ca="1">IFERROR(OFFSET('(Fill In) SIAO'!$A$1,SMALL(IF(Optics="Y",ROW(Optics)),AL19)-1,COLUMN(EndDate)-1),"")</f>
        <v/>
      </c>
      <c r="AS19" s="113" t="str">
        <f t="array" aca="1" ref="AS19" ca="1">IFERROR(OFFSET('(Fill In) SIAO'!$A$1,SMALL(IF(ACMS="Y",ROW(ACMS)),AL19)-1,COLUMN(StartDate)-1),"")</f>
        <v/>
      </c>
      <c r="AT19" s="113" t="str">
        <f t="array" aca="1" ref="AT19" ca="1">IFERROR(OFFSET('(Fill In) SIAO'!$A$1,SMALL(IF(ACMS="Y",ROW(ACMS)),AL19)-1,COLUMN(EndDate)-1),"")</f>
        <v/>
      </c>
      <c r="AU19" s="113" t="str">
        <f t="array" aca="1" ref="AU19" ca="1">IFERROR(OFFSET('(Fill In) SIAO'!$A$1,SMALL(IF(UOCE="Y",ROW(UOCE)),AL19)-1,COLUMN(StartDate)-1),"")</f>
        <v/>
      </c>
      <c r="AV19" s="113" t="str">
        <f t="array" aca="1" ref="AV19" ca="1">IFERROR(OFFSET('(Fill In) SIAO'!$A$1,SMALL(IF(UOCE="Y",ROW(UOCE)),AL19)-1,COLUMN(EndDate)-1),"")</f>
        <v/>
      </c>
      <c r="AW19" s="113" t="str">
        <f t="array" aca="1" ref="AW19" ca="1">IFERROR(OFFSET('(Fill In) SIAO'!$A$1,SMALL(IF(HLT="Y",ROW(HLT)),AL19)-1,COLUMN(StartDate)-1),"")</f>
        <v/>
      </c>
      <c r="AX19" s="113" t="str">
        <f t="array" aca="1" ref="AX19" ca="1">IFERROR(OFFSET('(Fill In) SIAO'!$A$1,SMALL(IF(HLT="Y",ROW(HLT)),AL19)-1,COLUMN(EndDate)-1),"")</f>
        <v/>
      </c>
      <c r="AY19" s="113" t="str">
        <f t="array" aca="1" ref="AY19" ca="1">IFERROR(OFFSET('(Fill In) SIAO'!$A$1,SMALL(IF(PANTES="Y",ROW(PANTES)),AL19)-1,COLUMN(StartDate)-1),"")</f>
        <v/>
      </c>
      <c r="AZ19" s="113" t="str">
        <f t="array" aca="1" ref="AZ19" ca="1">IFERROR(OFFSET('(Fill In) SIAO'!$A$1,SMALL(IF(PANTES="Y",ROW(PANTES)),AL19)-1,COLUMN(EndDate)-1),"")</f>
        <v/>
      </c>
      <c r="BA19" s="113" t="str">
        <f t="array" aca="1" ref="BA19" ca="1">IFERROR(OFFSET('(Fill In) SIAO'!$A$1,SMALL(IF(Heli="Y",ROW(Heli)),AL19)-1,COLUMN(StartDate)-1),"")</f>
        <v/>
      </c>
      <c r="BB19" s="113" t="str">
        <f t="array" aca="1" ref="BB19" ca="1">IFERROR(OFFSET('(Fill In) SIAO'!$A$1,SMALL(IF(Heli="Y",ROW(Heli)),AL19)-1,COLUMN(EndDate)-1),"")</f>
        <v/>
      </c>
      <c r="BC19" s="113" t="str">
        <f t="array" aca="1" ref="BC19" ca="1">IFERROR(OFFSET('(Fill In) SIAO'!$A$1,SMALL(IF(MMR="Y",ROW(MMR)),AL19)-1,COLUMN(StartDate)-1),"")</f>
        <v/>
      </c>
      <c r="BD19" s="113" t="str">
        <f t="array" aca="1" ref="BD19" ca="1">IFERROR(OFFSET('(Fill In) SIAO'!$A$1,SMALL(IF(MMR="Y",ROW(MMR)),AL19)-1,COLUMN(EndDate)-1),"")</f>
        <v/>
      </c>
      <c r="BE19" s="113" t="str">
        <f t="array" aca="1" ref="BE19" ca="1">IFERROR(OFFSET('(Fill In) SIAO'!$A$1,SMALL(IF(POL="Y",ROW(POL)),AL19)-1,COLUMN(StartDate)-1),"")</f>
        <v/>
      </c>
      <c r="BF19" s="113" t="str">
        <f t="array" aca="1" ref="BF19" ca="1">IFERROR(OFFSET('(Fill In) SIAO'!$A$1,SMALL(IF(POL="Y",ROW(POL)),AL19)-1,COLUMN(EndDate)-1),"")</f>
        <v/>
      </c>
    </row>
    <row r="20" spans="1:58">
      <c r="A20" s="75" t="s">
        <v>46</v>
      </c>
      <c r="B20" s="189"/>
      <c r="C20" s="76"/>
      <c r="D20" s="77"/>
      <c r="E20" s="77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K20" s="191"/>
      <c r="AL20">
        <v>10</v>
      </c>
      <c r="AM20" t="str">
        <f t="array" aca="1" ref="AM20" ca="1">IFERROR(OFFSET('(Fill In) SIAO'!$A$1,SMALL(IF(Signals="Y",ROW(Signals)),AL20)-1,COLUMN(Conducts)-1),"")</f>
        <v/>
      </c>
      <c r="AN20" s="113" t="str">
        <f t="array" aca="1" ref="AN20" ca="1">IFERROR(OFFSET('(Fill In) SIAO'!$A$1,SMALL(IF(Signals="Y",ROW(Signals)),AL20)-1,COLUMN(StartDate)-1),"")</f>
        <v/>
      </c>
      <c r="AO20" s="113" t="str">
        <f t="array" aca="1" ref="AO20" ca="1">IFERROR(OFFSET('(Fill In) SIAO'!$A$1,SMALL(IF(Signals="Y",ROW(Signals)),AL20)-1,COLUMN(EndDate)-1),"")</f>
        <v/>
      </c>
      <c r="AP20" s="113" t="str">
        <f t="array" aca="1" ref="AP20" ca="1">IFERROR(OFFSET('(Fill In) SIAO'!$A$1,SMALL(IF(Optics="Y",ROW(Optics)),AL20)-1,COLUMN(Conducts)-1),"")</f>
        <v/>
      </c>
      <c r="AQ20" s="113" t="str">
        <f t="array" aca="1" ref="AQ20" ca="1">IFERROR(OFFSET('(Fill In) SIAO'!$A$1,SMALL(IF(Optics="Y",ROW(Optics)),AL20)-1,COLUMN(StartDate)-1),"")</f>
        <v/>
      </c>
      <c r="AR20" s="113" t="str">
        <f t="array" aca="1" ref="AR20" ca="1">IFERROR(OFFSET('(Fill In) SIAO'!$A$1,SMALL(IF(Optics="Y",ROW(Optics)),AL20)-1,COLUMN(EndDate)-1),"")</f>
        <v/>
      </c>
      <c r="AS20" s="113" t="str">
        <f t="array" aca="1" ref="AS20" ca="1">IFERROR(OFFSET('(Fill In) SIAO'!$A$1,SMALL(IF(ACMS="Y",ROW(ACMS)),AL20)-1,COLUMN(StartDate)-1),"")</f>
        <v/>
      </c>
      <c r="AT20" s="113" t="str">
        <f t="array" aca="1" ref="AT20" ca="1">IFERROR(OFFSET('(Fill In) SIAO'!$A$1,SMALL(IF(ACMS="Y",ROW(ACMS)),AL20)-1,COLUMN(EndDate)-1),"")</f>
        <v/>
      </c>
      <c r="AU20" s="113" t="str">
        <f t="array" aca="1" ref="AU20" ca="1">IFERROR(OFFSET('(Fill In) SIAO'!$A$1,SMALL(IF(UOCE="Y",ROW(UOCE)),AL20)-1,COLUMN(StartDate)-1),"")</f>
        <v/>
      </c>
      <c r="AV20" s="113" t="str">
        <f t="array" aca="1" ref="AV20" ca="1">IFERROR(OFFSET('(Fill In) SIAO'!$A$1,SMALL(IF(UOCE="Y",ROW(UOCE)),AL20)-1,COLUMN(EndDate)-1),"")</f>
        <v/>
      </c>
      <c r="AW20" s="113" t="str">
        <f t="array" aca="1" ref="AW20" ca="1">IFERROR(OFFSET('(Fill In) SIAO'!$A$1,SMALL(IF(HLT="Y",ROW(HLT)),AL20)-1,COLUMN(StartDate)-1),"")</f>
        <v/>
      </c>
      <c r="AX20" s="113" t="str">
        <f t="array" aca="1" ref="AX20" ca="1">IFERROR(OFFSET('(Fill In) SIAO'!$A$1,SMALL(IF(HLT="Y",ROW(HLT)),AL20)-1,COLUMN(EndDate)-1),"")</f>
        <v/>
      </c>
      <c r="AY20" s="113" t="str">
        <f t="array" aca="1" ref="AY20" ca="1">IFERROR(OFFSET('(Fill In) SIAO'!$A$1,SMALL(IF(PANTES="Y",ROW(PANTES)),AL20)-1,COLUMN(StartDate)-1),"")</f>
        <v/>
      </c>
      <c r="AZ20" s="113" t="str">
        <f t="array" aca="1" ref="AZ20" ca="1">IFERROR(OFFSET('(Fill In) SIAO'!$A$1,SMALL(IF(PANTES="Y",ROW(PANTES)),AL20)-1,COLUMN(EndDate)-1),"")</f>
        <v/>
      </c>
      <c r="BA20" s="113" t="str">
        <f t="array" aca="1" ref="BA20" ca="1">IFERROR(OFFSET('(Fill In) SIAO'!$A$1,SMALL(IF(Heli="Y",ROW(Heli)),AL20)-1,COLUMN(StartDate)-1),"")</f>
        <v/>
      </c>
      <c r="BB20" s="113" t="str">
        <f t="array" aca="1" ref="BB20" ca="1">IFERROR(OFFSET('(Fill In) SIAO'!$A$1,SMALL(IF(Heli="Y",ROW(Heli)),AL20)-1,COLUMN(EndDate)-1),"")</f>
        <v/>
      </c>
      <c r="BC20" s="113" t="str">
        <f t="array" aca="1" ref="BC20" ca="1">IFERROR(OFFSET('(Fill In) SIAO'!$A$1,SMALL(IF(MMR="Y",ROW(MMR)),AL20)-1,COLUMN(StartDate)-1),"")</f>
        <v/>
      </c>
      <c r="BD20" s="113" t="str">
        <f t="array" aca="1" ref="BD20" ca="1">IFERROR(OFFSET('(Fill In) SIAO'!$A$1,SMALL(IF(MMR="Y",ROW(MMR)),AL20)-1,COLUMN(EndDate)-1),"")</f>
        <v/>
      </c>
      <c r="BE20" s="113" t="str">
        <f t="array" aca="1" ref="BE20" ca="1">IFERROR(OFFSET('(Fill In) SIAO'!$A$1,SMALL(IF(POL="Y",ROW(POL)),AL20)-1,COLUMN(StartDate)-1),"")</f>
        <v/>
      </c>
      <c r="BF20" s="113" t="str">
        <f t="array" aca="1" ref="BF20" ca="1">IFERROR(OFFSET('(Fill In) SIAO'!$A$1,SMALL(IF(POL="Y",ROW(POL)),AL20)-1,COLUMN(EndDate)-1),"")</f>
        <v/>
      </c>
    </row>
    <row r="21" spans="1:58">
      <c r="A21" s="75" t="s">
        <v>47</v>
      </c>
      <c r="B21" s="148"/>
      <c r="C21" s="76"/>
      <c r="D21" s="77"/>
      <c r="E21" s="77"/>
      <c r="F21" s="84"/>
      <c r="G21" s="84"/>
      <c r="H21" s="84"/>
      <c r="I21" s="84"/>
      <c r="J21" s="84"/>
      <c r="K21" s="84"/>
      <c r="L21" s="84"/>
      <c r="M21" s="84">
        <v>6</v>
      </c>
      <c r="N21" s="84">
        <v>6</v>
      </c>
      <c r="O21" s="84">
        <v>6</v>
      </c>
      <c r="P21" s="84">
        <v>6</v>
      </c>
      <c r="Q21" s="84">
        <v>6</v>
      </c>
      <c r="R21" s="84">
        <v>6</v>
      </c>
      <c r="S21" s="84">
        <v>6</v>
      </c>
      <c r="T21" s="84">
        <v>6</v>
      </c>
      <c r="U21" s="84">
        <v>6</v>
      </c>
      <c r="V21" s="84">
        <v>6</v>
      </c>
      <c r="W21" s="84">
        <v>6</v>
      </c>
      <c r="X21" s="84">
        <v>6</v>
      </c>
      <c r="Y21" s="84">
        <v>6</v>
      </c>
      <c r="Z21" s="84">
        <v>6</v>
      </c>
      <c r="AA21" s="84">
        <v>6</v>
      </c>
      <c r="AB21" s="84">
        <v>6</v>
      </c>
      <c r="AC21" s="84">
        <v>6</v>
      </c>
      <c r="AD21" s="84">
        <v>6</v>
      </c>
      <c r="AE21" s="84">
        <v>6</v>
      </c>
      <c r="AF21" s="84">
        <v>6</v>
      </c>
      <c r="AG21" s="84">
        <v>6</v>
      </c>
      <c r="AH21" s="84">
        <v>6</v>
      </c>
      <c r="AI21" s="84">
        <v>6</v>
      </c>
      <c r="AK21" s="191"/>
      <c r="AL21">
        <v>11</v>
      </c>
      <c r="AM21" t="str">
        <f t="array" aca="1" ref="AM21" ca="1">IFERROR(OFFSET('(Fill In) SIAO'!$A$1,SMALL(IF(Signals="Y",ROW(Signals)),AL21)-1,COLUMN(Conducts)-1),"")</f>
        <v/>
      </c>
      <c r="AN21" s="113" t="str">
        <f t="array" aca="1" ref="AN21" ca="1">IFERROR(OFFSET('(Fill In) SIAO'!$A$1,SMALL(IF(Signals="Y",ROW(Signals)),AL21)-1,COLUMN(StartDate)-1),"")</f>
        <v/>
      </c>
      <c r="AO21" s="113" t="str">
        <f t="array" aca="1" ref="AO21" ca="1">IFERROR(OFFSET('(Fill In) SIAO'!$A$1,SMALL(IF(Signals="Y",ROW(Signals)),AL21)-1,COLUMN(EndDate)-1),"")</f>
        <v/>
      </c>
      <c r="AP21" s="113" t="str">
        <f t="array" aca="1" ref="AP21" ca="1">IFERROR(OFFSET('(Fill In) SIAO'!$A$1,SMALL(IF(Optics="Y",ROW(Optics)),AL21)-1,COLUMN(Conducts)-1),"")</f>
        <v/>
      </c>
      <c r="AQ21" s="113" t="str">
        <f t="array" aca="1" ref="AQ21" ca="1">IFERROR(OFFSET('(Fill In) SIAO'!$A$1,SMALL(IF(Optics="Y",ROW(Optics)),AL21)-1,COLUMN(StartDate)-1),"")</f>
        <v/>
      </c>
      <c r="AR21" s="113" t="str">
        <f t="array" aca="1" ref="AR21" ca="1">IFERROR(OFFSET('(Fill In) SIAO'!$A$1,SMALL(IF(Optics="Y",ROW(Optics)),AL21)-1,COLUMN(EndDate)-1),"")</f>
        <v/>
      </c>
      <c r="AS21" s="113" t="str">
        <f t="array" aca="1" ref="AS21" ca="1">IFERROR(OFFSET('(Fill In) SIAO'!$A$1,SMALL(IF(ACMS="Y",ROW(ACMS)),AL21)-1,COLUMN(StartDate)-1),"")</f>
        <v/>
      </c>
      <c r="AT21" s="113" t="str">
        <f t="array" aca="1" ref="AT21" ca="1">IFERROR(OFFSET('(Fill In) SIAO'!$A$1,SMALL(IF(ACMS="Y",ROW(ACMS)),AL21)-1,COLUMN(EndDate)-1),"")</f>
        <v/>
      </c>
      <c r="AU21" s="113" t="str">
        <f t="array" aca="1" ref="AU21" ca="1">IFERROR(OFFSET('(Fill In) SIAO'!$A$1,SMALL(IF(UOCE="Y",ROW(UOCE)),AL21)-1,COLUMN(StartDate)-1),"")</f>
        <v/>
      </c>
      <c r="AV21" s="113" t="str">
        <f t="array" aca="1" ref="AV21" ca="1">IFERROR(OFFSET('(Fill In) SIAO'!$A$1,SMALL(IF(UOCE="Y",ROW(UOCE)),AL21)-1,COLUMN(EndDate)-1),"")</f>
        <v/>
      </c>
      <c r="AW21" s="113" t="str">
        <f t="array" aca="1" ref="AW21" ca="1">IFERROR(OFFSET('(Fill In) SIAO'!$A$1,SMALL(IF(HLT="Y",ROW(HLT)),AL21)-1,COLUMN(StartDate)-1),"")</f>
        <v/>
      </c>
      <c r="AX21" s="113" t="str">
        <f t="array" aca="1" ref="AX21" ca="1">IFERROR(OFFSET('(Fill In) SIAO'!$A$1,SMALL(IF(HLT="Y",ROW(HLT)),AL21)-1,COLUMN(EndDate)-1),"")</f>
        <v/>
      </c>
      <c r="AY21" s="113" t="str">
        <f t="array" aca="1" ref="AY21" ca="1">IFERROR(OFFSET('(Fill In) SIAO'!$A$1,SMALL(IF(PANTES="Y",ROW(PANTES)),AL21)-1,COLUMN(StartDate)-1),"")</f>
        <v/>
      </c>
      <c r="AZ21" s="113" t="str">
        <f t="array" aca="1" ref="AZ21" ca="1">IFERROR(OFFSET('(Fill In) SIAO'!$A$1,SMALL(IF(PANTES="Y",ROW(PANTES)),AL21)-1,COLUMN(EndDate)-1),"")</f>
        <v/>
      </c>
      <c r="BA21" s="113" t="str">
        <f t="array" aca="1" ref="BA21" ca="1">IFERROR(OFFSET('(Fill In) SIAO'!$A$1,SMALL(IF(Heli="Y",ROW(Heli)),AL21)-1,COLUMN(StartDate)-1),"")</f>
        <v/>
      </c>
      <c r="BB21" s="113" t="str">
        <f t="array" aca="1" ref="BB21" ca="1">IFERROR(OFFSET('(Fill In) SIAO'!$A$1,SMALL(IF(Heli="Y",ROW(Heli)),AL21)-1,COLUMN(EndDate)-1),"")</f>
        <v/>
      </c>
      <c r="BC21" s="113" t="str">
        <f t="array" aca="1" ref="BC21" ca="1">IFERROR(OFFSET('(Fill In) SIAO'!$A$1,SMALL(IF(MMR="Y",ROW(MMR)),AL21)-1,COLUMN(StartDate)-1),"")</f>
        <v/>
      </c>
      <c r="BD21" s="113" t="str">
        <f t="array" aca="1" ref="BD21" ca="1">IFERROR(OFFSET('(Fill In) SIAO'!$A$1,SMALL(IF(MMR="Y",ROW(MMR)),AL21)-1,COLUMN(EndDate)-1),"")</f>
        <v/>
      </c>
      <c r="BE21" s="113" t="str">
        <f t="array" aca="1" ref="BE21" ca="1">IFERROR(OFFSET('(Fill In) SIAO'!$A$1,SMALL(IF(POL="Y",ROW(POL)),AL21)-1,COLUMN(StartDate)-1),"")</f>
        <v/>
      </c>
      <c r="BF21" s="113" t="str">
        <f t="array" aca="1" ref="BF21" ca="1">IFERROR(OFFSET('(Fill In) SIAO'!$A$1,SMALL(IF(POL="Y",ROW(POL)),AL21)-1,COLUMN(EndDate)-1),"")</f>
        <v/>
      </c>
    </row>
    <row r="22" spans="1:58">
      <c r="A22" s="8"/>
      <c r="B22" s="12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K22" s="191"/>
      <c r="AL22">
        <v>12</v>
      </c>
      <c r="AM22" t="str">
        <f t="array" aca="1" ref="AM22" ca="1">IFERROR(OFFSET('(Fill In) SIAO'!$A$1,SMALL(IF(Signals="Y",ROW(Signals)),AL22)-1,COLUMN(Conducts)-1),"")</f>
        <v/>
      </c>
      <c r="AN22" s="113" t="str">
        <f t="array" aca="1" ref="AN22" ca="1">IFERROR(OFFSET('(Fill In) SIAO'!$A$1,SMALL(IF(Signals="Y",ROW(Signals)),AL22)-1,COLUMN(StartDate)-1),"")</f>
        <v/>
      </c>
      <c r="AO22" s="113" t="str">
        <f t="array" aca="1" ref="AO22" ca="1">IFERROR(OFFSET('(Fill In) SIAO'!$A$1,SMALL(IF(Signals="Y",ROW(Signals)),AL22)-1,COLUMN(EndDate)-1),"")</f>
        <v/>
      </c>
      <c r="AP22" s="113" t="str">
        <f t="array" aca="1" ref="AP22" ca="1">IFERROR(OFFSET('(Fill In) SIAO'!$A$1,SMALL(IF(Optics="Y",ROW(Optics)),AL22)-1,COLUMN(Conducts)-1),"")</f>
        <v/>
      </c>
      <c r="AQ22" s="113" t="str">
        <f t="array" aca="1" ref="AQ22" ca="1">IFERROR(OFFSET('(Fill In) SIAO'!$A$1,SMALL(IF(Optics="Y",ROW(Optics)),AL22)-1,COLUMN(StartDate)-1),"")</f>
        <v/>
      </c>
      <c r="AR22" s="113" t="str">
        <f t="array" aca="1" ref="AR22" ca="1">IFERROR(OFFSET('(Fill In) SIAO'!$A$1,SMALL(IF(Optics="Y",ROW(Optics)),AL22)-1,COLUMN(EndDate)-1),"")</f>
        <v/>
      </c>
      <c r="AS22" s="113" t="str">
        <f t="array" aca="1" ref="AS22" ca="1">IFERROR(OFFSET('(Fill In) SIAO'!$A$1,SMALL(IF(ACMS="Y",ROW(ACMS)),AL22)-1,COLUMN(StartDate)-1),"")</f>
        <v/>
      </c>
      <c r="AT22" s="113" t="str">
        <f t="array" aca="1" ref="AT22" ca="1">IFERROR(OFFSET('(Fill In) SIAO'!$A$1,SMALL(IF(ACMS="Y",ROW(ACMS)),AL22)-1,COLUMN(EndDate)-1),"")</f>
        <v/>
      </c>
      <c r="AU22" s="113" t="str">
        <f t="array" aca="1" ref="AU22" ca="1">IFERROR(OFFSET('(Fill In) SIAO'!$A$1,SMALL(IF(UOCE="Y",ROW(UOCE)),AL22)-1,COLUMN(StartDate)-1),"")</f>
        <v/>
      </c>
      <c r="AV22" s="113" t="str">
        <f t="array" aca="1" ref="AV22" ca="1">IFERROR(OFFSET('(Fill In) SIAO'!$A$1,SMALL(IF(UOCE="Y",ROW(UOCE)),AL22)-1,COLUMN(EndDate)-1),"")</f>
        <v/>
      </c>
      <c r="AW22" s="113" t="str">
        <f t="array" aca="1" ref="AW22" ca="1">IFERROR(OFFSET('(Fill In) SIAO'!$A$1,SMALL(IF(HLT="Y",ROW(HLT)),AL22)-1,COLUMN(StartDate)-1),"")</f>
        <v/>
      </c>
      <c r="AX22" s="113" t="str">
        <f t="array" aca="1" ref="AX22" ca="1">IFERROR(OFFSET('(Fill In) SIAO'!$A$1,SMALL(IF(HLT="Y",ROW(HLT)),AL22)-1,COLUMN(EndDate)-1),"")</f>
        <v/>
      </c>
      <c r="AY22" s="113" t="str">
        <f t="array" aca="1" ref="AY22" ca="1">IFERROR(OFFSET('(Fill In) SIAO'!$A$1,SMALL(IF(PANTES="Y",ROW(PANTES)),AL22)-1,COLUMN(StartDate)-1),"")</f>
        <v/>
      </c>
      <c r="AZ22" s="113" t="str">
        <f t="array" aca="1" ref="AZ22" ca="1">IFERROR(OFFSET('(Fill In) SIAO'!$A$1,SMALL(IF(PANTES="Y",ROW(PANTES)),AL22)-1,COLUMN(EndDate)-1),"")</f>
        <v/>
      </c>
      <c r="BA22" s="113" t="str">
        <f t="array" aca="1" ref="BA22" ca="1">IFERROR(OFFSET('(Fill In) SIAO'!$A$1,SMALL(IF(Heli="Y",ROW(Heli)),AL22)-1,COLUMN(StartDate)-1),"")</f>
        <v/>
      </c>
      <c r="BB22" s="113" t="str">
        <f t="array" aca="1" ref="BB22" ca="1">IFERROR(OFFSET('(Fill In) SIAO'!$A$1,SMALL(IF(Heli="Y",ROW(Heli)),AL22)-1,COLUMN(EndDate)-1),"")</f>
        <v/>
      </c>
      <c r="BC22" s="113" t="str">
        <f t="array" aca="1" ref="BC22" ca="1">IFERROR(OFFSET('(Fill In) SIAO'!$A$1,SMALL(IF(MMR="Y",ROW(MMR)),AL22)-1,COLUMN(StartDate)-1),"")</f>
        <v/>
      </c>
      <c r="BD22" s="113" t="str">
        <f t="array" aca="1" ref="BD22" ca="1">IFERROR(OFFSET('(Fill In) SIAO'!$A$1,SMALL(IF(MMR="Y",ROW(MMR)),AL22)-1,COLUMN(EndDate)-1),"")</f>
        <v/>
      </c>
      <c r="BE22" s="113" t="str">
        <f t="array" aca="1" ref="BE22" ca="1">IFERROR(OFFSET('(Fill In) SIAO'!$A$1,SMALL(IF(POL="Y",ROW(POL)),AL22)-1,COLUMN(StartDate)-1),"")</f>
        <v/>
      </c>
      <c r="BF22" s="113" t="str">
        <f t="array" aca="1" ref="BF22" ca="1">IFERROR(OFFSET('(Fill In) SIAO'!$A$1,SMALL(IF(POL="Y",ROW(POL)),AL22)-1,COLUMN(EndDate)-1),"")</f>
        <v/>
      </c>
    </row>
    <row r="23" spans="1:58" ht="15" hidden="1" customHeight="1">
      <c r="C23" t="str">
        <f t="array" aca="1" ref="C23:C30" ca="1">IF((C$48&gt;=$AQ$11:$AQ$74)*(C$48&lt;=$AR$11:$AR$74),$AP$11:$AP$74,"")</f>
        <v/>
      </c>
      <c r="D23" t="str">
        <f t="array" aca="1" ref="D23:D30" ca="1">IF((D$48&gt;=$AQ$11:$AQ$74)*(D$48&lt;=$AR$11:$AR$74),$AP$11:$AP$74,"")</f>
        <v/>
      </c>
      <c r="E23" t="str">
        <f t="array" aca="1" ref="E23:E30" ca="1">IF((E$48&gt;=$AQ$11:$AQ$74)*(E$48&lt;=$AR$11:$AR$74),$AP$11:$AP$74,"")</f>
        <v/>
      </c>
      <c r="F23" t="str">
        <f t="array" aca="1" ref="F23:F30" ca="1">IF((F$48&gt;=$AQ$11:$AQ$74)*(F$48&lt;=$AR$11:$AR$74),$AP$11:$AP$74,"")</f>
        <v/>
      </c>
      <c r="G23" t="str">
        <f t="array" aca="1" ref="G23:G30" ca="1">IF((G$48&gt;=$AQ$11:$AQ$74)*(G$48&lt;=$AR$11:$AR$74),$AP$11:$AP$74,"")</f>
        <v/>
      </c>
      <c r="H23" t="str">
        <f t="array" aca="1" ref="H23:H30" ca="1">IF((H$48&gt;=$AQ$11:$AQ$74)*(H$48&lt;=$AR$11:$AR$74),$AP$11:$AP$74,"")</f>
        <v/>
      </c>
      <c r="I23" t="str">
        <f t="array" aca="1" ref="I23:I30" ca="1">IF((I$48&gt;=$AQ$11:$AQ$74)*(I$48&lt;=$AR$11:$AR$74),$AP$11:$AP$74,"")</f>
        <v/>
      </c>
      <c r="J23" t="str">
        <f t="array" aca="1" ref="J23:J30" ca="1">IF((J$48&gt;=$AQ$11:$AQ$74)*(J$48&lt;=$AR$11:$AR$74),$AP$11:$AP$74,"")</f>
        <v/>
      </c>
      <c r="K23" t="str">
        <f t="array" aca="1" ref="K23:K30" ca="1">IF((K$48&gt;=$AQ$11:$AQ$74)*(K$48&lt;=$AR$11:$AR$74),$AP$11:$AP$74,"")</f>
        <v/>
      </c>
      <c r="L23" t="str">
        <f t="array" aca="1" ref="L23:L30" ca="1">IF((L$48&gt;=$AQ$11:$AQ$74)*(L$48&lt;=$AR$11:$AR$74),$AP$11:$AP$74,"")</f>
        <v/>
      </c>
      <c r="M23" t="str">
        <f t="array" aca="1" ref="M23:M30" ca="1">IF((M$48&gt;=$AQ$11:$AQ$74)*(M$48&lt;=$AR$11:$AR$74),$AP$11:$AP$74,"")</f>
        <v/>
      </c>
      <c r="N23" t="str">
        <f t="array" aca="1" ref="N23:N30" ca="1">IF((N$48&gt;=$AQ$11:$AQ$74)*(N$48&lt;=$AR$11:$AR$74),$AP$11:$AP$74,"")</f>
        <v/>
      </c>
      <c r="O23" t="str">
        <f t="array" aca="1" ref="O23:O30" ca="1">IF((O$48&gt;=$AQ$11:$AQ$74)*(O$48&lt;=$AR$11:$AR$74),$AP$11:$AP$74,"")</f>
        <v/>
      </c>
      <c r="P23" t="str">
        <f t="array" aca="1" ref="P23:P30" ca="1">IF((P$48&gt;=$AQ$11:$AQ$74)*(P$48&lt;=$AR$11:$AR$74),$AP$11:$AP$74,"")</f>
        <v/>
      </c>
      <c r="Q23" t="str">
        <f t="array" aca="1" ref="Q23:Q30" ca="1">IF((Q$48&gt;=$AQ$11:$AQ$74)*(Q$48&lt;=$AR$11:$AR$74),$AP$11:$AP$74,"")</f>
        <v/>
      </c>
      <c r="R23" t="str">
        <f t="array" aca="1" ref="R23:R30" ca="1">IF((R$48&gt;=$AQ$11:$AQ$74)*(R$48&lt;=$AR$11:$AR$74),$AP$11:$AP$74,"")</f>
        <v/>
      </c>
      <c r="S23" t="str">
        <f t="array" aca="1" ref="S23:S30" ca="1">IF((S$48&gt;=$AQ$11:$AQ$74)*(S$48&lt;=$AR$11:$AR$74),$AP$11:$AP$74,"")</f>
        <v/>
      </c>
      <c r="T23" t="str">
        <f t="array" aca="1" ref="T23:T30" ca="1">IF((T$48&gt;=$AQ$11:$AQ$74)*(T$48&lt;=$AR$11:$AR$74),$AP$11:$AP$74,"")</f>
        <v/>
      </c>
      <c r="U23" t="str">
        <f t="array" aca="1" ref="U23:U30" ca="1">IF((U$48&gt;=$AQ$11:$AQ$74)*(U$48&lt;=$AR$11:$AR$74),$AP$11:$AP$74,"")</f>
        <v/>
      </c>
      <c r="V23" t="str">
        <f t="array" aca="1" ref="V23:V30" ca="1">IF((V$48&gt;=$AQ$11:$AQ$74)*(V$48&lt;=$AR$11:$AR$74),$AP$11:$AP$74,"")</f>
        <v/>
      </c>
      <c r="W23" t="str">
        <f t="array" aca="1" ref="W23:W30" ca="1">IF((W$48&gt;=$AQ$11:$AQ$74)*(W$48&lt;=$AR$11:$AR$74),$AP$11:$AP$74,"")</f>
        <v/>
      </c>
      <c r="X23" t="str">
        <f t="array" aca="1" ref="X23:X30" ca="1">IF((X$48&gt;=$AQ$11:$AQ$74)*(X$48&lt;=$AR$11:$AR$74),$AP$11:$AP$74,"")</f>
        <v/>
      </c>
      <c r="Y23" t="str">
        <f t="array" aca="1" ref="Y23:Y30" ca="1">IF((Y$48&gt;=$AQ$11:$AQ$74)*(Y$48&lt;=$AR$11:$AR$74),$AP$11:$AP$74,"")</f>
        <v/>
      </c>
      <c r="Z23" t="str">
        <f t="array" aca="1" ref="Z23:Z30" ca="1">IF((Z$48&gt;=$AQ$11:$AQ$74)*(Z$48&lt;=$AR$11:$AR$74),$AP$11:$AP$74,"")</f>
        <v/>
      </c>
      <c r="AA23" t="str">
        <f t="array" aca="1" ref="AA23:AA30" ca="1">IF((AA$48&gt;=$AQ$11:$AQ$74)*(AA$48&lt;=$AR$11:$AR$74),$AP$11:$AP$74,"")</f>
        <v/>
      </c>
      <c r="AB23" t="str">
        <f t="array" aca="1" ref="AB23:AB30" ca="1">IF((AB$48&gt;=$AQ$11:$AQ$74)*(AB$48&lt;=$AR$11:$AR$74),$AP$11:$AP$74,"")</f>
        <v/>
      </c>
      <c r="AC23" t="str">
        <f t="array" aca="1" ref="AC23:AC30" ca="1">IF((AC$48&gt;=$AQ$11:$AQ$74)*(AC$48&lt;=$AR$11:$AR$74),$AP$11:$AP$74,"")</f>
        <v/>
      </c>
      <c r="AD23" t="str">
        <f t="array" aca="1" ref="AD23:AD30" ca="1">IF((AD$48&gt;=$AQ$11:$AQ$74)*(AD$48&lt;=$AR$11:$AR$74),$AP$11:$AP$74,"")</f>
        <v/>
      </c>
      <c r="AE23" t="str">
        <f t="array" aca="1" ref="AE23:AE30" ca="1">IF((AE$48&gt;=$AQ$11:$AQ$74)*(AE$48&lt;=$AR$11:$AR$74),$AP$11:$AP$74,"")</f>
        <v/>
      </c>
      <c r="AF23" t="str">
        <f t="array" aca="1" ref="AF23:AF30" ca="1">IF((AF$48&gt;=$AQ$11:$AQ$74)*(AF$48&lt;=$AR$11:$AR$74),$AP$11:$AP$74,"")</f>
        <v/>
      </c>
      <c r="AG23" t="str">
        <f t="array" aca="1" ref="AG23:AG30" ca="1">IF((AG$48&gt;=$AQ$11:$AQ$74)*(AG$48&lt;=$AR$11:$AR$74),$AP$11:$AP$74,"")</f>
        <v/>
      </c>
      <c r="AH23" t="str">
        <f t="array" aca="1" ref="AH23:AH30" ca="1">IF((AH$48&gt;=$AQ$11:$AQ$74)*(AH$48&lt;=$AR$11:$AR$74),$AP$11:$AP$74,"")</f>
        <v/>
      </c>
      <c r="AI23" t="str">
        <f t="array" aca="1" ref="AI23:AI30" ca="1">IF((AI$48&gt;=$AQ$11:$AQ$74)*(AI$48&lt;=$AR$11:$AR$74),$AP$11:$AP$74,"")</f>
        <v/>
      </c>
      <c r="AK23" s="191"/>
      <c r="AN23" s="186" t="s">
        <v>3</v>
      </c>
      <c r="AO23" s="187"/>
      <c r="AP23" s="126"/>
      <c r="AQ23" s="186" t="s">
        <v>60</v>
      </c>
      <c r="AR23" s="187"/>
      <c r="AS23" s="186" t="s">
        <v>89</v>
      </c>
      <c r="AT23" s="187"/>
      <c r="AU23" s="186" t="s">
        <v>90</v>
      </c>
      <c r="AV23" s="187"/>
      <c r="AW23" s="186" t="s">
        <v>148</v>
      </c>
      <c r="AX23" s="187"/>
      <c r="AY23" s="186" t="s">
        <v>92</v>
      </c>
      <c r="AZ23" s="187"/>
      <c r="BA23" s="186" t="s">
        <v>149</v>
      </c>
      <c r="BB23" s="187"/>
      <c r="BC23" s="186" t="s">
        <v>150</v>
      </c>
      <c r="BD23" s="187"/>
      <c r="BE23" s="186" t="s">
        <v>96</v>
      </c>
      <c r="BF23" s="187"/>
    </row>
    <row r="24" spans="1:58" ht="15" hidden="1" customHeight="1">
      <c r="C24" t="str">
        <f ca="1"/>
        <v/>
      </c>
      <c r="D24" t="str">
        <f ca="1"/>
        <v/>
      </c>
      <c r="E24" t="str">
        <f ca="1"/>
        <v/>
      </c>
      <c r="F24" t="str">
        <f ca="1"/>
        <v/>
      </c>
      <c r="G24" t="str">
        <f ca="1"/>
        <v/>
      </c>
      <c r="H24" t="str">
        <f ca="1"/>
        <v/>
      </c>
      <c r="I24" t="str">
        <f ca="1"/>
        <v/>
      </c>
      <c r="J24" t="str">
        <f ca="1"/>
        <v/>
      </c>
      <c r="K24" t="str">
        <f ca="1"/>
        <v/>
      </c>
      <c r="L24" t="str">
        <f ca="1"/>
        <v/>
      </c>
      <c r="M24" t="str">
        <f ca="1"/>
        <v/>
      </c>
      <c r="N24" t="str">
        <f ca="1"/>
        <v/>
      </c>
      <c r="O24" t="str">
        <f ca="1"/>
        <v/>
      </c>
      <c r="P24" t="str">
        <f ca="1"/>
        <v/>
      </c>
      <c r="Q24" t="str">
        <f ca="1"/>
        <v/>
      </c>
      <c r="R24" t="str">
        <f ca="1"/>
        <v/>
      </c>
      <c r="S24" t="str">
        <f ca="1"/>
        <v/>
      </c>
      <c r="T24" t="str">
        <f ca="1"/>
        <v/>
      </c>
      <c r="U24" t="str">
        <f ca="1"/>
        <v/>
      </c>
      <c r="V24" t="str">
        <f ca="1"/>
        <v/>
      </c>
      <c r="W24" t="str">
        <f ca="1"/>
        <v/>
      </c>
      <c r="X24" t="str">
        <f ca="1"/>
        <v/>
      </c>
      <c r="Y24" t="str">
        <f ca="1"/>
        <v/>
      </c>
      <c r="Z24" t="str">
        <f ca="1"/>
        <v/>
      </c>
      <c r="AA24" t="str">
        <f ca="1"/>
        <v/>
      </c>
      <c r="AB24" t="str">
        <f ca="1"/>
        <v/>
      </c>
      <c r="AC24" t="str">
        <f ca="1"/>
        <v/>
      </c>
      <c r="AD24" t="str">
        <f ca="1"/>
        <v/>
      </c>
      <c r="AE24" t="str">
        <f ca="1"/>
        <v/>
      </c>
      <c r="AF24" t="str">
        <f ca="1"/>
        <v/>
      </c>
      <c r="AG24" t="str">
        <f ca="1"/>
        <v/>
      </c>
      <c r="AH24" t="str">
        <f ca="1"/>
        <v/>
      </c>
      <c r="AI24" t="str">
        <f ca="1"/>
        <v/>
      </c>
      <c r="AK24" s="191"/>
      <c r="AN24" s="126"/>
      <c r="AO24" s="126"/>
      <c r="AP24" s="126"/>
      <c r="AQ24" s="126"/>
      <c r="AR24" s="126"/>
      <c r="AS24" s="126"/>
      <c r="AT24" s="126"/>
      <c r="AU24" s="126"/>
      <c r="AV24" s="126"/>
      <c r="AW24" s="126"/>
      <c r="AX24" s="126"/>
      <c r="AY24" s="126"/>
      <c r="AZ24" s="126"/>
      <c r="BA24" s="126"/>
      <c r="BB24" s="126"/>
      <c r="BC24" s="126"/>
      <c r="BD24" s="126"/>
      <c r="BE24" s="126"/>
      <c r="BF24" s="126"/>
    </row>
    <row r="25" spans="1:58" ht="15" hidden="1" customHeight="1">
      <c r="C25" t="str">
        <f ca="1"/>
        <v/>
      </c>
      <c r="D25" t="str">
        <f ca="1"/>
        <v/>
      </c>
      <c r="E25" t="str">
        <f ca="1"/>
        <v/>
      </c>
      <c r="F25" t="str">
        <f ca="1"/>
        <v/>
      </c>
      <c r="G25" t="str">
        <f ca="1"/>
        <v/>
      </c>
      <c r="H25" t="str">
        <f ca="1"/>
        <v/>
      </c>
      <c r="I25" t="str">
        <f ca="1"/>
        <v/>
      </c>
      <c r="J25" t="str">
        <f ca="1"/>
        <v/>
      </c>
      <c r="K25" t="str">
        <f ca="1"/>
        <v/>
      </c>
      <c r="L25" t="str">
        <f ca="1"/>
        <v/>
      </c>
      <c r="M25" t="str">
        <f ca="1"/>
        <v/>
      </c>
      <c r="N25" t="str">
        <f ca="1"/>
        <v/>
      </c>
      <c r="O25" t="str">
        <f ca="1"/>
        <v/>
      </c>
      <c r="P25" t="str">
        <f ca="1"/>
        <v/>
      </c>
      <c r="Q25" t="str">
        <f ca="1"/>
        <v/>
      </c>
      <c r="R25" t="str">
        <f ca="1"/>
        <v/>
      </c>
      <c r="S25" t="str">
        <f ca="1"/>
        <v/>
      </c>
      <c r="T25" t="str">
        <f ca="1"/>
        <v/>
      </c>
      <c r="U25" t="str">
        <f ca="1"/>
        <v/>
      </c>
      <c r="V25" t="str">
        <f ca="1"/>
        <v/>
      </c>
      <c r="W25" t="str">
        <f ca="1"/>
        <v/>
      </c>
      <c r="X25" t="str">
        <f ca="1"/>
        <v/>
      </c>
      <c r="Y25" t="str">
        <f ca="1"/>
        <v/>
      </c>
      <c r="Z25" t="str">
        <f ca="1"/>
        <v/>
      </c>
      <c r="AA25" t="str">
        <f ca="1"/>
        <v/>
      </c>
      <c r="AB25" t="str">
        <f ca="1"/>
        <v/>
      </c>
      <c r="AC25" t="str">
        <f ca="1"/>
        <v/>
      </c>
      <c r="AD25" t="str">
        <f ca="1"/>
        <v/>
      </c>
      <c r="AE25" t="str">
        <f ca="1"/>
        <v/>
      </c>
      <c r="AF25" t="str">
        <f ca="1"/>
        <v/>
      </c>
      <c r="AG25" t="str">
        <f ca="1"/>
        <v/>
      </c>
      <c r="AH25" t="str">
        <f ca="1"/>
        <v/>
      </c>
      <c r="AI25" t="str">
        <f ca="1"/>
        <v/>
      </c>
      <c r="AK25" s="191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6"/>
      <c r="BD25" s="126"/>
      <c r="BE25" s="126"/>
      <c r="BF25" s="126"/>
    </row>
    <row r="26" spans="1:58" ht="15" hidden="1" customHeight="1">
      <c r="C26" t="str">
        <f ca="1"/>
        <v/>
      </c>
      <c r="D26" t="str">
        <f ca="1"/>
        <v/>
      </c>
      <c r="E26" t="str">
        <f ca="1"/>
        <v/>
      </c>
      <c r="F26" t="str">
        <f ca="1"/>
        <v/>
      </c>
      <c r="G26" t="str">
        <f ca="1"/>
        <v/>
      </c>
      <c r="H26" t="str">
        <f ca="1"/>
        <v/>
      </c>
      <c r="I26" t="str">
        <f ca="1"/>
        <v/>
      </c>
      <c r="J26" t="str">
        <f ca="1"/>
        <v/>
      </c>
      <c r="K26" t="str">
        <f ca="1"/>
        <v/>
      </c>
      <c r="L26" t="str">
        <f ca="1"/>
        <v/>
      </c>
      <c r="M26" t="str">
        <f ca="1"/>
        <v/>
      </c>
      <c r="N26" t="str">
        <f ca="1"/>
        <v/>
      </c>
      <c r="O26" t="str">
        <f ca="1"/>
        <v/>
      </c>
      <c r="P26" t="str">
        <f ca="1"/>
        <v/>
      </c>
      <c r="Q26" t="str">
        <f ca="1"/>
        <v/>
      </c>
      <c r="R26" t="str">
        <f ca="1"/>
        <v/>
      </c>
      <c r="S26" t="str">
        <f ca="1"/>
        <v/>
      </c>
      <c r="T26" t="str">
        <f ca="1"/>
        <v/>
      </c>
      <c r="U26" t="str">
        <f ca="1"/>
        <v/>
      </c>
      <c r="V26" t="str">
        <f ca="1"/>
        <v/>
      </c>
      <c r="W26" t="str">
        <f ca="1"/>
        <v/>
      </c>
      <c r="X26" t="str">
        <f ca="1"/>
        <v/>
      </c>
      <c r="Y26" t="str">
        <f ca="1"/>
        <v/>
      </c>
      <c r="Z26" t="str">
        <f ca="1"/>
        <v/>
      </c>
      <c r="AA26" t="str">
        <f ca="1"/>
        <v/>
      </c>
      <c r="AB26" t="str">
        <f ca="1"/>
        <v/>
      </c>
      <c r="AC26" t="str">
        <f ca="1"/>
        <v/>
      </c>
      <c r="AD26" t="str">
        <f ca="1"/>
        <v/>
      </c>
      <c r="AE26" t="str">
        <f ca="1"/>
        <v/>
      </c>
      <c r="AF26" t="str">
        <f ca="1"/>
        <v/>
      </c>
      <c r="AG26" t="str">
        <f ca="1"/>
        <v/>
      </c>
      <c r="AH26" t="str">
        <f ca="1"/>
        <v/>
      </c>
      <c r="AI26" t="str">
        <f ca="1"/>
        <v/>
      </c>
      <c r="AK26" s="191"/>
      <c r="AN26" s="126"/>
      <c r="AO26" s="126"/>
      <c r="AP26" s="126"/>
      <c r="AQ26" s="126"/>
      <c r="AR26" s="126"/>
      <c r="AS26" s="126"/>
      <c r="AT26" s="126"/>
      <c r="AU26" s="126"/>
      <c r="AV26" s="126"/>
      <c r="AW26" s="126"/>
      <c r="AX26" s="126"/>
      <c r="AY26" s="126"/>
      <c r="AZ26" s="126"/>
      <c r="BA26" s="126"/>
      <c r="BB26" s="126"/>
      <c r="BC26" s="126"/>
      <c r="BD26" s="126"/>
      <c r="BE26" s="126"/>
      <c r="BF26" s="126"/>
    </row>
    <row r="27" spans="1:58" ht="15" hidden="1" customHeight="1">
      <c r="C27" t="str">
        <f ca="1"/>
        <v/>
      </c>
      <c r="D27" t="str">
        <f ca="1"/>
        <v/>
      </c>
      <c r="E27" t="str">
        <f ca="1"/>
        <v/>
      </c>
      <c r="F27" t="str">
        <f ca="1"/>
        <v/>
      </c>
      <c r="G27" t="str">
        <f ca="1"/>
        <v/>
      </c>
      <c r="H27" t="str">
        <f ca="1"/>
        <v/>
      </c>
      <c r="I27" t="str">
        <f ca="1"/>
        <v/>
      </c>
      <c r="J27" t="str">
        <f ca="1"/>
        <v/>
      </c>
      <c r="K27" t="str">
        <f ca="1"/>
        <v/>
      </c>
      <c r="L27" t="str">
        <f ca="1"/>
        <v/>
      </c>
      <c r="M27" t="str">
        <f ca="1"/>
        <v/>
      </c>
      <c r="N27" t="str">
        <f ca="1"/>
        <v/>
      </c>
      <c r="O27" t="str">
        <f ca="1"/>
        <v/>
      </c>
      <c r="P27" t="str">
        <f ca="1"/>
        <v/>
      </c>
      <c r="Q27" t="str">
        <f ca="1"/>
        <v/>
      </c>
      <c r="R27" t="str">
        <f ca="1"/>
        <v/>
      </c>
      <c r="S27" t="str">
        <f ca="1"/>
        <v/>
      </c>
      <c r="T27" t="str">
        <f ca="1"/>
        <v/>
      </c>
      <c r="U27" t="str">
        <f ca="1"/>
        <v/>
      </c>
      <c r="V27" t="str">
        <f ca="1"/>
        <v/>
      </c>
      <c r="W27" t="str">
        <f ca="1"/>
        <v/>
      </c>
      <c r="X27" t="str">
        <f ca="1"/>
        <v/>
      </c>
      <c r="Y27" t="str">
        <f ca="1"/>
        <v/>
      </c>
      <c r="Z27" t="str">
        <f ca="1"/>
        <v/>
      </c>
      <c r="AA27" t="str">
        <f ca="1"/>
        <v/>
      </c>
      <c r="AB27" t="str">
        <f ca="1"/>
        <v/>
      </c>
      <c r="AC27" t="str">
        <f ca="1"/>
        <v/>
      </c>
      <c r="AD27" t="str">
        <f ca="1"/>
        <v/>
      </c>
      <c r="AE27" t="str">
        <f ca="1"/>
        <v/>
      </c>
      <c r="AF27" t="str">
        <f ca="1"/>
        <v/>
      </c>
      <c r="AG27" t="str">
        <f ca="1"/>
        <v/>
      </c>
      <c r="AH27" t="str">
        <f ca="1"/>
        <v/>
      </c>
      <c r="AI27" t="str">
        <f ca="1"/>
        <v/>
      </c>
      <c r="AK27" s="191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6"/>
      <c r="BD27" s="126"/>
      <c r="BE27" s="126"/>
      <c r="BF27" s="126"/>
    </row>
    <row r="28" spans="1:58" ht="15" hidden="1" customHeight="1">
      <c r="C28" t="str">
        <f ca="1"/>
        <v/>
      </c>
      <c r="D28" t="str">
        <f ca="1"/>
        <v/>
      </c>
      <c r="E28" t="str">
        <f ca="1"/>
        <v/>
      </c>
      <c r="F28" t="str">
        <f ca="1"/>
        <v/>
      </c>
      <c r="G28" t="str">
        <f ca="1"/>
        <v/>
      </c>
      <c r="H28" t="str">
        <f ca="1"/>
        <v/>
      </c>
      <c r="I28" t="str">
        <f ca="1"/>
        <v/>
      </c>
      <c r="J28" t="str">
        <f ca="1"/>
        <v/>
      </c>
      <c r="K28" t="str">
        <f ca="1"/>
        <v/>
      </c>
      <c r="L28" t="str">
        <f ca="1"/>
        <v/>
      </c>
      <c r="M28" t="str">
        <f ca="1"/>
        <v/>
      </c>
      <c r="N28" t="str">
        <f ca="1"/>
        <v/>
      </c>
      <c r="O28" t="str">
        <f ca="1"/>
        <v/>
      </c>
      <c r="P28" t="str">
        <f ca="1"/>
        <v/>
      </c>
      <c r="Q28" t="str">
        <f ca="1"/>
        <v/>
      </c>
      <c r="R28" t="str">
        <f ca="1"/>
        <v/>
      </c>
      <c r="S28" t="str">
        <f ca="1"/>
        <v/>
      </c>
      <c r="T28" t="str">
        <f ca="1"/>
        <v/>
      </c>
      <c r="U28" t="str">
        <f ca="1"/>
        <v/>
      </c>
      <c r="V28" t="str">
        <f ca="1"/>
        <v/>
      </c>
      <c r="W28" t="str">
        <f ca="1"/>
        <v/>
      </c>
      <c r="X28" t="str">
        <f ca="1"/>
        <v/>
      </c>
      <c r="Y28" t="str">
        <f ca="1"/>
        <v/>
      </c>
      <c r="Z28" t="str">
        <f ca="1"/>
        <v/>
      </c>
      <c r="AA28" t="str">
        <f ca="1"/>
        <v/>
      </c>
      <c r="AB28" t="str">
        <f ca="1"/>
        <v/>
      </c>
      <c r="AC28" t="str">
        <f ca="1"/>
        <v/>
      </c>
      <c r="AD28" t="str">
        <f ca="1"/>
        <v/>
      </c>
      <c r="AE28" t="str">
        <f ca="1"/>
        <v/>
      </c>
      <c r="AF28" t="str">
        <f ca="1"/>
        <v/>
      </c>
      <c r="AG28" t="str">
        <f ca="1"/>
        <v/>
      </c>
      <c r="AH28" t="str">
        <f ca="1"/>
        <v/>
      </c>
      <c r="AI28" t="str">
        <f ca="1"/>
        <v/>
      </c>
      <c r="AK28" s="191"/>
      <c r="AN28" s="126"/>
      <c r="AO28" s="126"/>
      <c r="AP28" s="126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6"/>
      <c r="BD28" s="126"/>
      <c r="BE28" s="126"/>
      <c r="BF28" s="126"/>
    </row>
    <row r="29" spans="1:58" ht="15" hidden="1" customHeight="1">
      <c r="C29" t="str">
        <f ca="1"/>
        <v/>
      </c>
      <c r="D29" t="str">
        <f ca="1"/>
        <v/>
      </c>
      <c r="E29" t="str">
        <f ca="1"/>
        <v/>
      </c>
      <c r="F29" t="str">
        <f ca="1"/>
        <v/>
      </c>
      <c r="G29" t="str">
        <f ca="1"/>
        <v/>
      </c>
      <c r="H29" t="str">
        <f ca="1"/>
        <v/>
      </c>
      <c r="I29" t="str">
        <f ca="1"/>
        <v/>
      </c>
      <c r="J29" t="str">
        <f ca="1"/>
        <v/>
      </c>
      <c r="K29" t="str">
        <f ca="1"/>
        <v/>
      </c>
      <c r="L29" t="str">
        <f ca="1"/>
        <v/>
      </c>
      <c r="M29" t="str">
        <f ca="1"/>
        <v/>
      </c>
      <c r="N29" t="str">
        <f ca="1"/>
        <v/>
      </c>
      <c r="O29" t="str">
        <f ca="1"/>
        <v/>
      </c>
      <c r="P29" t="str">
        <f ca="1"/>
        <v/>
      </c>
      <c r="Q29" t="str">
        <f ca="1"/>
        <v/>
      </c>
      <c r="R29" t="str">
        <f ca="1"/>
        <v/>
      </c>
      <c r="S29" t="str">
        <f ca="1"/>
        <v/>
      </c>
      <c r="T29" t="str">
        <f ca="1"/>
        <v/>
      </c>
      <c r="U29" t="str">
        <f ca="1"/>
        <v/>
      </c>
      <c r="V29" t="str">
        <f ca="1"/>
        <v/>
      </c>
      <c r="W29" t="str">
        <f ca="1"/>
        <v/>
      </c>
      <c r="X29" t="str">
        <f ca="1"/>
        <v/>
      </c>
      <c r="Y29" t="str">
        <f ca="1"/>
        <v/>
      </c>
      <c r="Z29" t="str">
        <f ca="1"/>
        <v/>
      </c>
      <c r="AA29" t="str">
        <f ca="1"/>
        <v/>
      </c>
      <c r="AB29" t="str">
        <f ca="1"/>
        <v/>
      </c>
      <c r="AC29" t="str">
        <f ca="1"/>
        <v/>
      </c>
      <c r="AD29" t="str">
        <f ca="1"/>
        <v/>
      </c>
      <c r="AE29" t="str">
        <f ca="1"/>
        <v/>
      </c>
      <c r="AF29" t="str">
        <f ca="1"/>
        <v/>
      </c>
      <c r="AG29" t="str">
        <f ca="1"/>
        <v/>
      </c>
      <c r="AH29" t="str">
        <f ca="1"/>
        <v/>
      </c>
      <c r="AI29" t="str">
        <f ca="1"/>
        <v/>
      </c>
      <c r="AK29" s="191"/>
      <c r="AN29" s="126"/>
      <c r="AO29" s="126"/>
      <c r="AP29" s="126"/>
      <c r="AQ29" s="126"/>
      <c r="AR29" s="126"/>
      <c r="AS29" s="126"/>
      <c r="AT29" s="126"/>
      <c r="AU29" s="126"/>
      <c r="AV29" s="126"/>
      <c r="AW29" s="126"/>
      <c r="AX29" s="126"/>
      <c r="AY29" s="126"/>
      <c r="AZ29" s="126"/>
      <c r="BA29" s="126"/>
      <c r="BB29" s="126"/>
      <c r="BC29" s="126"/>
      <c r="BD29" s="126"/>
      <c r="BE29" s="126"/>
      <c r="BF29" s="126"/>
    </row>
    <row r="30" spans="1:58" ht="15" hidden="1" customHeight="1">
      <c r="C30" t="str">
        <f ca="1"/>
        <v/>
      </c>
      <c r="D30" t="str">
        <f ca="1"/>
        <v/>
      </c>
      <c r="E30" t="str">
        <f ca="1"/>
        <v/>
      </c>
      <c r="F30" t="str">
        <f ca="1"/>
        <v/>
      </c>
      <c r="G30" t="str">
        <f ca="1"/>
        <v/>
      </c>
      <c r="H30" t="str">
        <f ca="1"/>
        <v/>
      </c>
      <c r="I30" t="str">
        <f ca="1"/>
        <v/>
      </c>
      <c r="J30" t="str">
        <f ca="1"/>
        <v/>
      </c>
      <c r="K30" t="str">
        <f ca="1"/>
        <v/>
      </c>
      <c r="L30" t="str">
        <f ca="1"/>
        <v/>
      </c>
      <c r="M30" t="str">
        <f ca="1"/>
        <v/>
      </c>
      <c r="N30" t="str">
        <f ca="1"/>
        <v/>
      </c>
      <c r="O30" t="str">
        <f ca="1"/>
        <v/>
      </c>
      <c r="P30" t="str">
        <f ca="1"/>
        <v/>
      </c>
      <c r="Q30" t="str">
        <f ca="1"/>
        <v/>
      </c>
      <c r="R30" t="str">
        <f ca="1"/>
        <v/>
      </c>
      <c r="S30" t="str">
        <f ca="1"/>
        <v/>
      </c>
      <c r="T30" t="str">
        <f ca="1"/>
        <v/>
      </c>
      <c r="U30" t="str">
        <f ca="1"/>
        <v/>
      </c>
      <c r="V30" t="str">
        <f ca="1"/>
        <v/>
      </c>
      <c r="W30" t="str">
        <f ca="1"/>
        <v/>
      </c>
      <c r="X30" t="str">
        <f ca="1"/>
        <v/>
      </c>
      <c r="Y30" t="str">
        <f ca="1"/>
        <v/>
      </c>
      <c r="Z30" t="str">
        <f ca="1"/>
        <v/>
      </c>
      <c r="AA30" t="str">
        <f ca="1"/>
        <v/>
      </c>
      <c r="AB30" t="str">
        <f ca="1"/>
        <v/>
      </c>
      <c r="AC30" t="str">
        <f ca="1"/>
        <v/>
      </c>
      <c r="AD30" t="str">
        <f ca="1"/>
        <v/>
      </c>
      <c r="AE30" t="str">
        <f ca="1"/>
        <v/>
      </c>
      <c r="AF30" t="str">
        <f ca="1"/>
        <v/>
      </c>
      <c r="AG30" t="str">
        <f ca="1"/>
        <v/>
      </c>
      <c r="AH30" t="str">
        <f ca="1"/>
        <v/>
      </c>
      <c r="AI30" t="str">
        <f ca="1"/>
        <v/>
      </c>
      <c r="AK30" s="191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6"/>
      <c r="BD30" s="126"/>
      <c r="BE30" s="126"/>
      <c r="BF30" s="126"/>
    </row>
    <row r="31" spans="1:58">
      <c r="A31" s="7" t="s">
        <v>60</v>
      </c>
      <c r="B31" s="1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K31" s="191"/>
      <c r="AL31">
        <v>13</v>
      </c>
      <c r="AM31" t="str">
        <f t="array" aca="1" ref="AM31" ca="1">IFERROR(OFFSET('(Fill In) SIAO'!$A$1,SMALL(IF(Signals="Y",ROW(Signals)),AL31)-1,COLUMN(Conducts)-1),"")</f>
        <v/>
      </c>
      <c r="AN31" s="113" t="str">
        <f t="array" aca="1" ref="AN31" ca="1">IFERROR(OFFSET('(Fill In) SIAO'!$A$1,SMALL(IF(Signals="Y",ROW(Signals)),AL31)-1,COLUMN(StartDate)-1),"")</f>
        <v/>
      </c>
      <c r="AO31" s="113" t="str">
        <f t="array" aca="1" ref="AO31" ca="1">IFERROR(OFFSET('(Fill In) SIAO'!$A$1,SMALL(IF(Signals="Y",ROW(Signals)),AL31)-1,COLUMN(EndDate)-1),"")</f>
        <v/>
      </c>
      <c r="AP31" s="113" t="str">
        <f t="array" aca="1" ref="AP31" ca="1">IFERROR(OFFSET('(Fill In) SIAO'!$A$1,SMALL(IF(Optics="Y",ROW(Optics)),AL31)-1,COLUMN(Conducts)-1),"")</f>
        <v/>
      </c>
      <c r="AQ31" s="113" t="str">
        <f t="array" aca="1" ref="AQ31" ca="1">IFERROR(OFFSET('(Fill In) SIAO'!$A$1,SMALL(IF(Optics="Y",ROW(Optics)),AL31)-1,COLUMN(StartDate)-1),"")</f>
        <v/>
      </c>
      <c r="AR31" s="113" t="str">
        <f t="array" aca="1" ref="AR31" ca="1">IFERROR(OFFSET('(Fill In) SIAO'!$A$1,SMALL(IF(Optics="Y",ROW(Optics)),AL31)-1,COLUMN(EndDate)-1),"")</f>
        <v/>
      </c>
      <c r="AS31" s="113" t="str">
        <f t="array" aca="1" ref="AS31" ca="1">IFERROR(OFFSET('(Fill In) SIAO'!$A$1,SMALL(IF(ACMS="Y",ROW(ACMS)),AL31)-1,COLUMN(StartDate)-1),"")</f>
        <v/>
      </c>
      <c r="AT31" s="113" t="str">
        <f t="array" aca="1" ref="AT31" ca="1">IFERROR(OFFSET('(Fill In) SIAO'!$A$1,SMALL(IF(ACMS="Y",ROW(ACMS)),AL31)-1,COLUMN(EndDate)-1),"")</f>
        <v/>
      </c>
      <c r="AU31" s="113" t="str">
        <f t="array" aca="1" ref="AU31" ca="1">IFERROR(OFFSET('(Fill In) SIAO'!$A$1,SMALL(IF(UOCE="Y",ROW(UOCE)),AL31)-1,COLUMN(StartDate)-1),"")</f>
        <v/>
      </c>
      <c r="AV31" s="113" t="str">
        <f t="array" aca="1" ref="AV31" ca="1">IFERROR(OFFSET('(Fill In) SIAO'!$A$1,SMALL(IF(UOCE="Y",ROW(UOCE)),AL31)-1,COLUMN(EndDate)-1),"")</f>
        <v/>
      </c>
      <c r="AW31" s="113" t="str">
        <f t="array" aca="1" ref="AW31" ca="1">IFERROR(OFFSET('(Fill In) SIAO'!$A$1,SMALL(IF(HLT="Y",ROW(HLT)),AL31)-1,COLUMN(StartDate)-1),"")</f>
        <v/>
      </c>
      <c r="AX31" s="113" t="str">
        <f t="array" aca="1" ref="AX31" ca="1">IFERROR(OFFSET('(Fill In) SIAO'!$A$1,SMALL(IF(HLT="Y",ROW(HLT)),AL31)-1,COLUMN(EndDate)-1),"")</f>
        <v/>
      </c>
      <c r="AY31" s="113" t="str">
        <f t="array" aca="1" ref="AY31" ca="1">IFERROR(OFFSET('(Fill In) SIAO'!$A$1,SMALL(IF(PANTES="Y",ROW(PANTES)),AL31)-1,COLUMN(StartDate)-1),"")</f>
        <v/>
      </c>
      <c r="AZ31" s="113" t="str">
        <f t="array" aca="1" ref="AZ31" ca="1">IFERROR(OFFSET('(Fill In) SIAO'!$A$1,SMALL(IF(PANTES="Y",ROW(PANTES)),AL31)-1,COLUMN(EndDate)-1),"")</f>
        <v/>
      </c>
      <c r="BA31" s="113" t="str">
        <f t="array" aca="1" ref="BA31" ca="1">IFERROR(OFFSET('(Fill In) SIAO'!$A$1,SMALL(IF(Heli="Y",ROW(Heli)),AL31)-1,COLUMN(StartDate)-1),"")</f>
        <v/>
      </c>
      <c r="BB31" s="113" t="str">
        <f t="array" aca="1" ref="BB31" ca="1">IFERROR(OFFSET('(Fill In) SIAO'!$A$1,SMALL(IF(Heli="Y",ROW(Heli)),AL31)-1,COLUMN(EndDate)-1),"")</f>
        <v/>
      </c>
      <c r="BC31" s="113" t="str">
        <f t="array" aca="1" ref="BC31" ca="1">IFERROR(OFFSET('(Fill In) SIAO'!$A$1,SMALL(IF(MMR="Y",ROW(MMR)),AL31)-1,COLUMN(StartDate)-1),"")</f>
        <v/>
      </c>
      <c r="BD31" s="113" t="str">
        <f t="array" aca="1" ref="BD31" ca="1">IFERROR(OFFSET('(Fill In) SIAO'!$A$1,SMALL(IF(MMR="Y",ROW(MMR)),AL31)-1,COLUMN(EndDate)-1),"")</f>
        <v/>
      </c>
      <c r="BE31" s="113" t="str">
        <f t="array" aca="1" ref="BE31" ca="1">IFERROR(OFFSET('(Fill In) SIAO'!$A$1,SMALL(IF(POL="Y",ROW(POL)),AL31)-1,COLUMN(StartDate)-1),"")</f>
        <v/>
      </c>
      <c r="BF31" s="113" t="str">
        <f t="array" aca="1" ref="BF31" ca="1">IFERROR(OFFSET('(Fill In) SIAO'!$A$1,SMALL(IF(POL="Y",ROW(POL)),AL31)-1,COLUMN(EndDate)-1),"")</f>
        <v/>
      </c>
    </row>
    <row r="32" spans="1:58">
      <c r="A32" s="75"/>
      <c r="B32" s="11" t="s">
        <v>154</v>
      </c>
      <c r="C32" s="112">
        <f>EOMONTH($A$1,-1)</f>
        <v>45016</v>
      </c>
      <c r="D32" s="112">
        <f t="shared" ref="D32:AI32" si="1">C32+1</f>
        <v>45017</v>
      </c>
      <c r="E32" s="112">
        <f t="shared" si="1"/>
        <v>45018</v>
      </c>
      <c r="F32" s="112">
        <f t="shared" si="1"/>
        <v>45019</v>
      </c>
      <c r="G32" s="112">
        <f t="shared" si="1"/>
        <v>45020</v>
      </c>
      <c r="H32" s="112">
        <f t="shared" si="1"/>
        <v>45021</v>
      </c>
      <c r="I32" s="112">
        <f t="shared" si="1"/>
        <v>45022</v>
      </c>
      <c r="J32" s="112">
        <f t="shared" si="1"/>
        <v>45023</v>
      </c>
      <c r="K32" s="112">
        <f t="shared" si="1"/>
        <v>45024</v>
      </c>
      <c r="L32" s="112">
        <f t="shared" si="1"/>
        <v>45025</v>
      </c>
      <c r="M32" s="112">
        <f t="shared" si="1"/>
        <v>45026</v>
      </c>
      <c r="N32" s="112">
        <f t="shared" si="1"/>
        <v>45027</v>
      </c>
      <c r="O32" s="112">
        <f t="shared" si="1"/>
        <v>45028</v>
      </c>
      <c r="P32" s="112">
        <f t="shared" si="1"/>
        <v>45029</v>
      </c>
      <c r="Q32" s="112">
        <f t="shared" si="1"/>
        <v>45030</v>
      </c>
      <c r="R32" s="112">
        <f t="shared" si="1"/>
        <v>45031</v>
      </c>
      <c r="S32" s="112">
        <f t="shared" si="1"/>
        <v>45032</v>
      </c>
      <c r="T32" s="112">
        <f t="shared" si="1"/>
        <v>45033</v>
      </c>
      <c r="U32" s="112">
        <f t="shared" si="1"/>
        <v>45034</v>
      </c>
      <c r="V32" s="112">
        <f t="shared" si="1"/>
        <v>45035</v>
      </c>
      <c r="W32" s="112">
        <f t="shared" si="1"/>
        <v>45036</v>
      </c>
      <c r="X32" s="112">
        <f t="shared" si="1"/>
        <v>45037</v>
      </c>
      <c r="Y32" s="112">
        <f t="shared" si="1"/>
        <v>45038</v>
      </c>
      <c r="Z32" s="112">
        <f t="shared" si="1"/>
        <v>45039</v>
      </c>
      <c r="AA32" s="112">
        <f t="shared" si="1"/>
        <v>45040</v>
      </c>
      <c r="AB32" s="112">
        <f t="shared" si="1"/>
        <v>45041</v>
      </c>
      <c r="AC32" s="112">
        <f t="shared" si="1"/>
        <v>45042</v>
      </c>
      <c r="AD32" s="112">
        <f t="shared" si="1"/>
        <v>45043</v>
      </c>
      <c r="AE32" s="112">
        <f t="shared" si="1"/>
        <v>45044</v>
      </c>
      <c r="AF32" s="112">
        <f t="shared" si="1"/>
        <v>45045</v>
      </c>
      <c r="AG32" s="112">
        <f t="shared" si="1"/>
        <v>45046</v>
      </c>
      <c r="AH32" s="112">
        <f t="shared" si="1"/>
        <v>45047</v>
      </c>
      <c r="AI32" s="112">
        <f t="shared" si="1"/>
        <v>45048</v>
      </c>
      <c r="AK32" s="191"/>
      <c r="AL32">
        <v>14</v>
      </c>
      <c r="AM32" t="str">
        <f t="array" aca="1" ref="AM32" ca="1">IFERROR(OFFSET('(Fill In) SIAO'!$A$1,SMALL(IF(Signals="Y",ROW(Signals)),AL32)-1,COLUMN(Conducts)-1),"")</f>
        <v/>
      </c>
      <c r="AN32" s="113" t="str">
        <f t="array" aca="1" ref="AN32" ca="1">IFERROR(OFFSET('(Fill In) SIAO'!$A$1,SMALL(IF(Signals="Y",ROW(Signals)),AL32)-1,COLUMN(StartDate)-1),"")</f>
        <v/>
      </c>
      <c r="AO32" s="113" t="str">
        <f t="array" aca="1" ref="AO32" ca="1">IFERROR(OFFSET('(Fill In) SIAO'!$A$1,SMALL(IF(Signals="Y",ROW(Signals)),AL32)-1,COLUMN(EndDate)-1),"")</f>
        <v/>
      </c>
      <c r="AP32" s="113" t="str">
        <f t="array" aca="1" ref="AP32" ca="1">IFERROR(OFFSET('(Fill In) SIAO'!$A$1,SMALL(IF(Optics="Y",ROW(Optics)),AL32)-1,COLUMN(Conducts)-1),"")</f>
        <v/>
      </c>
      <c r="AQ32" s="113" t="str">
        <f t="array" aca="1" ref="AQ32" ca="1">IFERROR(OFFSET('(Fill In) SIAO'!$A$1,SMALL(IF(Optics="Y",ROW(Optics)),AL32)-1,COLUMN(StartDate)-1),"")</f>
        <v/>
      </c>
      <c r="AR32" s="113" t="str">
        <f t="array" aca="1" ref="AR32" ca="1">IFERROR(OFFSET('(Fill In) SIAO'!$A$1,SMALL(IF(Optics="Y",ROW(Optics)),AL32)-1,COLUMN(EndDate)-1),"")</f>
        <v/>
      </c>
      <c r="AS32" s="113" t="str">
        <f t="array" aca="1" ref="AS32" ca="1">IFERROR(OFFSET('(Fill In) SIAO'!$A$1,SMALL(IF(ACMS="Y",ROW(ACMS)),AL32)-1,COLUMN(StartDate)-1),"")</f>
        <v/>
      </c>
      <c r="AT32" s="113" t="str">
        <f t="array" aca="1" ref="AT32" ca="1">IFERROR(OFFSET('(Fill In) SIAO'!$A$1,SMALL(IF(ACMS="Y",ROW(ACMS)),AL32)-1,COLUMN(EndDate)-1),"")</f>
        <v/>
      </c>
      <c r="AU32" s="113" t="str">
        <f t="array" aca="1" ref="AU32" ca="1">IFERROR(OFFSET('(Fill In) SIAO'!$A$1,SMALL(IF(UOCE="Y",ROW(UOCE)),AL32)-1,COLUMN(StartDate)-1),"")</f>
        <v/>
      </c>
      <c r="AV32" s="113" t="str">
        <f t="array" aca="1" ref="AV32" ca="1">IFERROR(OFFSET('(Fill In) SIAO'!$A$1,SMALL(IF(UOCE="Y",ROW(UOCE)),AL32)-1,COLUMN(EndDate)-1),"")</f>
        <v/>
      </c>
      <c r="AW32" s="113" t="str">
        <f t="array" aca="1" ref="AW32" ca="1">IFERROR(OFFSET('(Fill In) SIAO'!$A$1,SMALL(IF(HLT="Y",ROW(HLT)),AL32)-1,COLUMN(StartDate)-1),"")</f>
        <v/>
      </c>
      <c r="AX32" s="113" t="str">
        <f t="array" aca="1" ref="AX32" ca="1">IFERROR(OFFSET('(Fill In) SIAO'!$A$1,SMALL(IF(HLT="Y",ROW(HLT)),AL32)-1,COLUMN(EndDate)-1),"")</f>
        <v/>
      </c>
      <c r="AY32" s="113" t="str">
        <f t="array" aca="1" ref="AY32" ca="1">IFERROR(OFFSET('(Fill In) SIAO'!$A$1,SMALL(IF(PANTES="Y",ROW(PANTES)),AL32)-1,COLUMN(StartDate)-1),"")</f>
        <v/>
      </c>
      <c r="AZ32" s="113" t="str">
        <f t="array" aca="1" ref="AZ32" ca="1">IFERROR(OFFSET('(Fill In) SIAO'!$A$1,SMALL(IF(PANTES="Y",ROW(PANTES)),AL32)-1,COLUMN(EndDate)-1),"")</f>
        <v/>
      </c>
      <c r="BA32" s="113" t="str">
        <f t="array" aca="1" ref="BA32" ca="1">IFERROR(OFFSET('(Fill In) SIAO'!$A$1,SMALL(IF(Heli="Y",ROW(Heli)),AL32)-1,COLUMN(StartDate)-1),"")</f>
        <v/>
      </c>
      <c r="BB32" s="113" t="str">
        <f t="array" aca="1" ref="BB32" ca="1">IFERROR(OFFSET('(Fill In) SIAO'!$A$1,SMALL(IF(Heli="Y",ROW(Heli)),AL32)-1,COLUMN(EndDate)-1),"")</f>
        <v/>
      </c>
      <c r="BC32" s="113" t="str">
        <f t="array" aca="1" ref="BC32" ca="1">IFERROR(OFFSET('(Fill In) SIAO'!$A$1,SMALL(IF(MMR="Y",ROW(MMR)),AL32)-1,COLUMN(StartDate)-1),"")</f>
        <v/>
      </c>
      <c r="BD32" s="113" t="str">
        <f t="array" aca="1" ref="BD32" ca="1">IFERROR(OFFSET('(Fill In) SIAO'!$A$1,SMALL(IF(MMR="Y",ROW(MMR)),AL32)-1,COLUMN(EndDate)-1),"")</f>
        <v/>
      </c>
      <c r="BE32" s="113" t="str">
        <f t="array" aca="1" ref="BE32" ca="1">IFERROR(OFFSET('(Fill In) SIAO'!$A$1,SMALL(IF(POL="Y",ROW(POL)),AL32)-1,COLUMN(StartDate)-1),"")</f>
        <v/>
      </c>
      <c r="BF32" s="113" t="str">
        <f t="array" aca="1" ref="BF32" ca="1">IFERROR(OFFSET('(Fill In) SIAO'!$A$1,SMALL(IF(POL="Y",ROW(POL)),AL32)-1,COLUMN(EndDate)-1),"")</f>
        <v/>
      </c>
    </row>
    <row r="33" spans="1:58">
      <c r="A33" s="75" t="s">
        <v>48</v>
      </c>
      <c r="B33" s="188" t="s">
        <v>222</v>
      </c>
      <c r="C33" s="76"/>
      <c r="D33" s="79"/>
      <c r="E33" s="79"/>
      <c r="F33" s="84"/>
      <c r="G33" s="84"/>
      <c r="H33" s="84"/>
      <c r="I33" s="84"/>
      <c r="J33" s="84"/>
      <c r="K33" s="84"/>
      <c r="L33" s="84"/>
      <c r="M33" s="84">
        <v>4</v>
      </c>
      <c r="N33" s="84">
        <v>4</v>
      </c>
      <c r="O33" s="84">
        <v>4</v>
      </c>
      <c r="P33" s="84">
        <v>4</v>
      </c>
      <c r="Q33" s="84">
        <v>4</v>
      </c>
      <c r="R33" s="84">
        <v>4</v>
      </c>
      <c r="S33" s="84">
        <v>4</v>
      </c>
      <c r="T33" s="84">
        <v>4</v>
      </c>
      <c r="U33" s="84">
        <v>4</v>
      </c>
      <c r="V33" s="84">
        <v>4</v>
      </c>
      <c r="W33" s="84">
        <v>4</v>
      </c>
      <c r="X33" s="84">
        <v>4</v>
      </c>
      <c r="Y33" s="84">
        <v>4</v>
      </c>
      <c r="Z33" s="84">
        <v>4</v>
      </c>
      <c r="AA33" s="84">
        <v>4</v>
      </c>
      <c r="AB33" s="84">
        <v>4</v>
      </c>
      <c r="AC33" s="84">
        <v>4</v>
      </c>
      <c r="AD33" s="84">
        <v>4</v>
      </c>
      <c r="AE33" s="84">
        <v>4</v>
      </c>
      <c r="AF33" s="84">
        <v>4</v>
      </c>
      <c r="AG33" s="84">
        <v>4</v>
      </c>
      <c r="AH33" s="84">
        <v>4</v>
      </c>
      <c r="AI33" s="84">
        <v>4</v>
      </c>
      <c r="AK33" s="191"/>
      <c r="AL33">
        <v>15</v>
      </c>
      <c r="AM33" t="str">
        <f t="array" aca="1" ref="AM33" ca="1">IFERROR(OFFSET('(Fill In) SIAO'!$A$1,SMALL(IF(Signals="Y",ROW(Signals)),AL33)-1,COLUMN(Conducts)-1),"")</f>
        <v/>
      </c>
      <c r="AN33" s="113" t="str">
        <f t="array" aca="1" ref="AN33" ca="1">IFERROR(OFFSET('(Fill In) SIAO'!$A$1,SMALL(IF(Signals="Y",ROW(Signals)),AL33)-1,COLUMN(StartDate)-1),"")</f>
        <v/>
      </c>
      <c r="AO33" s="113" t="str">
        <f t="array" aca="1" ref="AO33" ca="1">IFERROR(OFFSET('(Fill In) SIAO'!$A$1,SMALL(IF(Signals="Y",ROW(Signals)),AL33)-1,COLUMN(EndDate)-1),"")</f>
        <v/>
      </c>
      <c r="AP33" s="113" t="str">
        <f t="array" aca="1" ref="AP33" ca="1">IFERROR(OFFSET('(Fill In) SIAO'!$A$1,SMALL(IF(Optics="Y",ROW(Optics)),AL33)-1,COLUMN(Conducts)-1),"")</f>
        <v/>
      </c>
      <c r="AQ33" s="113" t="str">
        <f t="array" aca="1" ref="AQ33" ca="1">IFERROR(OFFSET('(Fill In) SIAO'!$A$1,SMALL(IF(Optics="Y",ROW(Optics)),AL33)-1,COLUMN(StartDate)-1),"")</f>
        <v/>
      </c>
      <c r="AR33" s="113" t="str">
        <f t="array" aca="1" ref="AR33" ca="1">IFERROR(OFFSET('(Fill In) SIAO'!$A$1,SMALL(IF(Optics="Y",ROW(Optics)),AL33)-1,COLUMN(EndDate)-1),"")</f>
        <v/>
      </c>
      <c r="AS33" s="113" t="str">
        <f t="array" aca="1" ref="AS33" ca="1">IFERROR(OFFSET('(Fill In) SIAO'!$A$1,SMALL(IF(ACMS="Y",ROW(ACMS)),AL33)-1,COLUMN(StartDate)-1),"")</f>
        <v/>
      </c>
      <c r="AT33" s="113" t="str">
        <f t="array" aca="1" ref="AT33" ca="1">IFERROR(OFFSET('(Fill In) SIAO'!$A$1,SMALL(IF(ACMS="Y",ROW(ACMS)),AL33)-1,COLUMN(EndDate)-1),"")</f>
        <v/>
      </c>
      <c r="AU33" s="113" t="str">
        <f t="array" aca="1" ref="AU33" ca="1">IFERROR(OFFSET('(Fill In) SIAO'!$A$1,SMALL(IF(UOCE="Y",ROW(UOCE)),AL33)-1,COLUMN(StartDate)-1),"")</f>
        <v/>
      </c>
      <c r="AV33" s="113" t="str">
        <f t="array" aca="1" ref="AV33" ca="1">IFERROR(OFFSET('(Fill In) SIAO'!$A$1,SMALL(IF(UOCE="Y",ROW(UOCE)),AL33)-1,COLUMN(EndDate)-1),"")</f>
        <v/>
      </c>
      <c r="AW33" s="113" t="str">
        <f t="array" aca="1" ref="AW33" ca="1">IFERROR(OFFSET('(Fill In) SIAO'!$A$1,SMALL(IF(HLT="Y",ROW(HLT)),AL33)-1,COLUMN(StartDate)-1),"")</f>
        <v/>
      </c>
      <c r="AX33" s="113" t="str">
        <f t="array" aca="1" ref="AX33" ca="1">IFERROR(OFFSET('(Fill In) SIAO'!$A$1,SMALL(IF(HLT="Y",ROW(HLT)),AL33)-1,COLUMN(EndDate)-1),"")</f>
        <v/>
      </c>
      <c r="AY33" s="113" t="str">
        <f t="array" aca="1" ref="AY33" ca="1">IFERROR(OFFSET('(Fill In) SIAO'!$A$1,SMALL(IF(PANTES="Y",ROW(PANTES)),AL33)-1,COLUMN(StartDate)-1),"")</f>
        <v/>
      </c>
      <c r="AZ33" s="113" t="str">
        <f t="array" aca="1" ref="AZ33" ca="1">IFERROR(OFFSET('(Fill In) SIAO'!$A$1,SMALL(IF(PANTES="Y",ROW(PANTES)),AL33)-1,COLUMN(EndDate)-1),"")</f>
        <v/>
      </c>
      <c r="BA33" s="113" t="str">
        <f t="array" aca="1" ref="BA33" ca="1">IFERROR(OFFSET('(Fill In) SIAO'!$A$1,SMALL(IF(Heli="Y",ROW(Heli)),AL33)-1,COLUMN(StartDate)-1),"")</f>
        <v/>
      </c>
      <c r="BB33" s="113" t="str">
        <f t="array" aca="1" ref="BB33" ca="1">IFERROR(OFFSET('(Fill In) SIAO'!$A$1,SMALL(IF(Heli="Y",ROW(Heli)),AL33)-1,COLUMN(EndDate)-1),"")</f>
        <v/>
      </c>
      <c r="BC33" s="113" t="str">
        <f t="array" aca="1" ref="BC33" ca="1">IFERROR(OFFSET('(Fill In) SIAO'!$A$1,SMALL(IF(MMR="Y",ROW(MMR)),AL33)-1,COLUMN(StartDate)-1),"")</f>
        <v/>
      </c>
      <c r="BD33" s="113" t="str">
        <f t="array" aca="1" ref="BD33" ca="1">IFERROR(OFFSET('(Fill In) SIAO'!$A$1,SMALL(IF(MMR="Y",ROW(MMR)),AL33)-1,COLUMN(EndDate)-1),"")</f>
        <v/>
      </c>
      <c r="BE33" s="113" t="str">
        <f t="array" aca="1" ref="BE33" ca="1">IFERROR(OFFSET('(Fill In) SIAO'!$A$1,SMALL(IF(POL="Y",ROW(POL)),AL33)-1,COLUMN(StartDate)-1),"")</f>
        <v/>
      </c>
      <c r="BF33" s="113" t="str">
        <f t="array" aca="1" ref="BF33" ca="1">IFERROR(OFFSET('(Fill In) SIAO'!$A$1,SMALL(IF(POL="Y",ROW(POL)),AL33)-1,COLUMN(EndDate)-1),"")</f>
        <v/>
      </c>
    </row>
    <row r="34" spans="1:58">
      <c r="A34" s="75" t="s">
        <v>49</v>
      </c>
      <c r="B34" s="189"/>
      <c r="C34" s="76"/>
      <c r="D34" s="79"/>
      <c r="E34" s="79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K34" s="191"/>
      <c r="AL34">
        <v>16</v>
      </c>
      <c r="AM34" t="str">
        <f t="array" aca="1" ref="AM34" ca="1">IFERROR(OFFSET('(Fill In) SIAO'!$A$1,SMALL(IF(Signals="Y",ROW(Signals)),AL34)-1,COLUMN(Conducts)-1),"")</f>
        <v/>
      </c>
      <c r="AN34" s="113" t="str">
        <f t="array" aca="1" ref="AN34" ca="1">IFERROR(OFFSET('(Fill In) SIAO'!$A$1,SMALL(IF(Signals="Y",ROW(Signals)),AL34)-1,COLUMN(StartDate)-1),"")</f>
        <v/>
      </c>
      <c r="AO34" s="113" t="str">
        <f t="array" aca="1" ref="AO34" ca="1">IFERROR(OFFSET('(Fill In) SIAO'!$A$1,SMALL(IF(Signals="Y",ROW(Signals)),AL34)-1,COLUMN(EndDate)-1),"")</f>
        <v/>
      </c>
      <c r="AP34" s="113" t="str">
        <f t="array" aca="1" ref="AP34" ca="1">IFERROR(OFFSET('(Fill In) SIAO'!$A$1,SMALL(IF(Optics="Y",ROW(Optics)),AL34)-1,COLUMN(Conducts)-1),"")</f>
        <v/>
      </c>
      <c r="AQ34" s="113" t="str">
        <f t="array" aca="1" ref="AQ34" ca="1">IFERROR(OFFSET('(Fill In) SIAO'!$A$1,SMALL(IF(Optics="Y",ROW(Optics)),AL34)-1,COLUMN(StartDate)-1),"")</f>
        <v/>
      </c>
      <c r="AR34" s="113" t="str">
        <f t="array" aca="1" ref="AR34" ca="1">IFERROR(OFFSET('(Fill In) SIAO'!$A$1,SMALL(IF(Optics="Y",ROW(Optics)),AL34)-1,COLUMN(EndDate)-1),"")</f>
        <v/>
      </c>
      <c r="AS34" s="113" t="str">
        <f t="array" aca="1" ref="AS34" ca="1">IFERROR(OFFSET('(Fill In) SIAO'!$A$1,SMALL(IF(ACMS="Y",ROW(ACMS)),AL34)-1,COLUMN(StartDate)-1),"")</f>
        <v/>
      </c>
      <c r="AT34" s="113" t="str">
        <f t="array" aca="1" ref="AT34" ca="1">IFERROR(OFFSET('(Fill In) SIAO'!$A$1,SMALL(IF(ACMS="Y",ROW(ACMS)),AL34)-1,COLUMN(EndDate)-1),"")</f>
        <v/>
      </c>
      <c r="AU34" s="113" t="str">
        <f t="array" aca="1" ref="AU34" ca="1">IFERROR(OFFSET('(Fill In) SIAO'!$A$1,SMALL(IF(UOCE="Y",ROW(UOCE)),AL34)-1,COLUMN(StartDate)-1),"")</f>
        <v/>
      </c>
      <c r="AV34" s="113" t="str">
        <f t="array" aca="1" ref="AV34" ca="1">IFERROR(OFFSET('(Fill In) SIAO'!$A$1,SMALL(IF(UOCE="Y",ROW(UOCE)),AL34)-1,COLUMN(EndDate)-1),"")</f>
        <v/>
      </c>
      <c r="AW34" s="113" t="str">
        <f t="array" aca="1" ref="AW34" ca="1">IFERROR(OFFSET('(Fill In) SIAO'!$A$1,SMALL(IF(HLT="Y",ROW(HLT)),AL34)-1,COLUMN(StartDate)-1),"")</f>
        <v/>
      </c>
      <c r="AX34" s="113" t="str">
        <f t="array" aca="1" ref="AX34" ca="1">IFERROR(OFFSET('(Fill In) SIAO'!$A$1,SMALL(IF(HLT="Y",ROW(HLT)),AL34)-1,COLUMN(EndDate)-1),"")</f>
        <v/>
      </c>
      <c r="AY34" s="113" t="str">
        <f t="array" aca="1" ref="AY34" ca="1">IFERROR(OFFSET('(Fill In) SIAO'!$A$1,SMALL(IF(PANTES="Y",ROW(PANTES)),AL34)-1,COLUMN(StartDate)-1),"")</f>
        <v/>
      </c>
      <c r="AZ34" s="113" t="str">
        <f t="array" aca="1" ref="AZ34" ca="1">IFERROR(OFFSET('(Fill In) SIAO'!$A$1,SMALL(IF(PANTES="Y",ROW(PANTES)),AL34)-1,COLUMN(EndDate)-1),"")</f>
        <v/>
      </c>
      <c r="BA34" s="113" t="str">
        <f t="array" aca="1" ref="BA34" ca="1">IFERROR(OFFSET('(Fill In) SIAO'!$A$1,SMALL(IF(Heli="Y",ROW(Heli)),AL34)-1,COLUMN(StartDate)-1),"")</f>
        <v/>
      </c>
      <c r="BB34" s="113" t="str">
        <f t="array" aca="1" ref="BB34" ca="1">IFERROR(OFFSET('(Fill In) SIAO'!$A$1,SMALL(IF(Heli="Y",ROW(Heli)),AL34)-1,COLUMN(EndDate)-1),"")</f>
        <v/>
      </c>
      <c r="BC34" s="113" t="str">
        <f t="array" aca="1" ref="BC34" ca="1">IFERROR(OFFSET('(Fill In) SIAO'!$A$1,SMALL(IF(MMR="Y",ROW(MMR)),AL34)-1,COLUMN(StartDate)-1),"")</f>
        <v/>
      </c>
      <c r="BD34" s="113" t="str">
        <f t="array" aca="1" ref="BD34" ca="1">IFERROR(OFFSET('(Fill In) SIAO'!$A$1,SMALL(IF(MMR="Y",ROW(MMR)),AL34)-1,COLUMN(EndDate)-1),"")</f>
        <v/>
      </c>
      <c r="BE34" s="113" t="str">
        <f t="array" aca="1" ref="BE34" ca="1">IFERROR(OFFSET('(Fill In) SIAO'!$A$1,SMALL(IF(POL="Y",ROW(POL)),AL34)-1,COLUMN(StartDate)-1),"")</f>
        <v/>
      </c>
      <c r="BF34" s="113" t="str">
        <f t="array" aca="1" ref="BF34" ca="1">IFERROR(OFFSET('(Fill In) SIAO'!$A$1,SMALL(IF(POL="Y",ROW(POL)),AL34)-1,COLUMN(EndDate)-1),"")</f>
        <v/>
      </c>
    </row>
    <row r="35" spans="1:58">
      <c r="A35" s="75" t="s">
        <v>50</v>
      </c>
      <c r="B35" s="189"/>
      <c r="C35" s="76"/>
      <c r="D35" s="79"/>
      <c r="E35" s="79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K35" s="191"/>
      <c r="AL35">
        <v>17</v>
      </c>
      <c r="AM35" t="str">
        <f t="array" aca="1" ref="AM35" ca="1">IFERROR(OFFSET('(Fill In) SIAO'!$A$1,SMALL(IF(Signals="Y",ROW(Signals)),AL35)-1,COLUMN(Conducts)-1),"")</f>
        <v/>
      </c>
      <c r="AN35" s="113" t="str">
        <f t="array" aca="1" ref="AN35" ca="1">IFERROR(OFFSET('(Fill In) SIAO'!$A$1,SMALL(IF(Signals="Y",ROW(Signals)),AL35)-1,COLUMN(StartDate)-1),"")</f>
        <v/>
      </c>
      <c r="AO35" s="113" t="str">
        <f t="array" aca="1" ref="AO35" ca="1">IFERROR(OFFSET('(Fill In) SIAO'!$A$1,SMALL(IF(Signals="Y",ROW(Signals)),AL35)-1,COLUMN(EndDate)-1),"")</f>
        <v/>
      </c>
      <c r="AP35" s="113" t="str">
        <f t="array" aca="1" ref="AP35" ca="1">IFERROR(OFFSET('(Fill In) SIAO'!$A$1,SMALL(IF(Optics="Y",ROW(Optics)),AL35)-1,COLUMN(Conducts)-1),"")</f>
        <v/>
      </c>
      <c r="AQ35" s="113" t="str">
        <f t="array" aca="1" ref="AQ35" ca="1">IFERROR(OFFSET('(Fill In) SIAO'!$A$1,SMALL(IF(Optics="Y",ROW(Optics)),AL35)-1,COLUMN(StartDate)-1),"")</f>
        <v/>
      </c>
      <c r="AR35" s="113" t="str">
        <f t="array" aca="1" ref="AR35" ca="1">IFERROR(OFFSET('(Fill In) SIAO'!$A$1,SMALL(IF(Optics="Y",ROW(Optics)),AL35)-1,COLUMN(EndDate)-1),"")</f>
        <v/>
      </c>
      <c r="AS35" s="113" t="str">
        <f t="array" aca="1" ref="AS35" ca="1">IFERROR(OFFSET('(Fill In) SIAO'!$A$1,SMALL(IF(ACMS="Y",ROW(ACMS)),AL35)-1,COLUMN(StartDate)-1),"")</f>
        <v/>
      </c>
      <c r="AT35" s="113" t="str">
        <f t="array" aca="1" ref="AT35" ca="1">IFERROR(OFFSET('(Fill In) SIAO'!$A$1,SMALL(IF(ACMS="Y",ROW(ACMS)),AL35)-1,COLUMN(EndDate)-1),"")</f>
        <v/>
      </c>
      <c r="AU35" s="113" t="str">
        <f t="array" aca="1" ref="AU35" ca="1">IFERROR(OFFSET('(Fill In) SIAO'!$A$1,SMALL(IF(UOCE="Y",ROW(UOCE)),AL35)-1,COLUMN(StartDate)-1),"")</f>
        <v/>
      </c>
      <c r="AV35" s="113" t="str">
        <f t="array" aca="1" ref="AV35" ca="1">IFERROR(OFFSET('(Fill In) SIAO'!$A$1,SMALL(IF(UOCE="Y",ROW(UOCE)),AL35)-1,COLUMN(EndDate)-1),"")</f>
        <v/>
      </c>
      <c r="AW35" s="113" t="str">
        <f t="array" aca="1" ref="AW35" ca="1">IFERROR(OFFSET('(Fill In) SIAO'!$A$1,SMALL(IF(HLT="Y",ROW(HLT)),AL35)-1,COLUMN(StartDate)-1),"")</f>
        <v/>
      </c>
      <c r="AX35" s="113" t="str">
        <f t="array" aca="1" ref="AX35" ca="1">IFERROR(OFFSET('(Fill In) SIAO'!$A$1,SMALL(IF(HLT="Y",ROW(HLT)),AL35)-1,COLUMN(EndDate)-1),"")</f>
        <v/>
      </c>
      <c r="AY35" s="113" t="str">
        <f t="array" aca="1" ref="AY35" ca="1">IFERROR(OFFSET('(Fill In) SIAO'!$A$1,SMALL(IF(PANTES="Y",ROW(PANTES)),AL35)-1,COLUMN(StartDate)-1),"")</f>
        <v/>
      </c>
      <c r="AZ35" s="113" t="str">
        <f t="array" aca="1" ref="AZ35" ca="1">IFERROR(OFFSET('(Fill In) SIAO'!$A$1,SMALL(IF(PANTES="Y",ROW(PANTES)),AL35)-1,COLUMN(EndDate)-1),"")</f>
        <v/>
      </c>
      <c r="BA35" s="113" t="str">
        <f t="array" aca="1" ref="BA35" ca="1">IFERROR(OFFSET('(Fill In) SIAO'!$A$1,SMALL(IF(Heli="Y",ROW(Heli)),AL35)-1,COLUMN(StartDate)-1),"")</f>
        <v/>
      </c>
      <c r="BB35" s="113" t="str">
        <f t="array" aca="1" ref="BB35" ca="1">IFERROR(OFFSET('(Fill In) SIAO'!$A$1,SMALL(IF(Heli="Y",ROW(Heli)),AL35)-1,COLUMN(EndDate)-1),"")</f>
        <v/>
      </c>
      <c r="BC35" s="113" t="str">
        <f t="array" aca="1" ref="BC35" ca="1">IFERROR(OFFSET('(Fill In) SIAO'!$A$1,SMALL(IF(MMR="Y",ROW(MMR)),AL35)-1,COLUMN(StartDate)-1),"")</f>
        <v/>
      </c>
      <c r="BD35" s="113" t="str">
        <f t="array" aca="1" ref="BD35" ca="1">IFERROR(OFFSET('(Fill In) SIAO'!$A$1,SMALL(IF(MMR="Y",ROW(MMR)),AL35)-1,COLUMN(EndDate)-1),"")</f>
        <v/>
      </c>
      <c r="BE35" s="113" t="str">
        <f t="array" aca="1" ref="BE35" ca="1">IFERROR(OFFSET('(Fill In) SIAO'!$A$1,SMALL(IF(POL="Y",ROW(POL)),AL35)-1,COLUMN(StartDate)-1),"")</f>
        <v/>
      </c>
      <c r="BF35" s="113" t="str">
        <f t="array" aca="1" ref="BF35" ca="1">IFERROR(OFFSET('(Fill In) SIAO'!$A$1,SMALL(IF(POL="Y",ROW(POL)),AL35)-1,COLUMN(EndDate)-1),"")</f>
        <v/>
      </c>
    </row>
    <row r="36" spans="1:58">
      <c r="A36" s="75" t="s">
        <v>51</v>
      </c>
      <c r="B36" s="189"/>
      <c r="C36" s="76">
        <v>160</v>
      </c>
      <c r="D36" s="77">
        <v>160</v>
      </c>
      <c r="E36" s="77">
        <v>160</v>
      </c>
      <c r="F36" s="76">
        <v>160</v>
      </c>
      <c r="G36" s="78">
        <v>160</v>
      </c>
      <c r="H36" s="78">
        <v>160</v>
      </c>
      <c r="I36" s="76">
        <v>160</v>
      </c>
      <c r="J36" s="76">
        <v>160</v>
      </c>
      <c r="K36" s="77">
        <v>160</v>
      </c>
      <c r="L36" s="77">
        <v>160</v>
      </c>
      <c r="M36" s="76">
        <v>160</v>
      </c>
      <c r="N36" s="78">
        <v>160</v>
      </c>
      <c r="O36" s="78">
        <v>160</v>
      </c>
      <c r="P36" s="76">
        <v>160</v>
      </c>
      <c r="Q36" s="76">
        <v>160</v>
      </c>
      <c r="R36" s="77">
        <v>160</v>
      </c>
      <c r="S36" s="77">
        <v>160</v>
      </c>
      <c r="T36" s="84">
        <v>160</v>
      </c>
      <c r="U36" s="84">
        <v>160</v>
      </c>
      <c r="V36" s="84">
        <v>160</v>
      </c>
      <c r="W36" s="84">
        <v>160</v>
      </c>
      <c r="X36" s="84">
        <v>160</v>
      </c>
      <c r="Y36" s="84">
        <v>160</v>
      </c>
      <c r="Z36" s="84">
        <v>160</v>
      </c>
      <c r="AA36" s="84">
        <v>160</v>
      </c>
      <c r="AB36" s="84">
        <v>160</v>
      </c>
      <c r="AC36" s="84">
        <v>160</v>
      </c>
      <c r="AD36" s="84">
        <v>160</v>
      </c>
      <c r="AE36" s="84">
        <v>160</v>
      </c>
      <c r="AF36" s="84">
        <v>160</v>
      </c>
      <c r="AG36" s="84">
        <v>160</v>
      </c>
      <c r="AH36" s="84">
        <v>160</v>
      </c>
      <c r="AI36" s="84">
        <v>160</v>
      </c>
      <c r="AK36" s="191"/>
      <c r="AL36">
        <v>18</v>
      </c>
      <c r="AM36" t="str">
        <f t="array" aca="1" ref="AM36" ca="1">IFERROR(OFFSET('(Fill In) SIAO'!$A$1,SMALL(IF(Signals="Y",ROW(Signals)),AL36)-1,COLUMN(Conducts)-1),"")</f>
        <v/>
      </c>
      <c r="AN36" s="113" t="str">
        <f t="array" aca="1" ref="AN36" ca="1">IFERROR(OFFSET('(Fill In) SIAO'!$A$1,SMALL(IF(Signals="Y",ROW(Signals)),AL36)-1,COLUMN(StartDate)-1),"")</f>
        <v/>
      </c>
      <c r="AO36" s="113" t="str">
        <f t="array" aca="1" ref="AO36" ca="1">IFERROR(OFFSET('(Fill In) SIAO'!$A$1,SMALL(IF(Signals="Y",ROW(Signals)),AL36)-1,COLUMN(EndDate)-1),"")</f>
        <v/>
      </c>
      <c r="AP36" s="113" t="str">
        <f t="array" aca="1" ref="AP36" ca="1">IFERROR(OFFSET('(Fill In) SIAO'!$A$1,SMALL(IF(Optics="Y",ROW(Optics)),AL36)-1,COLUMN(Conducts)-1),"")</f>
        <v/>
      </c>
      <c r="AQ36" s="113" t="str">
        <f t="array" aca="1" ref="AQ36" ca="1">IFERROR(OFFSET('(Fill In) SIAO'!$A$1,SMALL(IF(Optics="Y",ROW(Optics)),AL36)-1,COLUMN(StartDate)-1),"")</f>
        <v/>
      </c>
      <c r="AR36" s="113" t="str">
        <f t="array" aca="1" ref="AR36" ca="1">IFERROR(OFFSET('(Fill In) SIAO'!$A$1,SMALL(IF(Optics="Y",ROW(Optics)),AL36)-1,COLUMN(EndDate)-1),"")</f>
        <v/>
      </c>
      <c r="AS36" s="113" t="str">
        <f t="array" aca="1" ref="AS36" ca="1">IFERROR(OFFSET('(Fill In) SIAO'!$A$1,SMALL(IF(ACMS="Y",ROW(ACMS)),AL36)-1,COLUMN(StartDate)-1),"")</f>
        <v/>
      </c>
      <c r="AT36" s="113" t="str">
        <f t="array" aca="1" ref="AT36" ca="1">IFERROR(OFFSET('(Fill In) SIAO'!$A$1,SMALL(IF(ACMS="Y",ROW(ACMS)),AL36)-1,COLUMN(EndDate)-1),"")</f>
        <v/>
      </c>
      <c r="AU36" s="113" t="str">
        <f t="array" aca="1" ref="AU36" ca="1">IFERROR(OFFSET('(Fill In) SIAO'!$A$1,SMALL(IF(UOCE="Y",ROW(UOCE)),AL36)-1,COLUMN(StartDate)-1),"")</f>
        <v/>
      </c>
      <c r="AV36" s="113" t="str">
        <f t="array" aca="1" ref="AV36" ca="1">IFERROR(OFFSET('(Fill In) SIAO'!$A$1,SMALL(IF(UOCE="Y",ROW(UOCE)),AL36)-1,COLUMN(EndDate)-1),"")</f>
        <v/>
      </c>
      <c r="AW36" s="113" t="str">
        <f t="array" aca="1" ref="AW36" ca="1">IFERROR(OFFSET('(Fill In) SIAO'!$A$1,SMALL(IF(HLT="Y",ROW(HLT)),AL36)-1,COLUMN(StartDate)-1),"")</f>
        <v/>
      </c>
      <c r="AX36" s="113" t="str">
        <f t="array" aca="1" ref="AX36" ca="1">IFERROR(OFFSET('(Fill In) SIAO'!$A$1,SMALL(IF(HLT="Y",ROW(HLT)),AL36)-1,COLUMN(EndDate)-1),"")</f>
        <v/>
      </c>
      <c r="AY36" s="113" t="str">
        <f t="array" aca="1" ref="AY36" ca="1">IFERROR(OFFSET('(Fill In) SIAO'!$A$1,SMALL(IF(PANTES="Y",ROW(PANTES)),AL36)-1,COLUMN(StartDate)-1),"")</f>
        <v/>
      </c>
      <c r="AZ36" s="113" t="str">
        <f t="array" aca="1" ref="AZ36" ca="1">IFERROR(OFFSET('(Fill In) SIAO'!$A$1,SMALL(IF(PANTES="Y",ROW(PANTES)),AL36)-1,COLUMN(EndDate)-1),"")</f>
        <v/>
      </c>
      <c r="BA36" s="113" t="str">
        <f t="array" aca="1" ref="BA36" ca="1">IFERROR(OFFSET('(Fill In) SIAO'!$A$1,SMALL(IF(Heli="Y",ROW(Heli)),AL36)-1,COLUMN(StartDate)-1),"")</f>
        <v/>
      </c>
      <c r="BB36" s="113" t="str">
        <f t="array" aca="1" ref="BB36" ca="1">IFERROR(OFFSET('(Fill In) SIAO'!$A$1,SMALL(IF(Heli="Y",ROW(Heli)),AL36)-1,COLUMN(EndDate)-1),"")</f>
        <v/>
      </c>
      <c r="BC36" s="113" t="str">
        <f t="array" aca="1" ref="BC36" ca="1">IFERROR(OFFSET('(Fill In) SIAO'!$A$1,SMALL(IF(MMR="Y",ROW(MMR)),AL36)-1,COLUMN(StartDate)-1),"")</f>
        <v/>
      </c>
      <c r="BD36" s="113" t="str">
        <f t="array" aca="1" ref="BD36" ca="1">IFERROR(OFFSET('(Fill In) SIAO'!$A$1,SMALL(IF(MMR="Y",ROW(MMR)),AL36)-1,COLUMN(EndDate)-1),"")</f>
        <v/>
      </c>
      <c r="BE36" s="113" t="str">
        <f t="array" aca="1" ref="BE36" ca="1">IFERROR(OFFSET('(Fill In) SIAO'!$A$1,SMALL(IF(POL="Y",ROW(POL)),AL36)-1,COLUMN(StartDate)-1),"")</f>
        <v/>
      </c>
      <c r="BF36" s="113" t="str">
        <f t="array" aca="1" ref="BF36" ca="1">IFERROR(OFFSET('(Fill In) SIAO'!$A$1,SMALL(IF(POL="Y",ROW(POL)),AL36)-1,COLUMN(EndDate)-1),"")</f>
        <v/>
      </c>
    </row>
    <row r="37" spans="1:58">
      <c r="A37" s="75" t="s">
        <v>52</v>
      </c>
      <c r="B37" s="189"/>
      <c r="C37" s="76"/>
      <c r="D37" s="79"/>
      <c r="E37" s="79"/>
      <c r="F37" s="84"/>
      <c r="G37" s="84"/>
      <c r="H37" s="84"/>
      <c r="I37" s="84"/>
      <c r="J37" s="84"/>
      <c r="K37" s="84"/>
      <c r="L37" s="84"/>
      <c r="M37" s="84">
        <v>10</v>
      </c>
      <c r="N37" s="84">
        <v>10</v>
      </c>
      <c r="O37" s="84">
        <v>10</v>
      </c>
      <c r="P37" s="84">
        <v>10</v>
      </c>
      <c r="Q37" s="84">
        <v>10</v>
      </c>
      <c r="R37" s="84">
        <v>10</v>
      </c>
      <c r="S37" s="84">
        <v>10</v>
      </c>
      <c r="T37" s="84">
        <v>10</v>
      </c>
      <c r="U37" s="84">
        <v>10</v>
      </c>
      <c r="V37" s="84">
        <v>10</v>
      </c>
      <c r="W37" s="84">
        <v>10</v>
      </c>
      <c r="X37" s="84">
        <v>10</v>
      </c>
      <c r="Y37" s="84">
        <v>10</v>
      </c>
      <c r="Z37" s="84">
        <v>10</v>
      </c>
      <c r="AA37" s="84">
        <v>10</v>
      </c>
      <c r="AB37" s="84">
        <v>10</v>
      </c>
      <c r="AC37" s="84">
        <v>10</v>
      </c>
      <c r="AD37" s="84">
        <v>10</v>
      </c>
      <c r="AE37" s="84">
        <v>10</v>
      </c>
      <c r="AF37" s="84">
        <v>10</v>
      </c>
      <c r="AG37" s="84">
        <v>10</v>
      </c>
      <c r="AH37" s="84">
        <v>10</v>
      </c>
      <c r="AI37" s="84">
        <v>10</v>
      </c>
      <c r="AK37" s="191"/>
      <c r="AL37">
        <v>19</v>
      </c>
      <c r="AM37" t="str">
        <f t="array" aca="1" ref="AM37" ca="1">IFERROR(OFFSET('(Fill In) SIAO'!$A$1,SMALL(IF(Signals="Y",ROW(Signals)),AL37)-1,COLUMN(Conducts)-1),"")</f>
        <v/>
      </c>
      <c r="AN37" s="113" t="str">
        <f t="array" aca="1" ref="AN37" ca="1">IFERROR(OFFSET('(Fill In) SIAO'!$A$1,SMALL(IF(Signals="Y",ROW(Signals)),AL37)-1,COLUMN(StartDate)-1),"")</f>
        <v/>
      </c>
      <c r="AO37" s="113" t="str">
        <f t="array" aca="1" ref="AO37" ca="1">IFERROR(OFFSET('(Fill In) SIAO'!$A$1,SMALL(IF(Signals="Y",ROW(Signals)),AL37)-1,COLUMN(EndDate)-1),"")</f>
        <v/>
      </c>
      <c r="AP37" s="113" t="str">
        <f t="array" aca="1" ref="AP37" ca="1">IFERROR(OFFSET('(Fill In) SIAO'!$A$1,SMALL(IF(Optics="Y",ROW(Optics)),AL37)-1,COLUMN(Conducts)-1),"")</f>
        <v/>
      </c>
      <c r="AQ37" s="113" t="str">
        <f t="array" aca="1" ref="AQ37" ca="1">IFERROR(OFFSET('(Fill In) SIAO'!$A$1,SMALL(IF(Optics="Y",ROW(Optics)),AL37)-1,COLUMN(StartDate)-1),"")</f>
        <v/>
      </c>
      <c r="AR37" s="113" t="str">
        <f t="array" aca="1" ref="AR37" ca="1">IFERROR(OFFSET('(Fill In) SIAO'!$A$1,SMALL(IF(Optics="Y",ROW(Optics)),AL37)-1,COLUMN(EndDate)-1),"")</f>
        <v/>
      </c>
      <c r="AS37" s="113" t="str">
        <f t="array" aca="1" ref="AS37" ca="1">IFERROR(OFFSET('(Fill In) SIAO'!$A$1,SMALL(IF(ACMS="Y",ROW(ACMS)),AL37)-1,COLUMN(StartDate)-1),"")</f>
        <v/>
      </c>
      <c r="AT37" s="113" t="str">
        <f t="array" aca="1" ref="AT37" ca="1">IFERROR(OFFSET('(Fill In) SIAO'!$A$1,SMALL(IF(ACMS="Y",ROW(ACMS)),AL37)-1,COLUMN(EndDate)-1),"")</f>
        <v/>
      </c>
      <c r="AU37" s="113" t="str">
        <f t="array" aca="1" ref="AU37" ca="1">IFERROR(OFFSET('(Fill In) SIAO'!$A$1,SMALL(IF(UOCE="Y",ROW(UOCE)),AL37)-1,COLUMN(StartDate)-1),"")</f>
        <v/>
      </c>
      <c r="AV37" s="113" t="str">
        <f t="array" aca="1" ref="AV37" ca="1">IFERROR(OFFSET('(Fill In) SIAO'!$A$1,SMALL(IF(UOCE="Y",ROW(UOCE)),AL37)-1,COLUMN(EndDate)-1),"")</f>
        <v/>
      </c>
      <c r="AW37" s="113" t="str">
        <f t="array" aca="1" ref="AW37" ca="1">IFERROR(OFFSET('(Fill In) SIAO'!$A$1,SMALL(IF(HLT="Y",ROW(HLT)),AL37)-1,COLUMN(StartDate)-1),"")</f>
        <v/>
      </c>
      <c r="AX37" s="113" t="str">
        <f t="array" aca="1" ref="AX37" ca="1">IFERROR(OFFSET('(Fill In) SIAO'!$A$1,SMALL(IF(HLT="Y",ROW(HLT)),AL37)-1,COLUMN(EndDate)-1),"")</f>
        <v/>
      </c>
      <c r="AY37" s="113" t="str">
        <f t="array" aca="1" ref="AY37" ca="1">IFERROR(OFFSET('(Fill In) SIAO'!$A$1,SMALL(IF(PANTES="Y",ROW(PANTES)),AL37)-1,COLUMN(StartDate)-1),"")</f>
        <v/>
      </c>
      <c r="AZ37" s="113" t="str">
        <f t="array" aca="1" ref="AZ37" ca="1">IFERROR(OFFSET('(Fill In) SIAO'!$A$1,SMALL(IF(PANTES="Y",ROW(PANTES)),AL37)-1,COLUMN(EndDate)-1),"")</f>
        <v/>
      </c>
      <c r="BA37" s="113" t="str">
        <f t="array" aca="1" ref="BA37" ca="1">IFERROR(OFFSET('(Fill In) SIAO'!$A$1,SMALL(IF(Heli="Y",ROW(Heli)),AL37)-1,COLUMN(StartDate)-1),"")</f>
        <v/>
      </c>
      <c r="BB37" s="113" t="str">
        <f t="array" aca="1" ref="BB37" ca="1">IFERROR(OFFSET('(Fill In) SIAO'!$A$1,SMALL(IF(Heli="Y",ROW(Heli)),AL37)-1,COLUMN(EndDate)-1),"")</f>
        <v/>
      </c>
      <c r="BC37" s="113" t="str">
        <f t="array" aca="1" ref="BC37" ca="1">IFERROR(OFFSET('(Fill In) SIAO'!$A$1,SMALL(IF(MMR="Y",ROW(MMR)),AL37)-1,COLUMN(StartDate)-1),"")</f>
        <v/>
      </c>
      <c r="BD37" s="113" t="str">
        <f t="array" aca="1" ref="BD37" ca="1">IFERROR(OFFSET('(Fill In) SIAO'!$A$1,SMALL(IF(MMR="Y",ROW(MMR)),AL37)-1,COLUMN(EndDate)-1),"")</f>
        <v/>
      </c>
      <c r="BE37" s="113" t="str">
        <f t="array" aca="1" ref="BE37" ca="1">IFERROR(OFFSET('(Fill In) SIAO'!$A$1,SMALL(IF(POL="Y",ROW(POL)),AL37)-1,COLUMN(StartDate)-1),"")</f>
        <v/>
      </c>
      <c r="BF37" s="113" t="str">
        <f t="array" aca="1" ref="BF37" ca="1">IFERROR(OFFSET('(Fill In) SIAO'!$A$1,SMALL(IF(POL="Y",ROW(POL)),AL37)-1,COLUMN(EndDate)-1),"")</f>
        <v/>
      </c>
    </row>
    <row r="38" spans="1:58">
      <c r="A38" s="75" t="s">
        <v>53</v>
      </c>
      <c r="B38" s="189"/>
      <c r="C38" s="76"/>
      <c r="D38" s="79"/>
      <c r="E38" s="79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K38" s="191"/>
      <c r="AL38">
        <v>20</v>
      </c>
      <c r="AM38" t="str">
        <f t="array" aca="1" ref="AM38" ca="1">IFERROR(OFFSET('(Fill In) SIAO'!$A$1,SMALL(IF(Signals="Y",ROW(Signals)),AL38)-1,COLUMN(Conducts)-1),"")</f>
        <v/>
      </c>
      <c r="AN38" s="113" t="str">
        <f t="array" aca="1" ref="AN38" ca="1">IFERROR(OFFSET('(Fill In) SIAO'!$A$1,SMALL(IF(Signals="Y",ROW(Signals)),AL38)-1,COLUMN(StartDate)-1),"")</f>
        <v/>
      </c>
      <c r="AO38" s="113" t="str">
        <f t="array" aca="1" ref="AO38" ca="1">IFERROR(OFFSET('(Fill In) SIAO'!$A$1,SMALL(IF(Signals="Y",ROW(Signals)),AL38)-1,COLUMN(EndDate)-1),"")</f>
        <v/>
      </c>
      <c r="AP38" s="113" t="str">
        <f t="array" aca="1" ref="AP38" ca="1">IFERROR(OFFSET('(Fill In) SIAO'!$A$1,SMALL(IF(Optics="Y",ROW(Optics)),AL38)-1,COLUMN(Conducts)-1),"")</f>
        <v/>
      </c>
      <c r="AQ38" s="113" t="str">
        <f t="array" aca="1" ref="AQ38" ca="1">IFERROR(OFFSET('(Fill In) SIAO'!$A$1,SMALL(IF(Optics="Y",ROW(Optics)),AL38)-1,COLUMN(StartDate)-1),"")</f>
        <v/>
      </c>
      <c r="AR38" s="113" t="str">
        <f t="array" aca="1" ref="AR38" ca="1">IFERROR(OFFSET('(Fill In) SIAO'!$A$1,SMALL(IF(Optics="Y",ROW(Optics)),AL38)-1,COLUMN(EndDate)-1),"")</f>
        <v/>
      </c>
      <c r="AS38" s="113" t="str">
        <f t="array" aca="1" ref="AS38" ca="1">IFERROR(OFFSET('(Fill In) SIAO'!$A$1,SMALL(IF(ACMS="Y",ROW(ACMS)),AL38)-1,COLUMN(StartDate)-1),"")</f>
        <v/>
      </c>
      <c r="AT38" s="113" t="str">
        <f t="array" aca="1" ref="AT38" ca="1">IFERROR(OFFSET('(Fill In) SIAO'!$A$1,SMALL(IF(ACMS="Y",ROW(ACMS)),AL38)-1,COLUMN(EndDate)-1),"")</f>
        <v/>
      </c>
      <c r="AU38" s="113" t="str">
        <f t="array" aca="1" ref="AU38" ca="1">IFERROR(OFFSET('(Fill In) SIAO'!$A$1,SMALL(IF(UOCE="Y",ROW(UOCE)),AL38)-1,COLUMN(StartDate)-1),"")</f>
        <v/>
      </c>
      <c r="AV38" s="113" t="str">
        <f t="array" aca="1" ref="AV38" ca="1">IFERROR(OFFSET('(Fill In) SIAO'!$A$1,SMALL(IF(UOCE="Y",ROW(UOCE)),AL38)-1,COLUMN(EndDate)-1),"")</f>
        <v/>
      </c>
      <c r="AW38" s="113" t="str">
        <f t="array" aca="1" ref="AW38" ca="1">IFERROR(OFFSET('(Fill In) SIAO'!$A$1,SMALL(IF(HLT="Y",ROW(HLT)),AL38)-1,COLUMN(StartDate)-1),"")</f>
        <v/>
      </c>
      <c r="AX38" s="113" t="str">
        <f t="array" aca="1" ref="AX38" ca="1">IFERROR(OFFSET('(Fill In) SIAO'!$A$1,SMALL(IF(HLT="Y",ROW(HLT)),AL38)-1,COLUMN(EndDate)-1),"")</f>
        <v/>
      </c>
      <c r="AY38" s="113" t="str">
        <f t="array" aca="1" ref="AY38" ca="1">IFERROR(OFFSET('(Fill In) SIAO'!$A$1,SMALL(IF(PANTES="Y",ROW(PANTES)),AL38)-1,COLUMN(StartDate)-1),"")</f>
        <v/>
      </c>
      <c r="AZ38" s="113" t="str">
        <f t="array" aca="1" ref="AZ38" ca="1">IFERROR(OFFSET('(Fill In) SIAO'!$A$1,SMALL(IF(PANTES="Y",ROW(PANTES)),AL38)-1,COLUMN(EndDate)-1),"")</f>
        <v/>
      </c>
      <c r="BA38" s="113" t="str">
        <f t="array" aca="1" ref="BA38" ca="1">IFERROR(OFFSET('(Fill In) SIAO'!$A$1,SMALL(IF(Heli="Y",ROW(Heli)),AL38)-1,COLUMN(StartDate)-1),"")</f>
        <v/>
      </c>
      <c r="BB38" s="113" t="str">
        <f t="array" aca="1" ref="BB38" ca="1">IFERROR(OFFSET('(Fill In) SIAO'!$A$1,SMALL(IF(Heli="Y",ROW(Heli)),AL38)-1,COLUMN(EndDate)-1),"")</f>
        <v/>
      </c>
      <c r="BC38" s="113" t="str">
        <f t="array" aca="1" ref="BC38" ca="1">IFERROR(OFFSET('(Fill In) SIAO'!$A$1,SMALL(IF(MMR="Y",ROW(MMR)),AL38)-1,COLUMN(StartDate)-1),"")</f>
        <v/>
      </c>
      <c r="BD38" s="113" t="str">
        <f t="array" aca="1" ref="BD38" ca="1">IFERROR(OFFSET('(Fill In) SIAO'!$A$1,SMALL(IF(MMR="Y",ROW(MMR)),AL38)-1,COLUMN(EndDate)-1),"")</f>
        <v/>
      </c>
      <c r="BE38" s="113" t="str">
        <f t="array" aca="1" ref="BE38" ca="1">IFERROR(OFFSET('(Fill In) SIAO'!$A$1,SMALL(IF(POL="Y",ROW(POL)),AL38)-1,COLUMN(StartDate)-1),"")</f>
        <v/>
      </c>
      <c r="BF38" s="113" t="str">
        <f t="array" aca="1" ref="BF38" ca="1">IFERROR(OFFSET('(Fill In) SIAO'!$A$1,SMALL(IF(POL="Y",ROW(POL)),AL38)-1,COLUMN(EndDate)-1),"")</f>
        <v/>
      </c>
    </row>
    <row r="39" spans="1:58">
      <c r="A39" s="75" t="s">
        <v>54</v>
      </c>
      <c r="B39" s="189"/>
      <c r="C39" s="76"/>
      <c r="D39" s="79"/>
      <c r="E39" s="79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</row>
    <row r="40" spans="1:58">
      <c r="A40" s="75" t="s">
        <v>55</v>
      </c>
      <c r="B40" s="189"/>
      <c r="C40" s="76"/>
      <c r="D40" s="77"/>
      <c r="E40" s="79"/>
      <c r="F40" s="84"/>
      <c r="G40" s="84"/>
      <c r="H40" s="84"/>
      <c r="I40" s="84"/>
      <c r="J40" s="84"/>
      <c r="K40" s="84"/>
      <c r="L40" s="84"/>
      <c r="M40" s="84">
        <v>4</v>
      </c>
      <c r="N40" s="84">
        <v>4</v>
      </c>
      <c r="O40" s="84">
        <v>4</v>
      </c>
      <c r="P40" s="84">
        <v>4</v>
      </c>
      <c r="Q40" s="84">
        <v>4</v>
      </c>
      <c r="R40" s="84">
        <v>4</v>
      </c>
      <c r="S40" s="84">
        <v>4</v>
      </c>
      <c r="T40" s="84">
        <v>4</v>
      </c>
      <c r="U40" s="84">
        <v>4</v>
      </c>
      <c r="V40" s="84">
        <v>4</v>
      </c>
      <c r="W40" s="84">
        <v>4</v>
      </c>
      <c r="X40" s="84">
        <v>4</v>
      </c>
      <c r="Y40" s="84">
        <v>4</v>
      </c>
      <c r="Z40" s="84">
        <v>4</v>
      </c>
      <c r="AA40" s="84">
        <v>4</v>
      </c>
      <c r="AB40" s="84">
        <v>4</v>
      </c>
      <c r="AC40" s="84">
        <v>4</v>
      </c>
      <c r="AD40" s="84">
        <v>4</v>
      </c>
      <c r="AE40" s="84">
        <v>4</v>
      </c>
      <c r="AF40" s="84">
        <v>4</v>
      </c>
      <c r="AG40" s="84">
        <v>4</v>
      </c>
      <c r="AH40" s="84">
        <v>4</v>
      </c>
      <c r="AI40" s="84">
        <v>4</v>
      </c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  <c r="BC40" s="126"/>
      <c r="BD40" s="126"/>
      <c r="BE40" s="126"/>
      <c r="BF40" s="126"/>
    </row>
    <row r="41" spans="1:58">
      <c r="A41" s="75" t="s">
        <v>56</v>
      </c>
      <c r="B41" s="189"/>
      <c r="C41" s="76"/>
      <c r="D41" s="79"/>
      <c r="E41" s="79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  <c r="BC41" s="126"/>
      <c r="BD41" s="126"/>
      <c r="BE41" s="126"/>
      <c r="BF41" s="126"/>
    </row>
    <row r="42" spans="1:58">
      <c r="A42" s="75" t="s">
        <v>57</v>
      </c>
      <c r="B42" s="189"/>
      <c r="C42" s="76"/>
      <c r="D42" s="79"/>
      <c r="E42" s="79"/>
      <c r="F42" s="84"/>
      <c r="G42" s="84"/>
      <c r="H42" s="84"/>
      <c r="I42" s="84"/>
      <c r="J42" s="84"/>
      <c r="K42" s="84"/>
      <c r="L42" s="84"/>
      <c r="M42" s="84">
        <v>20</v>
      </c>
      <c r="N42" s="84">
        <v>20</v>
      </c>
      <c r="O42" s="84">
        <v>20</v>
      </c>
      <c r="P42" s="84">
        <v>20</v>
      </c>
      <c r="Q42" s="84">
        <v>20</v>
      </c>
      <c r="R42" s="84">
        <v>20</v>
      </c>
      <c r="S42" s="84">
        <v>20</v>
      </c>
      <c r="T42" s="84">
        <v>20</v>
      </c>
      <c r="U42" s="84">
        <v>20</v>
      </c>
      <c r="V42" s="84">
        <v>20</v>
      </c>
      <c r="W42" s="84">
        <v>20</v>
      </c>
      <c r="X42" s="84">
        <v>20</v>
      </c>
      <c r="Y42" s="84">
        <v>20</v>
      </c>
      <c r="Z42" s="84">
        <v>20</v>
      </c>
      <c r="AA42" s="84">
        <v>20</v>
      </c>
      <c r="AB42" s="84">
        <v>20</v>
      </c>
      <c r="AC42" s="84">
        <v>20</v>
      </c>
      <c r="AD42" s="84">
        <v>20</v>
      </c>
      <c r="AE42" s="84">
        <v>20</v>
      </c>
      <c r="AF42" s="84">
        <v>20</v>
      </c>
      <c r="AG42" s="84">
        <v>20</v>
      </c>
      <c r="AH42" s="84">
        <v>20</v>
      </c>
      <c r="AI42" s="84">
        <v>20</v>
      </c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  <c r="BC42" s="126"/>
      <c r="BD42" s="126"/>
      <c r="BE42" s="126"/>
      <c r="BF42" s="126"/>
    </row>
    <row r="43" spans="1:58">
      <c r="A43" s="75" t="s">
        <v>59</v>
      </c>
      <c r="B43" s="189"/>
      <c r="C43" s="76"/>
      <c r="D43" s="79"/>
      <c r="E43" s="79"/>
      <c r="F43" s="84"/>
      <c r="G43" s="84"/>
      <c r="H43" s="84"/>
      <c r="I43" s="84"/>
      <c r="J43" s="84"/>
      <c r="K43" s="84"/>
      <c r="L43" s="84"/>
      <c r="M43" s="84">
        <v>2</v>
      </c>
      <c r="N43" s="84">
        <v>2</v>
      </c>
      <c r="O43" s="84">
        <v>2</v>
      </c>
      <c r="P43" s="84">
        <v>2</v>
      </c>
      <c r="Q43" s="84">
        <v>2</v>
      </c>
      <c r="R43" s="84">
        <v>2</v>
      </c>
      <c r="S43" s="84">
        <v>2</v>
      </c>
      <c r="T43" s="84">
        <v>2</v>
      </c>
      <c r="U43" s="84">
        <v>2</v>
      </c>
      <c r="V43" s="84">
        <v>2</v>
      </c>
      <c r="W43" s="84">
        <v>2</v>
      </c>
      <c r="X43" s="84">
        <v>2</v>
      </c>
      <c r="Y43" s="84">
        <v>2</v>
      </c>
      <c r="Z43" s="84">
        <v>2</v>
      </c>
      <c r="AA43" s="84">
        <v>2</v>
      </c>
      <c r="AB43" s="84">
        <v>2</v>
      </c>
      <c r="AC43" s="84">
        <v>2</v>
      </c>
      <c r="AD43" s="84">
        <v>2</v>
      </c>
      <c r="AE43" s="84">
        <v>2</v>
      </c>
      <c r="AF43" s="84">
        <v>2</v>
      </c>
      <c r="AG43" s="84">
        <v>2</v>
      </c>
      <c r="AH43" s="84">
        <v>2</v>
      </c>
      <c r="AI43" s="84">
        <v>2</v>
      </c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  <c r="BC43" s="126"/>
      <c r="BD43" s="126"/>
      <c r="BE43" s="126"/>
      <c r="BF43" s="126"/>
    </row>
    <row r="44" spans="1:58">
      <c r="A44" s="75" t="s">
        <v>58</v>
      </c>
      <c r="B44" s="189"/>
      <c r="C44" s="76"/>
      <c r="D44" s="79"/>
      <c r="E44" s="79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  <c r="BC44" s="126"/>
      <c r="BD44" s="126"/>
      <c r="BE44" s="126"/>
      <c r="BF44" s="126"/>
    </row>
    <row r="45" spans="1:58">
      <c r="A45" s="75" t="s">
        <v>157</v>
      </c>
      <c r="B45" s="148"/>
      <c r="C45" s="76"/>
      <c r="D45" s="79"/>
      <c r="E45" s="79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  <c r="BC45" s="126"/>
      <c r="BD45" s="126"/>
      <c r="BE45" s="126"/>
      <c r="BF45" s="126"/>
    </row>
    <row r="46" spans="1:58" hidden="1">
      <c r="A46" s="8"/>
      <c r="B46" s="12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  <c r="BC46" s="126"/>
      <c r="BD46" s="126"/>
      <c r="BE46" s="126"/>
      <c r="BF46" s="126"/>
    </row>
    <row r="47" spans="1:58" hidden="1">
      <c r="A47" s="7" t="s">
        <v>89</v>
      </c>
      <c r="B47" s="1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</row>
    <row r="48" spans="1:58" hidden="1">
      <c r="A48" s="75"/>
      <c r="B48" s="11" t="s">
        <v>154</v>
      </c>
      <c r="C48" s="112">
        <f>EOMONTH($A$1,-1)</f>
        <v>45016</v>
      </c>
      <c r="D48" s="112">
        <f t="shared" ref="D48:AI48" si="2">C48+1</f>
        <v>45017</v>
      </c>
      <c r="E48" s="112">
        <f t="shared" si="2"/>
        <v>45018</v>
      </c>
      <c r="F48" s="112">
        <f t="shared" si="2"/>
        <v>45019</v>
      </c>
      <c r="G48" s="112">
        <f t="shared" si="2"/>
        <v>45020</v>
      </c>
      <c r="H48" s="112">
        <f t="shared" si="2"/>
        <v>45021</v>
      </c>
      <c r="I48" s="112">
        <f t="shared" si="2"/>
        <v>45022</v>
      </c>
      <c r="J48" s="112">
        <f t="shared" si="2"/>
        <v>45023</v>
      </c>
      <c r="K48" s="112">
        <f t="shared" si="2"/>
        <v>45024</v>
      </c>
      <c r="L48" s="112">
        <f t="shared" si="2"/>
        <v>45025</v>
      </c>
      <c r="M48" s="112">
        <f t="shared" si="2"/>
        <v>45026</v>
      </c>
      <c r="N48" s="112">
        <f t="shared" si="2"/>
        <v>45027</v>
      </c>
      <c r="O48" s="112">
        <f t="shared" si="2"/>
        <v>45028</v>
      </c>
      <c r="P48" s="112">
        <f t="shared" si="2"/>
        <v>45029</v>
      </c>
      <c r="Q48" s="112">
        <f t="shared" si="2"/>
        <v>45030</v>
      </c>
      <c r="R48" s="112">
        <f t="shared" si="2"/>
        <v>45031</v>
      </c>
      <c r="S48" s="112">
        <f t="shared" si="2"/>
        <v>45032</v>
      </c>
      <c r="T48" s="112">
        <f t="shared" si="2"/>
        <v>45033</v>
      </c>
      <c r="U48" s="112">
        <f t="shared" si="2"/>
        <v>45034</v>
      </c>
      <c r="V48" s="112">
        <f t="shared" si="2"/>
        <v>45035</v>
      </c>
      <c r="W48" s="112">
        <f t="shared" si="2"/>
        <v>45036</v>
      </c>
      <c r="X48" s="112">
        <f t="shared" si="2"/>
        <v>45037</v>
      </c>
      <c r="Y48" s="112">
        <f t="shared" si="2"/>
        <v>45038</v>
      </c>
      <c r="Z48" s="112">
        <f t="shared" si="2"/>
        <v>45039</v>
      </c>
      <c r="AA48" s="112">
        <f t="shared" si="2"/>
        <v>45040</v>
      </c>
      <c r="AB48" s="112">
        <f t="shared" si="2"/>
        <v>45041</v>
      </c>
      <c r="AC48" s="112">
        <f t="shared" si="2"/>
        <v>45042</v>
      </c>
      <c r="AD48" s="112">
        <f t="shared" si="2"/>
        <v>45043</v>
      </c>
      <c r="AE48" s="112">
        <f t="shared" si="2"/>
        <v>45044</v>
      </c>
      <c r="AF48" s="112">
        <f t="shared" si="2"/>
        <v>45045</v>
      </c>
      <c r="AG48" s="112">
        <f t="shared" si="2"/>
        <v>45046</v>
      </c>
      <c r="AH48" s="112">
        <f t="shared" si="2"/>
        <v>45047</v>
      </c>
      <c r="AI48" s="112">
        <f t="shared" si="2"/>
        <v>45048</v>
      </c>
      <c r="AJ48" s="85"/>
    </row>
    <row r="49" spans="1:71" hidden="1">
      <c r="A49" s="75" t="s">
        <v>158</v>
      </c>
      <c r="B49" s="74">
        <v>12</v>
      </c>
      <c r="C49" s="84" t="str">
        <f t="array" aca="1" ref="C49" ca="1">IF(OR((C$48&gt;=$AS$11:$AS$74)*(C$48&lt;=$AT$11:$AT$74)&gt;0),$B49,"")</f>
        <v/>
      </c>
      <c r="D49" s="84" t="str">
        <f t="array" aca="1" ref="D49" ca="1">IF(OR((D$48&gt;=$AS$11:$AS$74)*(D$48&lt;=$AT$11:$AT$74)&gt;0),$B49,"")</f>
        <v/>
      </c>
      <c r="E49" s="84" t="str">
        <f t="array" aca="1" ref="E49" ca="1">IF(OR((E$48&gt;=$AS$11:$AS$74)*(E$48&lt;=$AT$11:$AT$74)&gt;0),$B49,"")</f>
        <v/>
      </c>
      <c r="F49" s="84" t="str">
        <f t="array" aca="1" ref="F49" ca="1">IF(OR((F$48&gt;=$AS$11:$AS$74)*(F$48&lt;=$AT$11:$AT$74)&gt;0),$B49,"")</f>
        <v/>
      </c>
      <c r="G49" s="84" t="str">
        <f t="array" aca="1" ref="G49" ca="1">IF(OR((G$48&gt;=$AS$11:$AS$74)*(G$48&lt;=$AT$11:$AT$74)&gt;0),$B49,"")</f>
        <v/>
      </c>
      <c r="H49" s="84" t="str">
        <f t="array" aca="1" ref="H49" ca="1">IF(OR((H$48&gt;=$AS$11:$AS$74)*(H$48&lt;=$AT$11:$AT$74)&gt;0),$B49,"")</f>
        <v/>
      </c>
      <c r="I49" s="84" t="str">
        <f t="array" aca="1" ref="I49" ca="1">IF(OR((I$48&gt;=$AS$11:$AS$74)*(I$48&lt;=$AT$11:$AT$74)&gt;0),$B49,"")</f>
        <v/>
      </c>
      <c r="J49" s="84" t="str">
        <f t="array" aca="1" ref="J49" ca="1">IF(OR((J$48&gt;=$AS$11:$AS$74)*(J$48&lt;=$AT$11:$AT$74)&gt;0),$B49,"")</f>
        <v/>
      </c>
      <c r="K49" s="84" t="str">
        <f t="array" aca="1" ref="K49" ca="1">IF(OR((K$48&gt;=$AS$11:$AS$74)*(K$48&lt;=$AT$11:$AT$74)&gt;0),$B49,"")</f>
        <v/>
      </c>
      <c r="L49" s="84" t="str">
        <f t="array" aca="1" ref="L49" ca="1">IF(OR((L$48&gt;=$AS$11:$AS$74)*(L$48&lt;=$AT$11:$AT$74)&gt;0),$B49,"")</f>
        <v/>
      </c>
      <c r="M49" s="84" t="str">
        <f t="array" aca="1" ref="M49" ca="1">IF(OR((M$48&gt;=$AS$11:$AS$74)*(M$48&lt;=$AT$11:$AT$74)&gt;0),$B49,"")</f>
        <v/>
      </c>
      <c r="N49" s="84" t="str">
        <f t="array" aca="1" ref="N49" ca="1">IF(OR((N$48&gt;=$AS$11:$AS$74)*(N$48&lt;=$AT$11:$AT$74)&gt;0),$B49,"")</f>
        <v/>
      </c>
      <c r="O49" s="84" t="str">
        <f t="array" aca="1" ref="O49" ca="1">IF(OR((O$48&gt;=$AS$11:$AS$74)*(O$48&lt;=$AT$11:$AT$74)&gt;0),$B49,"")</f>
        <v/>
      </c>
      <c r="P49" s="84" t="str">
        <f t="array" aca="1" ref="P49" ca="1">IF(OR((P$48&gt;=$AS$11:$AS$74)*(P$48&lt;=$AT$11:$AT$74)&gt;0),$B49,"")</f>
        <v/>
      </c>
      <c r="Q49" s="84" t="str">
        <f t="array" aca="1" ref="Q49" ca="1">IF(OR((Q$48&gt;=$AS$11:$AS$74)*(Q$48&lt;=$AT$11:$AT$74)&gt;0),$B49,"")</f>
        <v/>
      </c>
      <c r="R49" s="84" t="str">
        <f t="array" aca="1" ref="R49" ca="1">IF(OR((R$48&gt;=$AS$11:$AS$74)*(R$48&lt;=$AT$11:$AT$74)&gt;0),$B49,"")</f>
        <v/>
      </c>
      <c r="S49" s="84" t="str">
        <f t="array" aca="1" ref="S49" ca="1">IF(OR((S$48&gt;=$AS$11:$AS$74)*(S$48&lt;=$AT$11:$AT$74)&gt;0),$B49,"")</f>
        <v/>
      </c>
      <c r="T49" s="84" t="str">
        <f t="array" aca="1" ref="T49" ca="1">IF(OR((T$48&gt;=$AS$11:$AS$74)*(T$48&lt;=$AT$11:$AT$74)&gt;0),$B49,"")</f>
        <v/>
      </c>
      <c r="U49" s="84" t="str">
        <f t="array" aca="1" ref="U49" ca="1">IF(OR((U$48&gt;=$AS$11:$AS$74)*(U$48&lt;=$AT$11:$AT$74)&gt;0),$B49,"")</f>
        <v/>
      </c>
      <c r="V49" s="84" t="str">
        <f t="array" aca="1" ref="V49" ca="1">IF(OR((V$48&gt;=$AS$11:$AS$74)*(V$48&lt;=$AT$11:$AT$74)&gt;0),$B49,"")</f>
        <v/>
      </c>
      <c r="W49" s="84" t="str">
        <f t="array" aca="1" ref="W49" ca="1">IF(OR((W$48&gt;=$AS$11:$AS$74)*(W$48&lt;=$AT$11:$AT$74)&gt;0),$B49,"")</f>
        <v/>
      </c>
      <c r="X49" s="84" t="str">
        <f t="array" aca="1" ref="X49" ca="1">IF(OR((X$48&gt;=$AS$11:$AS$74)*(X$48&lt;=$AT$11:$AT$74)&gt;0),$B49,"")</f>
        <v/>
      </c>
      <c r="Y49" s="84" t="str">
        <f t="array" aca="1" ref="Y49" ca="1">IF(OR((Y$48&gt;=$AS$11:$AS$74)*(Y$48&lt;=$AT$11:$AT$74)&gt;0),$B49,"")</f>
        <v/>
      </c>
      <c r="Z49" s="84" t="str">
        <f t="array" aca="1" ref="Z49" ca="1">IF(OR((Z$48&gt;=$AS$11:$AS$74)*(Z$48&lt;=$AT$11:$AT$74)&gt;0),$B49,"")</f>
        <v/>
      </c>
      <c r="AA49" s="84" t="str">
        <f t="array" aca="1" ref="AA49" ca="1">IF(OR((AA$48&gt;=$AS$11:$AS$74)*(AA$48&lt;=$AT$11:$AT$74)&gt;0),$B49,"")</f>
        <v/>
      </c>
      <c r="AB49" s="84" t="str">
        <f t="array" aca="1" ref="AB49" ca="1">IF(OR((AB$48&gt;=$AS$11:$AS$74)*(AB$48&lt;=$AT$11:$AT$74)&gt;0),$B49,"")</f>
        <v/>
      </c>
      <c r="AC49" s="84" t="str">
        <f t="array" aca="1" ref="AC49" ca="1">IF(OR((AC$48&gt;=$AS$11:$AS$74)*(AC$48&lt;=$AT$11:$AT$74)&gt;0),$B49,"")</f>
        <v/>
      </c>
      <c r="AD49" s="84" t="str">
        <f t="array" aca="1" ref="AD49" ca="1">IF(OR((AD$48&gt;=$AS$11:$AS$74)*(AD$48&lt;=$AT$11:$AT$74)&gt;0),$B49,"")</f>
        <v/>
      </c>
      <c r="AE49" s="84" t="str">
        <f t="array" aca="1" ref="AE49" ca="1">IF(OR((AE$48&gt;=$AS$11:$AS$74)*(AE$48&lt;=$AT$11:$AT$74)&gt;0),$B49,"")</f>
        <v/>
      </c>
      <c r="AF49" s="84" t="str">
        <f t="array" aca="1" ref="AF49" ca="1">IF(OR((AF$48&gt;=$AS$11:$AS$74)*(AF$48&lt;=$AT$11:$AT$74)&gt;0),$B49,"")</f>
        <v/>
      </c>
      <c r="AG49" s="84" t="str">
        <f t="array" aca="1" ref="AG49" ca="1">IF(OR((AG$48&gt;=$AS$11:$AS$74)*(AG$48&lt;=$AT$11:$AT$74)&gt;0),$B49,"")</f>
        <v/>
      </c>
      <c r="AH49" s="84" t="str">
        <f t="array" aca="1" ref="AH49" ca="1">IF(OR((AH$48&gt;=$AS$11:$AS$74)*(AH$48&lt;=$AT$11:$AT$74)&gt;0),$B49,"")</f>
        <v/>
      </c>
      <c r="AI49" s="84" t="str">
        <f t="array" aca="1" ref="AI49" ca="1">IF(OR((AI$48&gt;=$AS$11:$AS$74)*(AI$48&lt;=$AT$11:$AT$74)&gt;0),$B49,"")</f>
        <v/>
      </c>
      <c r="AJ49" s="85"/>
    </row>
    <row r="50" spans="1:71" hidden="1">
      <c r="A50" s="75" t="s">
        <v>159</v>
      </c>
      <c r="B50" s="74">
        <v>12</v>
      </c>
      <c r="C50" s="84" t="str">
        <f t="array" aca="1" ref="C50" ca="1">IF(OR((C$48&gt;=$AS$11:$AS$74)*(C$48&lt;=$AT$11:$AT$74)&gt;0),$B50,"")</f>
        <v/>
      </c>
      <c r="D50" s="84" t="str">
        <f t="array" aca="1" ref="D50" ca="1">IF(OR((D$48&gt;=$AS$11:$AS$74)*(D$48&lt;=$AT$11:$AT$74)&gt;0),$B50,"")</f>
        <v/>
      </c>
      <c r="E50" s="84" t="str">
        <f t="array" aca="1" ref="E50" ca="1">IF(OR((E$48&gt;=$AS$11:$AS$74)*(E$48&lt;=$AT$11:$AT$74)&gt;0),$B50,"")</f>
        <v/>
      </c>
      <c r="F50" s="84" t="str">
        <f t="array" aca="1" ref="F50" ca="1">IF(OR((F$48&gt;=$AS$11:$AS$74)*(F$48&lt;=$AT$11:$AT$74)&gt;0),$B50,"")</f>
        <v/>
      </c>
      <c r="G50" s="84" t="str">
        <f t="array" aca="1" ref="G50" ca="1">IF(OR((G$48&gt;=$AS$11:$AS$74)*(G$48&lt;=$AT$11:$AT$74)&gt;0),$B50,"")</f>
        <v/>
      </c>
      <c r="H50" s="84" t="str">
        <f t="array" aca="1" ref="H50" ca="1">IF(OR((H$48&gt;=$AS$11:$AS$74)*(H$48&lt;=$AT$11:$AT$74)&gt;0),$B50,"")</f>
        <v/>
      </c>
      <c r="I50" s="84" t="str">
        <f t="array" aca="1" ref="I50" ca="1">IF(OR((I$48&gt;=$AS$11:$AS$74)*(I$48&lt;=$AT$11:$AT$74)&gt;0),$B50,"")</f>
        <v/>
      </c>
      <c r="J50" s="84" t="str">
        <f t="array" aca="1" ref="J50" ca="1">IF(OR((J$48&gt;=$AS$11:$AS$74)*(J$48&lt;=$AT$11:$AT$74)&gt;0),$B50,"")</f>
        <v/>
      </c>
      <c r="K50" s="84" t="str">
        <f t="array" aca="1" ref="K50" ca="1">IF(OR((K$48&gt;=$AS$11:$AS$74)*(K$48&lt;=$AT$11:$AT$74)&gt;0),$B50,"")</f>
        <v/>
      </c>
      <c r="L50" s="84" t="str">
        <f t="array" aca="1" ref="L50" ca="1">IF(OR((L$48&gt;=$AS$11:$AS$74)*(L$48&lt;=$AT$11:$AT$74)&gt;0),$B50,"")</f>
        <v/>
      </c>
      <c r="M50" s="84" t="str">
        <f t="array" aca="1" ref="M50" ca="1">IF(OR((M$48&gt;=$AS$11:$AS$74)*(M$48&lt;=$AT$11:$AT$74)&gt;0),$B50,"")</f>
        <v/>
      </c>
      <c r="N50" s="84" t="str">
        <f t="array" aca="1" ref="N50" ca="1">IF(OR((N$48&gt;=$AS$11:$AS$74)*(N$48&lt;=$AT$11:$AT$74)&gt;0),$B50,"")</f>
        <v/>
      </c>
      <c r="O50" s="84" t="str">
        <f t="array" aca="1" ref="O50" ca="1">IF(OR((O$48&gt;=$AS$11:$AS$74)*(O$48&lt;=$AT$11:$AT$74)&gt;0),$B50,"")</f>
        <v/>
      </c>
      <c r="P50" s="84" t="str">
        <f t="array" aca="1" ref="P50" ca="1">IF(OR((P$48&gt;=$AS$11:$AS$74)*(P$48&lt;=$AT$11:$AT$74)&gt;0),$B50,"")</f>
        <v/>
      </c>
      <c r="Q50" s="84" t="str">
        <f t="array" aca="1" ref="Q50" ca="1">IF(OR((Q$48&gt;=$AS$11:$AS$74)*(Q$48&lt;=$AT$11:$AT$74)&gt;0),$B50,"")</f>
        <v/>
      </c>
      <c r="R50" s="84" t="str">
        <f t="array" aca="1" ref="R50" ca="1">IF(OR((R$48&gt;=$AS$11:$AS$74)*(R$48&lt;=$AT$11:$AT$74)&gt;0),$B50,"")</f>
        <v/>
      </c>
      <c r="S50" s="84" t="str">
        <f t="array" aca="1" ref="S50" ca="1">IF(OR((S$48&gt;=$AS$11:$AS$74)*(S$48&lt;=$AT$11:$AT$74)&gt;0),$B50,"")</f>
        <v/>
      </c>
      <c r="T50" s="84" t="str">
        <f t="array" aca="1" ref="T50" ca="1">IF(OR((T$48&gt;=$AS$11:$AS$74)*(T$48&lt;=$AT$11:$AT$74)&gt;0),$B50,"")</f>
        <v/>
      </c>
      <c r="U50" s="84" t="str">
        <f t="array" aca="1" ref="U50" ca="1">IF(OR((U$48&gt;=$AS$11:$AS$74)*(U$48&lt;=$AT$11:$AT$74)&gt;0),$B50,"")</f>
        <v/>
      </c>
      <c r="V50" s="84" t="str">
        <f t="array" aca="1" ref="V50" ca="1">IF(OR((V$48&gt;=$AS$11:$AS$74)*(V$48&lt;=$AT$11:$AT$74)&gt;0),$B50,"")</f>
        <v/>
      </c>
      <c r="W50" s="84" t="str">
        <f t="array" aca="1" ref="W50" ca="1">IF(OR((W$48&gt;=$AS$11:$AS$74)*(W$48&lt;=$AT$11:$AT$74)&gt;0),$B50,"")</f>
        <v/>
      </c>
      <c r="X50" s="84" t="str">
        <f t="array" aca="1" ref="X50" ca="1">IF(OR((X$48&gt;=$AS$11:$AS$74)*(X$48&lt;=$AT$11:$AT$74)&gt;0),$B50,"")</f>
        <v/>
      </c>
      <c r="Y50" s="84" t="str">
        <f t="array" aca="1" ref="Y50" ca="1">IF(OR((Y$48&gt;=$AS$11:$AS$74)*(Y$48&lt;=$AT$11:$AT$74)&gt;0),$B50,"")</f>
        <v/>
      </c>
      <c r="Z50" s="84" t="str">
        <f t="array" aca="1" ref="Z50" ca="1">IF(OR((Z$48&gt;=$AS$11:$AS$74)*(Z$48&lt;=$AT$11:$AT$74)&gt;0),$B50,"")</f>
        <v/>
      </c>
      <c r="AA50" s="84" t="str">
        <f t="array" aca="1" ref="AA50" ca="1">IF(OR((AA$48&gt;=$AS$11:$AS$74)*(AA$48&lt;=$AT$11:$AT$74)&gt;0),$B50,"")</f>
        <v/>
      </c>
      <c r="AB50" s="84" t="str">
        <f t="array" aca="1" ref="AB50" ca="1">IF(OR((AB$48&gt;=$AS$11:$AS$74)*(AB$48&lt;=$AT$11:$AT$74)&gt;0),$B50,"")</f>
        <v/>
      </c>
      <c r="AC50" s="84" t="str">
        <f t="array" aca="1" ref="AC50" ca="1">IF(OR((AC$48&gt;=$AS$11:$AS$74)*(AC$48&lt;=$AT$11:$AT$74)&gt;0),$B50,"")</f>
        <v/>
      </c>
      <c r="AD50" s="84" t="str">
        <f t="array" aca="1" ref="AD50" ca="1">IF(OR((AD$48&gt;=$AS$11:$AS$74)*(AD$48&lt;=$AT$11:$AT$74)&gt;0),$B50,"")</f>
        <v/>
      </c>
      <c r="AE50" s="84" t="str">
        <f t="array" aca="1" ref="AE50" ca="1">IF(OR((AE$48&gt;=$AS$11:$AS$74)*(AE$48&lt;=$AT$11:$AT$74)&gt;0),$B50,"")</f>
        <v/>
      </c>
      <c r="AF50" s="84" t="str">
        <f t="array" aca="1" ref="AF50" ca="1">IF(OR((AF$48&gt;=$AS$11:$AS$74)*(AF$48&lt;=$AT$11:$AT$74)&gt;0),$B50,"")</f>
        <v/>
      </c>
      <c r="AG50" s="84" t="str">
        <f t="array" aca="1" ref="AG50" ca="1">IF(OR((AG$48&gt;=$AS$11:$AS$74)*(AG$48&lt;=$AT$11:$AT$74)&gt;0),$B50,"")</f>
        <v/>
      </c>
      <c r="AH50" s="84" t="str">
        <f t="array" aca="1" ref="AH50" ca="1">IF(OR((AH$48&gt;=$AS$11:$AS$74)*(AH$48&lt;=$AT$11:$AT$74)&gt;0),$B50,"")</f>
        <v/>
      </c>
      <c r="AI50" s="84" t="str">
        <f t="array" aca="1" ref="AI50" ca="1">IF(OR((AI$48&gt;=$AS$11:$AS$74)*(AI$48&lt;=$AT$11:$AT$74)&gt;0),$B50,"")</f>
        <v/>
      </c>
      <c r="AJ50" s="85"/>
    </row>
    <row r="51" spans="1:71" hidden="1">
      <c r="A51" s="75" t="s">
        <v>160</v>
      </c>
      <c r="B51" s="74">
        <v>12</v>
      </c>
      <c r="C51" s="84" t="str">
        <f t="array" aca="1" ref="C51" ca="1">IF(OR((C$48&gt;=$AS$11:$AS$74)*(C$48&lt;=$AT$11:$AT$74)&gt;0),$B51,"")</f>
        <v/>
      </c>
      <c r="D51" s="84" t="str">
        <f t="array" aca="1" ref="D51" ca="1">IF(OR((D$48&gt;=$AS$11:$AS$74)*(D$48&lt;=$AT$11:$AT$74)&gt;0),$B51,"")</f>
        <v/>
      </c>
      <c r="E51" s="84" t="str">
        <f t="array" aca="1" ref="E51" ca="1">IF(OR((E$48&gt;=$AS$11:$AS$74)*(E$48&lt;=$AT$11:$AT$74)&gt;0),$B51,"")</f>
        <v/>
      </c>
      <c r="F51" s="84" t="str">
        <f t="array" aca="1" ref="F51" ca="1">IF(OR((F$48&gt;=$AS$11:$AS$74)*(F$48&lt;=$AT$11:$AT$74)&gt;0),$B51,"")</f>
        <v/>
      </c>
      <c r="G51" s="84" t="str">
        <f t="array" aca="1" ref="G51" ca="1">IF(OR((G$48&gt;=$AS$11:$AS$74)*(G$48&lt;=$AT$11:$AT$74)&gt;0),$B51,"")</f>
        <v/>
      </c>
      <c r="H51" s="84" t="str">
        <f t="array" aca="1" ref="H51" ca="1">IF(OR((H$48&gt;=$AS$11:$AS$74)*(H$48&lt;=$AT$11:$AT$74)&gt;0),$B51,"")</f>
        <v/>
      </c>
      <c r="I51" s="84" t="str">
        <f t="array" aca="1" ref="I51" ca="1">IF(OR((I$48&gt;=$AS$11:$AS$74)*(I$48&lt;=$AT$11:$AT$74)&gt;0),$B51,"")</f>
        <v/>
      </c>
      <c r="J51" s="84" t="str">
        <f t="array" aca="1" ref="J51" ca="1">IF(OR((J$48&gt;=$AS$11:$AS$74)*(J$48&lt;=$AT$11:$AT$74)&gt;0),$B51,"")</f>
        <v/>
      </c>
      <c r="K51" s="84" t="str">
        <f t="array" aca="1" ref="K51" ca="1">IF(OR((K$48&gt;=$AS$11:$AS$74)*(K$48&lt;=$AT$11:$AT$74)&gt;0),$B51,"")</f>
        <v/>
      </c>
      <c r="L51" s="84" t="str">
        <f t="array" aca="1" ref="L51" ca="1">IF(OR((L$48&gt;=$AS$11:$AS$74)*(L$48&lt;=$AT$11:$AT$74)&gt;0),$B51,"")</f>
        <v/>
      </c>
      <c r="M51" s="84" t="str">
        <f t="array" aca="1" ref="M51" ca="1">IF(OR((M$48&gt;=$AS$11:$AS$74)*(M$48&lt;=$AT$11:$AT$74)&gt;0),$B51,"")</f>
        <v/>
      </c>
      <c r="N51" s="84" t="str">
        <f t="array" aca="1" ref="N51" ca="1">IF(OR((N$48&gt;=$AS$11:$AS$74)*(N$48&lt;=$AT$11:$AT$74)&gt;0),$B51,"")</f>
        <v/>
      </c>
      <c r="O51" s="84" t="str">
        <f t="array" aca="1" ref="O51" ca="1">IF(OR((O$48&gt;=$AS$11:$AS$74)*(O$48&lt;=$AT$11:$AT$74)&gt;0),$B51,"")</f>
        <v/>
      </c>
      <c r="P51" s="84" t="str">
        <f t="array" aca="1" ref="P51" ca="1">IF(OR((P$48&gt;=$AS$11:$AS$74)*(P$48&lt;=$AT$11:$AT$74)&gt;0),$B51,"")</f>
        <v/>
      </c>
      <c r="Q51" s="84" t="str">
        <f t="array" aca="1" ref="Q51" ca="1">IF(OR((Q$48&gt;=$AS$11:$AS$74)*(Q$48&lt;=$AT$11:$AT$74)&gt;0),$B51,"")</f>
        <v/>
      </c>
      <c r="R51" s="84" t="str">
        <f t="array" aca="1" ref="R51" ca="1">IF(OR((R$48&gt;=$AS$11:$AS$74)*(R$48&lt;=$AT$11:$AT$74)&gt;0),$B51,"")</f>
        <v/>
      </c>
      <c r="S51" s="84" t="str">
        <f t="array" aca="1" ref="S51" ca="1">IF(OR((S$48&gt;=$AS$11:$AS$74)*(S$48&lt;=$AT$11:$AT$74)&gt;0),$B51,"")</f>
        <v/>
      </c>
      <c r="T51" s="84" t="str">
        <f t="array" aca="1" ref="T51" ca="1">IF(OR((T$48&gt;=$AS$11:$AS$74)*(T$48&lt;=$AT$11:$AT$74)&gt;0),$B51,"")</f>
        <v/>
      </c>
      <c r="U51" s="84" t="str">
        <f t="array" aca="1" ref="U51" ca="1">IF(OR((U$48&gt;=$AS$11:$AS$74)*(U$48&lt;=$AT$11:$AT$74)&gt;0),$B51,"")</f>
        <v/>
      </c>
      <c r="V51" s="84" t="str">
        <f t="array" aca="1" ref="V51" ca="1">IF(OR((V$48&gt;=$AS$11:$AS$74)*(V$48&lt;=$AT$11:$AT$74)&gt;0),$B51,"")</f>
        <v/>
      </c>
      <c r="W51" s="84" t="str">
        <f t="array" aca="1" ref="W51" ca="1">IF(OR((W$48&gt;=$AS$11:$AS$74)*(W$48&lt;=$AT$11:$AT$74)&gt;0),$B51,"")</f>
        <v/>
      </c>
      <c r="X51" s="84" t="str">
        <f t="array" aca="1" ref="X51" ca="1">IF(OR((X$48&gt;=$AS$11:$AS$74)*(X$48&lt;=$AT$11:$AT$74)&gt;0),$B51,"")</f>
        <v/>
      </c>
      <c r="Y51" s="84" t="str">
        <f t="array" aca="1" ref="Y51" ca="1">IF(OR((Y$48&gt;=$AS$11:$AS$74)*(Y$48&lt;=$AT$11:$AT$74)&gt;0),$B51,"")</f>
        <v/>
      </c>
      <c r="Z51" s="84" t="str">
        <f t="array" aca="1" ref="Z51" ca="1">IF(OR((Z$48&gt;=$AS$11:$AS$74)*(Z$48&lt;=$AT$11:$AT$74)&gt;0),$B51,"")</f>
        <v/>
      </c>
      <c r="AA51" s="84" t="str">
        <f t="array" aca="1" ref="AA51" ca="1">IF(OR((AA$48&gt;=$AS$11:$AS$74)*(AA$48&lt;=$AT$11:$AT$74)&gt;0),$B51,"")</f>
        <v/>
      </c>
      <c r="AB51" s="84" t="str">
        <f t="array" aca="1" ref="AB51" ca="1">IF(OR((AB$48&gt;=$AS$11:$AS$74)*(AB$48&lt;=$AT$11:$AT$74)&gt;0),$B51,"")</f>
        <v/>
      </c>
      <c r="AC51" s="84" t="str">
        <f t="array" aca="1" ref="AC51" ca="1">IF(OR((AC$48&gt;=$AS$11:$AS$74)*(AC$48&lt;=$AT$11:$AT$74)&gt;0),$B51,"")</f>
        <v/>
      </c>
      <c r="AD51" s="84" t="str">
        <f t="array" aca="1" ref="AD51" ca="1">IF(OR((AD$48&gt;=$AS$11:$AS$74)*(AD$48&lt;=$AT$11:$AT$74)&gt;0),$B51,"")</f>
        <v/>
      </c>
      <c r="AE51" s="84" t="str">
        <f t="array" aca="1" ref="AE51" ca="1">IF(OR((AE$48&gt;=$AS$11:$AS$74)*(AE$48&lt;=$AT$11:$AT$74)&gt;0),$B51,"")</f>
        <v/>
      </c>
      <c r="AF51" s="84" t="str">
        <f t="array" aca="1" ref="AF51" ca="1">IF(OR((AF$48&gt;=$AS$11:$AS$74)*(AF$48&lt;=$AT$11:$AT$74)&gt;0),$B51,"")</f>
        <v/>
      </c>
      <c r="AG51" s="84" t="str">
        <f t="array" aca="1" ref="AG51" ca="1">IF(OR((AG$48&gt;=$AS$11:$AS$74)*(AG$48&lt;=$AT$11:$AT$74)&gt;0),$B51,"")</f>
        <v/>
      </c>
      <c r="AH51" s="84" t="str">
        <f t="array" aca="1" ref="AH51" ca="1">IF(OR((AH$48&gt;=$AS$11:$AS$74)*(AH$48&lt;=$AT$11:$AT$74)&gt;0),$B51,"")</f>
        <v/>
      </c>
      <c r="AI51" s="84" t="str">
        <f t="array" aca="1" ref="AI51" ca="1">IF(OR((AI$48&gt;=$AS$11:$AS$74)*(AI$48&lt;=$AT$11:$AT$74)&gt;0),$B51,"")</f>
        <v/>
      </c>
      <c r="AJ51" s="85"/>
    </row>
    <row r="52" spans="1:71" hidden="1">
      <c r="A52" s="75" t="s">
        <v>161</v>
      </c>
      <c r="B52" s="74">
        <v>12</v>
      </c>
      <c r="C52" s="84" t="str">
        <f t="array" aca="1" ref="C52" ca="1">IF(OR((C$48&gt;=$AS$11:$AS$74)*(C$48&lt;=$AT$11:$AT$74)&gt;0),$B52,"")</f>
        <v/>
      </c>
      <c r="D52" s="84" t="str">
        <f t="array" aca="1" ref="D52" ca="1">IF(OR((D$48&gt;=$AS$11:$AS$74)*(D$48&lt;=$AT$11:$AT$74)&gt;0),$B52,"")</f>
        <v/>
      </c>
      <c r="E52" s="84" t="str">
        <f t="array" aca="1" ref="E52" ca="1">IF(OR((E$48&gt;=$AS$11:$AS$74)*(E$48&lt;=$AT$11:$AT$74)&gt;0),$B52,"")</f>
        <v/>
      </c>
      <c r="F52" s="84" t="str">
        <f t="array" aca="1" ref="F52" ca="1">IF(OR((F$48&gt;=$AS$11:$AS$74)*(F$48&lt;=$AT$11:$AT$74)&gt;0),$B52,"")</f>
        <v/>
      </c>
      <c r="G52" s="84" t="str">
        <f t="array" aca="1" ref="G52" ca="1">IF(OR((G$48&gt;=$AS$11:$AS$74)*(G$48&lt;=$AT$11:$AT$74)&gt;0),$B52,"")</f>
        <v/>
      </c>
      <c r="H52" s="84" t="str">
        <f t="array" aca="1" ref="H52" ca="1">IF(OR((H$48&gt;=$AS$11:$AS$74)*(H$48&lt;=$AT$11:$AT$74)&gt;0),$B52,"")</f>
        <v/>
      </c>
      <c r="I52" s="84" t="str">
        <f t="array" aca="1" ref="I52" ca="1">IF(OR((I$48&gt;=$AS$11:$AS$74)*(I$48&lt;=$AT$11:$AT$74)&gt;0),$B52,"")</f>
        <v/>
      </c>
      <c r="J52" s="84" t="str">
        <f t="array" aca="1" ref="J52" ca="1">IF(OR((J$48&gt;=$AS$11:$AS$74)*(J$48&lt;=$AT$11:$AT$74)&gt;0),$B52,"")</f>
        <v/>
      </c>
      <c r="K52" s="84" t="str">
        <f t="array" aca="1" ref="K52" ca="1">IF(OR((K$48&gt;=$AS$11:$AS$74)*(K$48&lt;=$AT$11:$AT$74)&gt;0),$B52,"")</f>
        <v/>
      </c>
      <c r="L52" s="84" t="str">
        <f t="array" aca="1" ref="L52" ca="1">IF(OR((L$48&gt;=$AS$11:$AS$74)*(L$48&lt;=$AT$11:$AT$74)&gt;0),$B52,"")</f>
        <v/>
      </c>
      <c r="M52" s="84" t="str">
        <f t="array" aca="1" ref="M52" ca="1">IF(OR((M$48&gt;=$AS$11:$AS$74)*(M$48&lt;=$AT$11:$AT$74)&gt;0),$B52,"")</f>
        <v/>
      </c>
      <c r="N52" s="84" t="str">
        <f t="array" aca="1" ref="N52" ca="1">IF(OR((N$48&gt;=$AS$11:$AS$74)*(N$48&lt;=$AT$11:$AT$74)&gt;0),$B52,"")</f>
        <v/>
      </c>
      <c r="O52" s="84" t="str">
        <f t="array" aca="1" ref="O52" ca="1">IF(OR((O$48&gt;=$AS$11:$AS$74)*(O$48&lt;=$AT$11:$AT$74)&gt;0),$B52,"")</f>
        <v/>
      </c>
      <c r="P52" s="84" t="str">
        <f t="array" aca="1" ref="P52" ca="1">IF(OR((P$48&gt;=$AS$11:$AS$74)*(P$48&lt;=$AT$11:$AT$74)&gt;0),$B52,"")</f>
        <v/>
      </c>
      <c r="Q52" s="84" t="str">
        <f t="array" aca="1" ref="Q52" ca="1">IF(OR((Q$48&gt;=$AS$11:$AS$74)*(Q$48&lt;=$AT$11:$AT$74)&gt;0),$B52,"")</f>
        <v/>
      </c>
      <c r="R52" s="84" t="str">
        <f t="array" aca="1" ref="R52" ca="1">IF(OR((R$48&gt;=$AS$11:$AS$74)*(R$48&lt;=$AT$11:$AT$74)&gt;0),$B52,"")</f>
        <v/>
      </c>
      <c r="S52" s="84" t="str">
        <f t="array" aca="1" ref="S52" ca="1">IF(OR((S$48&gt;=$AS$11:$AS$74)*(S$48&lt;=$AT$11:$AT$74)&gt;0),$B52,"")</f>
        <v/>
      </c>
      <c r="T52" s="84" t="str">
        <f t="array" aca="1" ref="T52" ca="1">IF(OR((T$48&gt;=$AS$11:$AS$74)*(T$48&lt;=$AT$11:$AT$74)&gt;0),$B52,"")</f>
        <v/>
      </c>
      <c r="U52" s="84" t="str">
        <f t="array" aca="1" ref="U52" ca="1">IF(OR((U$48&gt;=$AS$11:$AS$74)*(U$48&lt;=$AT$11:$AT$74)&gt;0),$B52,"")</f>
        <v/>
      </c>
      <c r="V52" s="84" t="str">
        <f t="array" aca="1" ref="V52" ca="1">IF(OR((V$48&gt;=$AS$11:$AS$74)*(V$48&lt;=$AT$11:$AT$74)&gt;0),$B52,"")</f>
        <v/>
      </c>
      <c r="W52" s="84" t="str">
        <f t="array" aca="1" ref="W52" ca="1">IF(OR((W$48&gt;=$AS$11:$AS$74)*(W$48&lt;=$AT$11:$AT$74)&gt;0),$B52,"")</f>
        <v/>
      </c>
      <c r="X52" s="84" t="str">
        <f t="array" aca="1" ref="X52" ca="1">IF(OR((X$48&gt;=$AS$11:$AS$74)*(X$48&lt;=$AT$11:$AT$74)&gt;0),$B52,"")</f>
        <v/>
      </c>
      <c r="Y52" s="84" t="str">
        <f t="array" aca="1" ref="Y52" ca="1">IF(OR((Y$48&gt;=$AS$11:$AS$74)*(Y$48&lt;=$AT$11:$AT$74)&gt;0),$B52,"")</f>
        <v/>
      </c>
      <c r="Z52" s="84" t="str">
        <f t="array" aca="1" ref="Z52" ca="1">IF(OR((Z$48&gt;=$AS$11:$AS$74)*(Z$48&lt;=$AT$11:$AT$74)&gt;0),$B52,"")</f>
        <v/>
      </c>
      <c r="AA52" s="84" t="str">
        <f t="array" aca="1" ref="AA52" ca="1">IF(OR((AA$48&gt;=$AS$11:$AS$74)*(AA$48&lt;=$AT$11:$AT$74)&gt;0),$B52,"")</f>
        <v/>
      </c>
      <c r="AB52" s="84" t="str">
        <f t="array" aca="1" ref="AB52" ca="1">IF(OR((AB$48&gt;=$AS$11:$AS$74)*(AB$48&lt;=$AT$11:$AT$74)&gt;0),$B52,"")</f>
        <v/>
      </c>
      <c r="AC52" s="84" t="str">
        <f t="array" aca="1" ref="AC52" ca="1">IF(OR((AC$48&gt;=$AS$11:$AS$74)*(AC$48&lt;=$AT$11:$AT$74)&gt;0),$B52,"")</f>
        <v/>
      </c>
      <c r="AD52" s="84" t="str">
        <f t="array" aca="1" ref="AD52" ca="1">IF(OR((AD$48&gt;=$AS$11:$AS$74)*(AD$48&lt;=$AT$11:$AT$74)&gt;0),$B52,"")</f>
        <v/>
      </c>
      <c r="AE52" s="84" t="str">
        <f t="array" aca="1" ref="AE52" ca="1">IF(OR((AE$48&gt;=$AS$11:$AS$74)*(AE$48&lt;=$AT$11:$AT$74)&gt;0),$B52,"")</f>
        <v/>
      </c>
      <c r="AF52" s="84" t="str">
        <f t="array" aca="1" ref="AF52" ca="1">IF(OR((AF$48&gt;=$AS$11:$AS$74)*(AF$48&lt;=$AT$11:$AT$74)&gt;0),$B52,"")</f>
        <v/>
      </c>
      <c r="AG52" s="84" t="str">
        <f t="array" aca="1" ref="AG52" ca="1">IF(OR((AG$48&gt;=$AS$11:$AS$74)*(AG$48&lt;=$AT$11:$AT$74)&gt;0),$B52,"")</f>
        <v/>
      </c>
      <c r="AH52" s="84" t="str">
        <f t="array" aca="1" ref="AH52" ca="1">IF(OR((AH$48&gt;=$AS$11:$AS$74)*(AH$48&lt;=$AT$11:$AT$74)&gt;0),$B52,"")</f>
        <v/>
      </c>
      <c r="AI52" s="84" t="str">
        <f t="array" aca="1" ref="AI52" ca="1">IF(OR((AI$48&gt;=$AS$11:$AS$74)*(AI$48&lt;=$AT$11:$AT$74)&gt;0),$B52,"")</f>
        <v/>
      </c>
      <c r="AJ52" s="85"/>
    </row>
    <row r="53" spans="1:71" hidden="1">
      <c r="A53" s="75" t="s">
        <v>162</v>
      </c>
      <c r="B53" s="74">
        <v>4</v>
      </c>
      <c r="C53" s="84" t="str">
        <f t="array" aca="1" ref="C53" ca="1">IF(OR((C$48&gt;=$AS$11:$AS$74)*(C$48&lt;=$AT$11:$AT$74)&gt;0),$B53,"")</f>
        <v/>
      </c>
      <c r="D53" s="84" t="str">
        <f t="array" aca="1" ref="D53" ca="1">IF(OR((D$48&gt;=$AS$11:$AS$74)*(D$48&lt;=$AT$11:$AT$74)&gt;0),$B53,"")</f>
        <v/>
      </c>
      <c r="E53" s="84" t="str">
        <f t="array" aca="1" ref="E53" ca="1">IF(OR((E$48&gt;=$AS$11:$AS$74)*(E$48&lt;=$AT$11:$AT$74)&gt;0),$B53,"")</f>
        <v/>
      </c>
      <c r="F53" s="84" t="str">
        <f t="array" aca="1" ref="F53" ca="1">IF(OR((F$48&gt;=$AS$11:$AS$74)*(F$48&lt;=$AT$11:$AT$74)&gt;0),$B53,"")</f>
        <v/>
      </c>
      <c r="G53" s="84" t="str">
        <f t="array" aca="1" ref="G53" ca="1">IF(OR((G$48&gt;=$AS$11:$AS$74)*(G$48&lt;=$AT$11:$AT$74)&gt;0),$B53,"")</f>
        <v/>
      </c>
      <c r="H53" s="84" t="str">
        <f t="array" aca="1" ref="H53" ca="1">IF(OR((H$48&gt;=$AS$11:$AS$74)*(H$48&lt;=$AT$11:$AT$74)&gt;0),$B53,"")</f>
        <v/>
      </c>
      <c r="I53" s="84" t="str">
        <f t="array" aca="1" ref="I53" ca="1">IF(OR((I$48&gt;=$AS$11:$AS$74)*(I$48&lt;=$AT$11:$AT$74)&gt;0),$B53,"")</f>
        <v/>
      </c>
      <c r="J53" s="84" t="str">
        <f t="array" aca="1" ref="J53" ca="1">IF(OR((J$48&gt;=$AS$11:$AS$74)*(J$48&lt;=$AT$11:$AT$74)&gt;0),$B53,"")</f>
        <v/>
      </c>
      <c r="K53" s="84" t="str">
        <f t="array" aca="1" ref="K53" ca="1">IF(OR((K$48&gt;=$AS$11:$AS$74)*(K$48&lt;=$AT$11:$AT$74)&gt;0),$B53,"")</f>
        <v/>
      </c>
      <c r="L53" s="84" t="str">
        <f t="array" aca="1" ref="L53" ca="1">IF(OR((L$48&gt;=$AS$11:$AS$74)*(L$48&lt;=$AT$11:$AT$74)&gt;0),$B53,"")</f>
        <v/>
      </c>
      <c r="M53" s="84" t="str">
        <f t="array" aca="1" ref="M53" ca="1">IF(OR((M$48&gt;=$AS$11:$AS$74)*(M$48&lt;=$AT$11:$AT$74)&gt;0),$B53,"")</f>
        <v/>
      </c>
      <c r="N53" s="84" t="str">
        <f t="array" aca="1" ref="N53" ca="1">IF(OR((N$48&gt;=$AS$11:$AS$74)*(N$48&lt;=$AT$11:$AT$74)&gt;0),$B53,"")</f>
        <v/>
      </c>
      <c r="O53" s="84" t="str">
        <f t="array" aca="1" ref="O53" ca="1">IF(OR((O$48&gt;=$AS$11:$AS$74)*(O$48&lt;=$AT$11:$AT$74)&gt;0),$B53,"")</f>
        <v/>
      </c>
      <c r="P53" s="84" t="str">
        <f t="array" aca="1" ref="P53" ca="1">IF(OR((P$48&gt;=$AS$11:$AS$74)*(P$48&lt;=$AT$11:$AT$74)&gt;0),$B53,"")</f>
        <v/>
      </c>
      <c r="Q53" s="84" t="str">
        <f t="array" aca="1" ref="Q53" ca="1">IF(OR((Q$48&gt;=$AS$11:$AS$74)*(Q$48&lt;=$AT$11:$AT$74)&gt;0),$B53,"")</f>
        <v/>
      </c>
      <c r="R53" s="84" t="str">
        <f t="array" aca="1" ref="R53" ca="1">IF(OR((R$48&gt;=$AS$11:$AS$74)*(R$48&lt;=$AT$11:$AT$74)&gt;0),$B53,"")</f>
        <v/>
      </c>
      <c r="S53" s="84" t="str">
        <f t="array" aca="1" ref="S53" ca="1">IF(OR((S$48&gt;=$AS$11:$AS$74)*(S$48&lt;=$AT$11:$AT$74)&gt;0),$B53,"")</f>
        <v/>
      </c>
      <c r="T53" s="84" t="str">
        <f t="array" aca="1" ref="T53" ca="1">IF(OR((T$48&gt;=$AS$11:$AS$74)*(T$48&lt;=$AT$11:$AT$74)&gt;0),$B53,"")</f>
        <v/>
      </c>
      <c r="U53" s="84" t="str">
        <f t="array" aca="1" ref="U53" ca="1">IF(OR((U$48&gt;=$AS$11:$AS$74)*(U$48&lt;=$AT$11:$AT$74)&gt;0),$B53,"")</f>
        <v/>
      </c>
      <c r="V53" s="84" t="str">
        <f t="array" aca="1" ref="V53" ca="1">IF(OR((V$48&gt;=$AS$11:$AS$74)*(V$48&lt;=$AT$11:$AT$74)&gt;0),$B53,"")</f>
        <v/>
      </c>
      <c r="W53" s="84" t="str">
        <f t="array" aca="1" ref="W53" ca="1">IF(OR((W$48&gt;=$AS$11:$AS$74)*(W$48&lt;=$AT$11:$AT$74)&gt;0),$B53,"")</f>
        <v/>
      </c>
      <c r="X53" s="84" t="str">
        <f t="array" aca="1" ref="X53" ca="1">IF(OR((X$48&gt;=$AS$11:$AS$74)*(X$48&lt;=$AT$11:$AT$74)&gt;0),$B53,"")</f>
        <v/>
      </c>
      <c r="Y53" s="84" t="str">
        <f t="array" aca="1" ref="Y53" ca="1">IF(OR((Y$48&gt;=$AS$11:$AS$74)*(Y$48&lt;=$AT$11:$AT$74)&gt;0),$B53,"")</f>
        <v/>
      </c>
      <c r="Z53" s="84" t="str">
        <f t="array" aca="1" ref="Z53" ca="1">IF(OR((Z$48&gt;=$AS$11:$AS$74)*(Z$48&lt;=$AT$11:$AT$74)&gt;0),$B53,"")</f>
        <v/>
      </c>
      <c r="AA53" s="84" t="str">
        <f t="array" aca="1" ref="AA53" ca="1">IF(OR((AA$48&gt;=$AS$11:$AS$74)*(AA$48&lt;=$AT$11:$AT$74)&gt;0),$B53,"")</f>
        <v/>
      </c>
      <c r="AB53" s="84" t="str">
        <f t="array" aca="1" ref="AB53" ca="1">IF(OR((AB$48&gt;=$AS$11:$AS$74)*(AB$48&lt;=$AT$11:$AT$74)&gt;0),$B53,"")</f>
        <v/>
      </c>
      <c r="AC53" s="84" t="str">
        <f t="array" aca="1" ref="AC53" ca="1">IF(OR((AC$48&gt;=$AS$11:$AS$74)*(AC$48&lt;=$AT$11:$AT$74)&gt;0),$B53,"")</f>
        <v/>
      </c>
      <c r="AD53" s="84" t="str">
        <f t="array" aca="1" ref="AD53" ca="1">IF(OR((AD$48&gt;=$AS$11:$AS$74)*(AD$48&lt;=$AT$11:$AT$74)&gt;0),$B53,"")</f>
        <v/>
      </c>
      <c r="AE53" s="84" t="str">
        <f t="array" aca="1" ref="AE53" ca="1">IF(OR((AE$48&gt;=$AS$11:$AS$74)*(AE$48&lt;=$AT$11:$AT$74)&gt;0),$B53,"")</f>
        <v/>
      </c>
      <c r="AF53" s="84" t="str">
        <f t="array" aca="1" ref="AF53" ca="1">IF(OR((AF$48&gt;=$AS$11:$AS$74)*(AF$48&lt;=$AT$11:$AT$74)&gt;0),$B53,"")</f>
        <v/>
      </c>
      <c r="AG53" s="84" t="str">
        <f t="array" aca="1" ref="AG53" ca="1">IF(OR((AG$48&gt;=$AS$11:$AS$74)*(AG$48&lt;=$AT$11:$AT$74)&gt;0),$B53,"")</f>
        <v/>
      </c>
      <c r="AH53" s="84" t="str">
        <f t="array" aca="1" ref="AH53" ca="1">IF(OR((AH$48&gt;=$AS$11:$AS$74)*(AH$48&lt;=$AT$11:$AT$74)&gt;0),$B53,"")</f>
        <v/>
      </c>
      <c r="AI53" s="84" t="str">
        <f t="array" aca="1" ref="AI53" ca="1">IF(OR((AI$48&gt;=$AS$11:$AS$74)*(AI$48&lt;=$AT$11:$AT$74)&gt;0),$B53,"")</f>
        <v/>
      </c>
      <c r="AJ53" s="85"/>
    </row>
    <row r="54" spans="1:71" hidden="1">
      <c r="A54" s="75" t="s">
        <v>163</v>
      </c>
      <c r="B54" s="74">
        <v>4</v>
      </c>
      <c r="C54" s="84" t="str">
        <f t="array" aca="1" ref="C54" ca="1">IF(OR((C$48&gt;=$AS$11:$AS$74)*(C$48&lt;=$AT$11:$AT$74)&gt;0),$B54,"")</f>
        <v/>
      </c>
      <c r="D54" s="84" t="str">
        <f t="array" aca="1" ref="D54" ca="1">IF(OR((D$48&gt;=$AS$11:$AS$74)*(D$48&lt;=$AT$11:$AT$74)&gt;0),$B54,"")</f>
        <v/>
      </c>
      <c r="E54" s="84" t="str">
        <f t="array" aca="1" ref="E54" ca="1">IF(OR((E$48&gt;=$AS$11:$AS$74)*(E$48&lt;=$AT$11:$AT$74)&gt;0),$B54,"")</f>
        <v/>
      </c>
      <c r="F54" s="84" t="str">
        <f t="array" aca="1" ref="F54" ca="1">IF(OR((F$48&gt;=$AS$11:$AS$74)*(F$48&lt;=$AT$11:$AT$74)&gt;0),$B54,"")</f>
        <v/>
      </c>
      <c r="G54" s="84" t="str">
        <f t="array" aca="1" ref="G54" ca="1">IF(OR((G$48&gt;=$AS$11:$AS$74)*(G$48&lt;=$AT$11:$AT$74)&gt;0),$B54,"")</f>
        <v/>
      </c>
      <c r="H54" s="84" t="str">
        <f t="array" aca="1" ref="H54" ca="1">IF(OR((H$48&gt;=$AS$11:$AS$74)*(H$48&lt;=$AT$11:$AT$74)&gt;0),$B54,"")</f>
        <v/>
      </c>
      <c r="I54" s="84" t="str">
        <f t="array" aca="1" ref="I54" ca="1">IF(OR((I$48&gt;=$AS$11:$AS$74)*(I$48&lt;=$AT$11:$AT$74)&gt;0),$B54,"")</f>
        <v/>
      </c>
      <c r="J54" s="84" t="str">
        <f t="array" aca="1" ref="J54" ca="1">IF(OR((J$48&gt;=$AS$11:$AS$74)*(J$48&lt;=$AT$11:$AT$74)&gt;0),$B54,"")</f>
        <v/>
      </c>
      <c r="K54" s="84" t="str">
        <f t="array" aca="1" ref="K54" ca="1">IF(OR((K$48&gt;=$AS$11:$AS$74)*(K$48&lt;=$AT$11:$AT$74)&gt;0),$B54,"")</f>
        <v/>
      </c>
      <c r="L54" s="84" t="str">
        <f t="array" aca="1" ref="L54" ca="1">IF(OR((L$48&gt;=$AS$11:$AS$74)*(L$48&lt;=$AT$11:$AT$74)&gt;0),$B54,"")</f>
        <v/>
      </c>
      <c r="M54" s="84" t="str">
        <f t="array" aca="1" ref="M54" ca="1">IF(OR((M$48&gt;=$AS$11:$AS$74)*(M$48&lt;=$AT$11:$AT$74)&gt;0),$B54,"")</f>
        <v/>
      </c>
      <c r="N54" s="84" t="str">
        <f t="array" aca="1" ref="N54" ca="1">IF(OR((N$48&gt;=$AS$11:$AS$74)*(N$48&lt;=$AT$11:$AT$74)&gt;0),$B54,"")</f>
        <v/>
      </c>
      <c r="O54" s="84" t="str">
        <f t="array" aca="1" ref="O54" ca="1">IF(OR((O$48&gt;=$AS$11:$AS$74)*(O$48&lt;=$AT$11:$AT$74)&gt;0),$B54,"")</f>
        <v/>
      </c>
      <c r="P54" s="84" t="str">
        <f t="array" aca="1" ref="P54" ca="1">IF(OR((P$48&gt;=$AS$11:$AS$74)*(P$48&lt;=$AT$11:$AT$74)&gt;0),$B54,"")</f>
        <v/>
      </c>
      <c r="Q54" s="84" t="str">
        <f t="array" aca="1" ref="Q54" ca="1">IF(OR((Q$48&gt;=$AS$11:$AS$74)*(Q$48&lt;=$AT$11:$AT$74)&gt;0),$B54,"")</f>
        <v/>
      </c>
      <c r="R54" s="84" t="str">
        <f t="array" aca="1" ref="R54" ca="1">IF(OR((R$48&gt;=$AS$11:$AS$74)*(R$48&lt;=$AT$11:$AT$74)&gt;0),$B54,"")</f>
        <v/>
      </c>
      <c r="S54" s="84" t="str">
        <f t="array" aca="1" ref="S54" ca="1">IF(OR((S$48&gt;=$AS$11:$AS$74)*(S$48&lt;=$AT$11:$AT$74)&gt;0),$B54,"")</f>
        <v/>
      </c>
      <c r="T54" s="84" t="str">
        <f t="array" aca="1" ref="T54" ca="1">IF(OR((T$48&gt;=$AS$11:$AS$74)*(T$48&lt;=$AT$11:$AT$74)&gt;0),$B54,"")</f>
        <v/>
      </c>
      <c r="U54" s="84" t="str">
        <f t="array" aca="1" ref="U54" ca="1">IF(OR((U$48&gt;=$AS$11:$AS$74)*(U$48&lt;=$AT$11:$AT$74)&gt;0),$B54,"")</f>
        <v/>
      </c>
      <c r="V54" s="84" t="str">
        <f t="array" aca="1" ref="V54" ca="1">IF(OR((V$48&gt;=$AS$11:$AS$74)*(V$48&lt;=$AT$11:$AT$74)&gt;0),$B54,"")</f>
        <v/>
      </c>
      <c r="W54" s="84" t="str">
        <f t="array" aca="1" ref="W54" ca="1">IF(OR((W$48&gt;=$AS$11:$AS$74)*(W$48&lt;=$AT$11:$AT$74)&gt;0),$B54,"")</f>
        <v/>
      </c>
      <c r="X54" s="84" t="str">
        <f t="array" aca="1" ref="X54" ca="1">IF(OR((X$48&gt;=$AS$11:$AS$74)*(X$48&lt;=$AT$11:$AT$74)&gt;0),$B54,"")</f>
        <v/>
      </c>
      <c r="Y54" s="84" t="str">
        <f t="array" aca="1" ref="Y54" ca="1">IF(OR((Y$48&gt;=$AS$11:$AS$74)*(Y$48&lt;=$AT$11:$AT$74)&gt;0),$B54,"")</f>
        <v/>
      </c>
      <c r="Z54" s="84" t="str">
        <f t="array" aca="1" ref="Z54" ca="1">IF(OR((Z$48&gt;=$AS$11:$AS$74)*(Z$48&lt;=$AT$11:$AT$74)&gt;0),$B54,"")</f>
        <v/>
      </c>
      <c r="AA54" s="84" t="str">
        <f t="array" aca="1" ref="AA54" ca="1">IF(OR((AA$48&gt;=$AS$11:$AS$74)*(AA$48&lt;=$AT$11:$AT$74)&gt;0),$B54,"")</f>
        <v/>
      </c>
      <c r="AB54" s="84" t="str">
        <f t="array" aca="1" ref="AB54" ca="1">IF(OR((AB$48&gt;=$AS$11:$AS$74)*(AB$48&lt;=$AT$11:$AT$74)&gt;0),$B54,"")</f>
        <v/>
      </c>
      <c r="AC54" s="84" t="str">
        <f t="array" aca="1" ref="AC54" ca="1">IF(OR((AC$48&gt;=$AS$11:$AS$74)*(AC$48&lt;=$AT$11:$AT$74)&gt;0),$B54,"")</f>
        <v/>
      </c>
      <c r="AD54" s="84" t="str">
        <f t="array" aca="1" ref="AD54" ca="1">IF(OR((AD$48&gt;=$AS$11:$AS$74)*(AD$48&lt;=$AT$11:$AT$74)&gt;0),$B54,"")</f>
        <v/>
      </c>
      <c r="AE54" s="84" t="str">
        <f t="array" aca="1" ref="AE54" ca="1">IF(OR((AE$48&gt;=$AS$11:$AS$74)*(AE$48&lt;=$AT$11:$AT$74)&gt;0),$B54,"")</f>
        <v/>
      </c>
      <c r="AF54" s="84" t="str">
        <f t="array" aca="1" ref="AF54" ca="1">IF(OR((AF$48&gt;=$AS$11:$AS$74)*(AF$48&lt;=$AT$11:$AT$74)&gt;0),$B54,"")</f>
        <v/>
      </c>
      <c r="AG54" s="84" t="str">
        <f t="array" aca="1" ref="AG54" ca="1">IF(OR((AG$48&gt;=$AS$11:$AS$74)*(AG$48&lt;=$AT$11:$AT$74)&gt;0),$B54,"")</f>
        <v/>
      </c>
      <c r="AH54" s="84" t="str">
        <f t="array" aca="1" ref="AH54" ca="1">IF(OR((AH$48&gt;=$AS$11:$AS$74)*(AH$48&lt;=$AT$11:$AT$74)&gt;0),$B54,"")</f>
        <v/>
      </c>
      <c r="AI54" s="84" t="str">
        <f t="array" aca="1" ref="AI54" ca="1">IF(OR((AI$48&gt;=$AS$11:$AS$74)*(AI$48&lt;=$AT$11:$AT$74)&gt;0),$B54,"")</f>
        <v/>
      </c>
      <c r="AJ54" s="85"/>
    </row>
    <row r="55" spans="1:71" hidden="1">
      <c r="A55" s="75" t="s">
        <v>164</v>
      </c>
      <c r="B55" s="74">
        <v>8</v>
      </c>
      <c r="C55" s="84" t="str">
        <f t="array" aca="1" ref="C55" ca="1">IF(OR((C$48&gt;=$AS$11:$AS$74)*(C$48&lt;=$AT$11:$AT$74)&gt;0),$B55,"")</f>
        <v/>
      </c>
      <c r="D55" s="84" t="str">
        <f t="array" aca="1" ref="D55" ca="1">IF(OR((D$48&gt;=$AS$11:$AS$74)*(D$48&lt;=$AT$11:$AT$74)&gt;0),$B55,"")</f>
        <v/>
      </c>
      <c r="E55" s="84" t="str">
        <f t="array" aca="1" ref="E55" ca="1">IF(OR((E$48&gt;=$AS$11:$AS$74)*(E$48&lt;=$AT$11:$AT$74)&gt;0),$B55,"")</f>
        <v/>
      </c>
      <c r="F55" s="84" t="str">
        <f t="array" aca="1" ref="F55" ca="1">IF(OR((F$48&gt;=$AS$11:$AS$74)*(F$48&lt;=$AT$11:$AT$74)&gt;0),$B55,"")</f>
        <v/>
      </c>
      <c r="G55" s="84" t="str">
        <f t="array" aca="1" ref="G55" ca="1">IF(OR((G$48&gt;=$AS$11:$AS$74)*(G$48&lt;=$AT$11:$AT$74)&gt;0),$B55,"")</f>
        <v/>
      </c>
      <c r="H55" s="84" t="str">
        <f t="array" aca="1" ref="H55" ca="1">IF(OR((H$48&gt;=$AS$11:$AS$74)*(H$48&lt;=$AT$11:$AT$74)&gt;0),$B55,"")</f>
        <v/>
      </c>
      <c r="I55" s="84" t="str">
        <f t="array" aca="1" ref="I55" ca="1">IF(OR((I$48&gt;=$AS$11:$AS$74)*(I$48&lt;=$AT$11:$AT$74)&gt;0),$B55,"")</f>
        <v/>
      </c>
      <c r="J55" s="84" t="str">
        <f t="array" aca="1" ref="J55" ca="1">IF(OR((J$48&gt;=$AS$11:$AS$74)*(J$48&lt;=$AT$11:$AT$74)&gt;0),$B55,"")</f>
        <v/>
      </c>
      <c r="K55" s="84" t="str">
        <f t="array" aca="1" ref="K55" ca="1">IF(OR((K$48&gt;=$AS$11:$AS$74)*(K$48&lt;=$AT$11:$AT$74)&gt;0),$B55,"")</f>
        <v/>
      </c>
      <c r="L55" s="84" t="str">
        <f t="array" aca="1" ref="L55" ca="1">IF(OR((L$48&gt;=$AS$11:$AS$74)*(L$48&lt;=$AT$11:$AT$74)&gt;0),$B55,"")</f>
        <v/>
      </c>
      <c r="M55" s="84" t="str">
        <f t="array" aca="1" ref="M55" ca="1">IF(OR((M$48&gt;=$AS$11:$AS$74)*(M$48&lt;=$AT$11:$AT$74)&gt;0),$B55,"")</f>
        <v/>
      </c>
      <c r="N55" s="84" t="str">
        <f t="array" aca="1" ref="N55" ca="1">IF(OR((N$48&gt;=$AS$11:$AS$74)*(N$48&lt;=$AT$11:$AT$74)&gt;0),$B55,"")</f>
        <v/>
      </c>
      <c r="O55" s="84" t="str">
        <f t="array" aca="1" ref="O55" ca="1">IF(OR((O$48&gt;=$AS$11:$AS$74)*(O$48&lt;=$AT$11:$AT$74)&gt;0),$B55,"")</f>
        <v/>
      </c>
      <c r="P55" s="84" t="str">
        <f t="array" aca="1" ref="P55" ca="1">IF(OR((P$48&gt;=$AS$11:$AS$74)*(P$48&lt;=$AT$11:$AT$74)&gt;0),$B55,"")</f>
        <v/>
      </c>
      <c r="Q55" s="84" t="str">
        <f t="array" aca="1" ref="Q55" ca="1">IF(OR((Q$48&gt;=$AS$11:$AS$74)*(Q$48&lt;=$AT$11:$AT$74)&gt;0),$B55,"")</f>
        <v/>
      </c>
      <c r="R55" s="84" t="str">
        <f t="array" aca="1" ref="R55" ca="1">IF(OR((R$48&gt;=$AS$11:$AS$74)*(R$48&lt;=$AT$11:$AT$74)&gt;0),$B55,"")</f>
        <v/>
      </c>
      <c r="S55" s="84" t="str">
        <f t="array" aca="1" ref="S55" ca="1">IF(OR((S$48&gt;=$AS$11:$AS$74)*(S$48&lt;=$AT$11:$AT$74)&gt;0),$B55,"")</f>
        <v/>
      </c>
      <c r="T55" s="84" t="str">
        <f t="array" aca="1" ref="T55" ca="1">IF(OR((T$48&gt;=$AS$11:$AS$74)*(T$48&lt;=$AT$11:$AT$74)&gt;0),$B55,"")</f>
        <v/>
      </c>
      <c r="U55" s="84" t="str">
        <f t="array" aca="1" ref="U55" ca="1">IF(OR((U$48&gt;=$AS$11:$AS$74)*(U$48&lt;=$AT$11:$AT$74)&gt;0),$B55,"")</f>
        <v/>
      </c>
      <c r="V55" s="84" t="str">
        <f t="array" aca="1" ref="V55" ca="1">IF(OR((V$48&gt;=$AS$11:$AS$74)*(V$48&lt;=$AT$11:$AT$74)&gt;0),$B55,"")</f>
        <v/>
      </c>
      <c r="W55" s="84" t="str">
        <f t="array" aca="1" ref="W55" ca="1">IF(OR((W$48&gt;=$AS$11:$AS$74)*(W$48&lt;=$AT$11:$AT$74)&gt;0),$B55,"")</f>
        <v/>
      </c>
      <c r="X55" s="84" t="str">
        <f t="array" aca="1" ref="X55" ca="1">IF(OR((X$48&gt;=$AS$11:$AS$74)*(X$48&lt;=$AT$11:$AT$74)&gt;0),$B55,"")</f>
        <v/>
      </c>
      <c r="Y55" s="84" t="str">
        <f t="array" aca="1" ref="Y55" ca="1">IF(OR((Y$48&gt;=$AS$11:$AS$74)*(Y$48&lt;=$AT$11:$AT$74)&gt;0),$B55,"")</f>
        <v/>
      </c>
      <c r="Z55" s="84" t="str">
        <f t="array" aca="1" ref="Z55" ca="1">IF(OR((Z$48&gt;=$AS$11:$AS$74)*(Z$48&lt;=$AT$11:$AT$74)&gt;0),$B55,"")</f>
        <v/>
      </c>
      <c r="AA55" s="84" t="str">
        <f t="array" aca="1" ref="AA55" ca="1">IF(OR((AA$48&gt;=$AS$11:$AS$74)*(AA$48&lt;=$AT$11:$AT$74)&gt;0),$B55,"")</f>
        <v/>
      </c>
      <c r="AB55" s="84" t="str">
        <f t="array" aca="1" ref="AB55" ca="1">IF(OR((AB$48&gt;=$AS$11:$AS$74)*(AB$48&lt;=$AT$11:$AT$74)&gt;0),$B55,"")</f>
        <v/>
      </c>
      <c r="AC55" s="84" t="str">
        <f t="array" aca="1" ref="AC55" ca="1">IF(OR((AC$48&gt;=$AS$11:$AS$74)*(AC$48&lt;=$AT$11:$AT$74)&gt;0),$B55,"")</f>
        <v/>
      </c>
      <c r="AD55" s="84" t="str">
        <f t="array" aca="1" ref="AD55" ca="1">IF(OR((AD$48&gt;=$AS$11:$AS$74)*(AD$48&lt;=$AT$11:$AT$74)&gt;0),$B55,"")</f>
        <v/>
      </c>
      <c r="AE55" s="84" t="str">
        <f t="array" aca="1" ref="AE55" ca="1">IF(OR((AE$48&gt;=$AS$11:$AS$74)*(AE$48&lt;=$AT$11:$AT$74)&gt;0),$B55,"")</f>
        <v/>
      </c>
      <c r="AF55" s="84" t="str">
        <f t="array" aca="1" ref="AF55" ca="1">IF(OR((AF$48&gt;=$AS$11:$AS$74)*(AF$48&lt;=$AT$11:$AT$74)&gt;0),$B55,"")</f>
        <v/>
      </c>
      <c r="AG55" s="84" t="str">
        <f t="array" aca="1" ref="AG55" ca="1">IF(OR((AG$48&gt;=$AS$11:$AS$74)*(AG$48&lt;=$AT$11:$AT$74)&gt;0),$B55,"")</f>
        <v/>
      </c>
      <c r="AH55" s="84" t="str">
        <f t="array" aca="1" ref="AH55" ca="1">IF(OR((AH$48&gt;=$AS$11:$AS$74)*(AH$48&lt;=$AT$11:$AT$74)&gt;0),$B55,"")</f>
        <v/>
      </c>
      <c r="AI55" s="84" t="str">
        <f t="array" aca="1" ref="AI55" ca="1">IF(OR((AI$48&gt;=$AS$11:$AS$74)*(AI$48&lt;=$AT$11:$AT$74)&gt;0),$B55,"")</f>
        <v/>
      </c>
      <c r="AJ55" s="85"/>
    </row>
    <row r="56" spans="1:71" hidden="1">
      <c r="A56" s="75" t="s">
        <v>165</v>
      </c>
      <c r="B56" s="74">
        <v>24</v>
      </c>
      <c r="C56" s="84" t="str">
        <f t="array" aca="1" ref="C56" ca="1">IF(OR((C$48&gt;=$AS$11:$AS$74)*(C$48&lt;=$AT$11:$AT$74)&gt;0),$B56,"")</f>
        <v/>
      </c>
      <c r="D56" s="84" t="str">
        <f t="array" aca="1" ref="D56" ca="1">IF(OR((D$48&gt;=$AS$11:$AS$74)*(D$48&lt;=$AT$11:$AT$74)&gt;0),$B56,"")</f>
        <v/>
      </c>
      <c r="E56" s="84" t="str">
        <f t="array" aca="1" ref="E56" ca="1">IF(OR((E$48&gt;=$AS$11:$AS$74)*(E$48&lt;=$AT$11:$AT$74)&gt;0),$B56,"")</f>
        <v/>
      </c>
      <c r="F56" s="84" t="str">
        <f t="array" aca="1" ref="F56" ca="1">IF(OR((F$48&gt;=$AS$11:$AS$74)*(F$48&lt;=$AT$11:$AT$74)&gt;0),$B56,"")</f>
        <v/>
      </c>
      <c r="G56" s="84" t="str">
        <f t="array" aca="1" ref="G56" ca="1">IF(OR((G$48&gt;=$AS$11:$AS$74)*(G$48&lt;=$AT$11:$AT$74)&gt;0),$B56,"")</f>
        <v/>
      </c>
      <c r="H56" s="84" t="str">
        <f t="array" aca="1" ref="H56" ca="1">IF(OR((H$48&gt;=$AS$11:$AS$74)*(H$48&lt;=$AT$11:$AT$74)&gt;0),$B56,"")</f>
        <v/>
      </c>
      <c r="I56" s="84" t="str">
        <f t="array" aca="1" ref="I56" ca="1">IF(OR((I$48&gt;=$AS$11:$AS$74)*(I$48&lt;=$AT$11:$AT$74)&gt;0),$B56,"")</f>
        <v/>
      </c>
      <c r="J56" s="84" t="str">
        <f t="array" aca="1" ref="J56" ca="1">IF(OR((J$48&gt;=$AS$11:$AS$74)*(J$48&lt;=$AT$11:$AT$74)&gt;0),$B56,"")</f>
        <v/>
      </c>
      <c r="K56" s="84" t="str">
        <f t="array" aca="1" ref="K56" ca="1">IF(OR((K$48&gt;=$AS$11:$AS$74)*(K$48&lt;=$AT$11:$AT$74)&gt;0),$B56,"")</f>
        <v/>
      </c>
      <c r="L56" s="84" t="str">
        <f t="array" aca="1" ref="L56" ca="1">IF(OR((L$48&gt;=$AS$11:$AS$74)*(L$48&lt;=$AT$11:$AT$74)&gt;0),$B56,"")</f>
        <v/>
      </c>
      <c r="M56" s="84" t="str">
        <f t="array" aca="1" ref="M56" ca="1">IF(OR((M$48&gt;=$AS$11:$AS$74)*(M$48&lt;=$AT$11:$AT$74)&gt;0),$B56,"")</f>
        <v/>
      </c>
      <c r="N56" s="84" t="str">
        <f t="array" aca="1" ref="N56" ca="1">IF(OR((N$48&gt;=$AS$11:$AS$74)*(N$48&lt;=$AT$11:$AT$74)&gt;0),$B56,"")</f>
        <v/>
      </c>
      <c r="O56" s="84" t="str">
        <f t="array" aca="1" ref="O56" ca="1">IF(OR((O$48&gt;=$AS$11:$AS$74)*(O$48&lt;=$AT$11:$AT$74)&gt;0),$B56,"")</f>
        <v/>
      </c>
      <c r="P56" s="84" t="str">
        <f t="array" aca="1" ref="P56" ca="1">IF(OR((P$48&gt;=$AS$11:$AS$74)*(P$48&lt;=$AT$11:$AT$74)&gt;0),$B56,"")</f>
        <v/>
      </c>
      <c r="Q56" s="84" t="str">
        <f t="array" aca="1" ref="Q56" ca="1">IF(OR((Q$48&gt;=$AS$11:$AS$74)*(Q$48&lt;=$AT$11:$AT$74)&gt;0),$B56,"")</f>
        <v/>
      </c>
      <c r="R56" s="84" t="str">
        <f t="array" aca="1" ref="R56" ca="1">IF(OR((R$48&gt;=$AS$11:$AS$74)*(R$48&lt;=$AT$11:$AT$74)&gt;0),$B56,"")</f>
        <v/>
      </c>
      <c r="S56" s="84" t="str">
        <f t="array" aca="1" ref="S56" ca="1">IF(OR((S$48&gt;=$AS$11:$AS$74)*(S$48&lt;=$AT$11:$AT$74)&gt;0),$B56,"")</f>
        <v/>
      </c>
      <c r="T56" s="84" t="str">
        <f t="array" aca="1" ref="T56" ca="1">IF(OR((T$48&gt;=$AS$11:$AS$74)*(T$48&lt;=$AT$11:$AT$74)&gt;0),$B56,"")</f>
        <v/>
      </c>
      <c r="U56" s="84" t="str">
        <f t="array" aca="1" ref="U56" ca="1">IF(OR((U$48&gt;=$AS$11:$AS$74)*(U$48&lt;=$AT$11:$AT$74)&gt;0),$B56,"")</f>
        <v/>
      </c>
      <c r="V56" s="84" t="str">
        <f t="array" aca="1" ref="V56" ca="1">IF(OR((V$48&gt;=$AS$11:$AS$74)*(V$48&lt;=$AT$11:$AT$74)&gt;0),$B56,"")</f>
        <v/>
      </c>
      <c r="W56" s="84" t="str">
        <f t="array" aca="1" ref="W56" ca="1">IF(OR((W$48&gt;=$AS$11:$AS$74)*(W$48&lt;=$AT$11:$AT$74)&gt;0),$B56,"")</f>
        <v/>
      </c>
      <c r="X56" s="84" t="str">
        <f t="array" aca="1" ref="X56" ca="1">IF(OR((X$48&gt;=$AS$11:$AS$74)*(X$48&lt;=$AT$11:$AT$74)&gt;0),$B56,"")</f>
        <v/>
      </c>
      <c r="Y56" s="84" t="str">
        <f t="array" aca="1" ref="Y56" ca="1">IF(OR((Y$48&gt;=$AS$11:$AS$74)*(Y$48&lt;=$AT$11:$AT$74)&gt;0),$B56,"")</f>
        <v/>
      </c>
      <c r="Z56" s="84" t="str">
        <f t="array" aca="1" ref="Z56" ca="1">IF(OR((Z$48&gt;=$AS$11:$AS$74)*(Z$48&lt;=$AT$11:$AT$74)&gt;0),$B56,"")</f>
        <v/>
      </c>
      <c r="AA56" s="84" t="str">
        <f t="array" aca="1" ref="AA56" ca="1">IF(OR((AA$48&gt;=$AS$11:$AS$74)*(AA$48&lt;=$AT$11:$AT$74)&gt;0),$B56,"")</f>
        <v/>
      </c>
      <c r="AB56" s="84" t="str">
        <f t="array" aca="1" ref="AB56" ca="1">IF(OR((AB$48&gt;=$AS$11:$AS$74)*(AB$48&lt;=$AT$11:$AT$74)&gt;0),$B56,"")</f>
        <v/>
      </c>
      <c r="AC56" s="84" t="str">
        <f t="array" aca="1" ref="AC56" ca="1">IF(OR((AC$48&gt;=$AS$11:$AS$74)*(AC$48&lt;=$AT$11:$AT$74)&gt;0),$B56,"")</f>
        <v/>
      </c>
      <c r="AD56" s="84" t="str">
        <f t="array" aca="1" ref="AD56" ca="1">IF(OR((AD$48&gt;=$AS$11:$AS$74)*(AD$48&lt;=$AT$11:$AT$74)&gt;0),$B56,"")</f>
        <v/>
      </c>
      <c r="AE56" s="84" t="str">
        <f t="array" aca="1" ref="AE56" ca="1">IF(OR((AE$48&gt;=$AS$11:$AS$74)*(AE$48&lt;=$AT$11:$AT$74)&gt;0),$B56,"")</f>
        <v/>
      </c>
      <c r="AF56" s="84" t="str">
        <f t="array" aca="1" ref="AF56" ca="1">IF(OR((AF$48&gt;=$AS$11:$AS$74)*(AF$48&lt;=$AT$11:$AT$74)&gt;0),$B56,"")</f>
        <v/>
      </c>
      <c r="AG56" s="84" t="str">
        <f t="array" aca="1" ref="AG56" ca="1">IF(OR((AG$48&gt;=$AS$11:$AS$74)*(AG$48&lt;=$AT$11:$AT$74)&gt;0),$B56,"")</f>
        <v/>
      </c>
      <c r="AH56" s="84" t="str">
        <f t="array" aca="1" ref="AH56" ca="1">IF(OR((AH$48&gt;=$AS$11:$AS$74)*(AH$48&lt;=$AT$11:$AT$74)&gt;0),$B56,"")</f>
        <v/>
      </c>
      <c r="AI56" s="84" t="str">
        <f t="array" aca="1" ref="AI56" ca="1">IF(OR((AI$48&gt;=$AS$11:$AS$74)*(AI$48&lt;=$AT$11:$AT$74)&gt;0),$B56,"")</f>
        <v/>
      </c>
      <c r="AJ56" s="85"/>
    </row>
    <row r="57" spans="1:71" hidden="1">
      <c r="A57" s="75" t="s">
        <v>166</v>
      </c>
      <c r="B57" s="74">
        <v>24</v>
      </c>
      <c r="C57" s="84" t="str">
        <f t="array" aca="1" ref="C57" ca="1">IF(OR((C$48&gt;=$AS$11:$AS$74)*(C$48&lt;=$AT$11:$AT$74)&gt;0),$B57,"")</f>
        <v/>
      </c>
      <c r="D57" s="84" t="str">
        <f t="array" aca="1" ref="D57" ca="1">IF(OR((D$48&gt;=$AS$11:$AS$74)*(D$48&lt;=$AT$11:$AT$74)&gt;0),$B57,"")</f>
        <v/>
      </c>
      <c r="E57" s="84" t="str">
        <f t="array" aca="1" ref="E57" ca="1">IF(OR((E$48&gt;=$AS$11:$AS$74)*(E$48&lt;=$AT$11:$AT$74)&gt;0),$B57,"")</f>
        <v/>
      </c>
      <c r="F57" s="84" t="str">
        <f t="array" aca="1" ref="F57" ca="1">IF(OR((F$48&gt;=$AS$11:$AS$74)*(F$48&lt;=$AT$11:$AT$74)&gt;0),$B57,"")</f>
        <v/>
      </c>
      <c r="G57" s="84" t="str">
        <f t="array" aca="1" ref="G57" ca="1">IF(OR((G$48&gt;=$AS$11:$AS$74)*(G$48&lt;=$AT$11:$AT$74)&gt;0),$B57,"")</f>
        <v/>
      </c>
      <c r="H57" s="84" t="str">
        <f t="array" aca="1" ref="H57" ca="1">IF(OR((H$48&gt;=$AS$11:$AS$74)*(H$48&lt;=$AT$11:$AT$74)&gt;0),$B57,"")</f>
        <v/>
      </c>
      <c r="I57" s="84" t="str">
        <f t="array" aca="1" ref="I57" ca="1">IF(OR((I$48&gt;=$AS$11:$AS$74)*(I$48&lt;=$AT$11:$AT$74)&gt;0),$B57,"")</f>
        <v/>
      </c>
      <c r="J57" s="84" t="str">
        <f t="array" aca="1" ref="J57" ca="1">IF(OR((J$48&gt;=$AS$11:$AS$74)*(J$48&lt;=$AT$11:$AT$74)&gt;0),$B57,"")</f>
        <v/>
      </c>
      <c r="K57" s="84" t="str">
        <f t="array" aca="1" ref="K57" ca="1">IF(OR((K$48&gt;=$AS$11:$AS$74)*(K$48&lt;=$AT$11:$AT$74)&gt;0),$B57,"")</f>
        <v/>
      </c>
      <c r="L57" s="84" t="str">
        <f t="array" aca="1" ref="L57" ca="1">IF(OR((L$48&gt;=$AS$11:$AS$74)*(L$48&lt;=$AT$11:$AT$74)&gt;0),$B57,"")</f>
        <v/>
      </c>
      <c r="M57" s="84" t="str">
        <f t="array" aca="1" ref="M57" ca="1">IF(OR((M$48&gt;=$AS$11:$AS$74)*(M$48&lt;=$AT$11:$AT$74)&gt;0),$B57,"")</f>
        <v/>
      </c>
      <c r="N57" s="84" t="str">
        <f t="array" aca="1" ref="N57" ca="1">IF(OR((N$48&gt;=$AS$11:$AS$74)*(N$48&lt;=$AT$11:$AT$74)&gt;0),$B57,"")</f>
        <v/>
      </c>
      <c r="O57" s="84" t="str">
        <f t="array" aca="1" ref="O57" ca="1">IF(OR((O$48&gt;=$AS$11:$AS$74)*(O$48&lt;=$AT$11:$AT$74)&gt;0),$B57,"")</f>
        <v/>
      </c>
      <c r="P57" s="84" t="str">
        <f t="array" aca="1" ref="P57" ca="1">IF(OR((P$48&gt;=$AS$11:$AS$74)*(P$48&lt;=$AT$11:$AT$74)&gt;0),$B57,"")</f>
        <v/>
      </c>
      <c r="Q57" s="84" t="str">
        <f t="array" aca="1" ref="Q57" ca="1">IF(OR((Q$48&gt;=$AS$11:$AS$74)*(Q$48&lt;=$AT$11:$AT$74)&gt;0),$B57,"")</f>
        <v/>
      </c>
      <c r="R57" s="84" t="str">
        <f t="array" aca="1" ref="R57" ca="1">IF(OR((R$48&gt;=$AS$11:$AS$74)*(R$48&lt;=$AT$11:$AT$74)&gt;0),$B57,"")</f>
        <v/>
      </c>
      <c r="S57" s="84" t="str">
        <f t="array" aca="1" ref="S57" ca="1">IF(OR((S$48&gt;=$AS$11:$AS$74)*(S$48&lt;=$AT$11:$AT$74)&gt;0),$B57,"")</f>
        <v/>
      </c>
      <c r="T57" s="84" t="str">
        <f t="array" aca="1" ref="T57" ca="1">IF(OR((T$48&gt;=$AS$11:$AS$74)*(T$48&lt;=$AT$11:$AT$74)&gt;0),$B57,"")</f>
        <v/>
      </c>
      <c r="U57" s="84" t="str">
        <f t="array" aca="1" ref="U57" ca="1">IF(OR((U$48&gt;=$AS$11:$AS$74)*(U$48&lt;=$AT$11:$AT$74)&gt;0),$B57,"")</f>
        <v/>
      </c>
      <c r="V57" s="84" t="str">
        <f t="array" aca="1" ref="V57" ca="1">IF(OR((V$48&gt;=$AS$11:$AS$74)*(V$48&lt;=$AT$11:$AT$74)&gt;0),$B57,"")</f>
        <v/>
      </c>
      <c r="W57" s="84" t="str">
        <f t="array" aca="1" ref="W57" ca="1">IF(OR((W$48&gt;=$AS$11:$AS$74)*(W$48&lt;=$AT$11:$AT$74)&gt;0),$B57,"")</f>
        <v/>
      </c>
      <c r="X57" s="84" t="str">
        <f t="array" aca="1" ref="X57" ca="1">IF(OR((X$48&gt;=$AS$11:$AS$74)*(X$48&lt;=$AT$11:$AT$74)&gt;0),$B57,"")</f>
        <v/>
      </c>
      <c r="Y57" s="84" t="str">
        <f t="array" aca="1" ref="Y57" ca="1">IF(OR((Y$48&gt;=$AS$11:$AS$74)*(Y$48&lt;=$AT$11:$AT$74)&gt;0),$B57,"")</f>
        <v/>
      </c>
      <c r="Z57" s="84" t="str">
        <f t="array" aca="1" ref="Z57" ca="1">IF(OR((Z$48&gt;=$AS$11:$AS$74)*(Z$48&lt;=$AT$11:$AT$74)&gt;0),$B57,"")</f>
        <v/>
      </c>
      <c r="AA57" s="84" t="str">
        <f t="array" aca="1" ref="AA57" ca="1">IF(OR((AA$48&gt;=$AS$11:$AS$74)*(AA$48&lt;=$AT$11:$AT$74)&gt;0),$B57,"")</f>
        <v/>
      </c>
      <c r="AB57" s="84" t="str">
        <f t="array" aca="1" ref="AB57" ca="1">IF(OR((AB$48&gt;=$AS$11:$AS$74)*(AB$48&lt;=$AT$11:$AT$74)&gt;0),$B57,"")</f>
        <v/>
      </c>
      <c r="AC57" s="84" t="str">
        <f t="array" aca="1" ref="AC57" ca="1">IF(OR((AC$48&gt;=$AS$11:$AS$74)*(AC$48&lt;=$AT$11:$AT$74)&gt;0),$B57,"")</f>
        <v/>
      </c>
      <c r="AD57" s="84" t="str">
        <f t="array" aca="1" ref="AD57" ca="1">IF(OR((AD$48&gt;=$AS$11:$AS$74)*(AD$48&lt;=$AT$11:$AT$74)&gt;0),$B57,"")</f>
        <v/>
      </c>
      <c r="AE57" s="84" t="str">
        <f t="array" aca="1" ref="AE57" ca="1">IF(OR((AE$48&gt;=$AS$11:$AS$74)*(AE$48&lt;=$AT$11:$AT$74)&gt;0),$B57,"")</f>
        <v/>
      </c>
      <c r="AF57" s="84" t="str">
        <f t="array" aca="1" ref="AF57" ca="1">IF(OR((AF$48&gt;=$AS$11:$AS$74)*(AF$48&lt;=$AT$11:$AT$74)&gt;0),$B57,"")</f>
        <v/>
      </c>
      <c r="AG57" s="84" t="str">
        <f t="array" aca="1" ref="AG57" ca="1">IF(OR((AG$48&gt;=$AS$11:$AS$74)*(AG$48&lt;=$AT$11:$AT$74)&gt;0),$B57,"")</f>
        <v/>
      </c>
      <c r="AH57" s="84" t="str">
        <f t="array" aca="1" ref="AH57" ca="1">IF(OR((AH$48&gt;=$AS$11:$AS$74)*(AH$48&lt;=$AT$11:$AT$74)&gt;0),$B57,"")</f>
        <v/>
      </c>
      <c r="AI57" s="84" t="str">
        <f t="array" aca="1" ref="AI57" ca="1">IF(OR((AI$48&gt;=$AS$11:$AS$74)*(AI$48&lt;=$AT$11:$AT$74)&gt;0),$B57,"")</f>
        <v/>
      </c>
      <c r="AJ57" s="85"/>
    </row>
    <row r="58" spans="1:71" hidden="1">
      <c r="A58" s="8"/>
      <c r="B58" s="12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85"/>
    </row>
    <row r="59" spans="1:71" hidden="1">
      <c r="A59" s="7" t="s">
        <v>90</v>
      </c>
      <c r="B59" s="1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5"/>
      <c r="BG59" s="113"/>
      <c r="BH59" s="113"/>
      <c r="BI59" s="113"/>
      <c r="BJ59" s="113"/>
      <c r="BK59" s="113"/>
      <c r="BL59" s="113"/>
      <c r="BM59" s="113"/>
      <c r="BN59" s="113"/>
      <c r="BO59" s="113"/>
      <c r="BP59" s="113"/>
      <c r="BQ59" s="113"/>
      <c r="BR59" s="113"/>
      <c r="BS59" s="113"/>
    </row>
    <row r="60" spans="1:71" hidden="1">
      <c r="A60" s="75"/>
      <c r="B60" s="11" t="s">
        <v>154</v>
      </c>
      <c r="C60" s="112">
        <f>EOMONTH($A$1,-1)</f>
        <v>45016</v>
      </c>
      <c r="D60" s="112">
        <f t="shared" ref="D60:AI60" si="3">C60+1</f>
        <v>45017</v>
      </c>
      <c r="E60" s="112">
        <f t="shared" si="3"/>
        <v>45018</v>
      </c>
      <c r="F60" s="112">
        <f t="shared" si="3"/>
        <v>45019</v>
      </c>
      <c r="G60" s="112">
        <f t="shared" si="3"/>
        <v>45020</v>
      </c>
      <c r="H60" s="112">
        <f t="shared" si="3"/>
        <v>45021</v>
      </c>
      <c r="I60" s="112">
        <f t="shared" si="3"/>
        <v>45022</v>
      </c>
      <c r="J60" s="112">
        <f t="shared" si="3"/>
        <v>45023</v>
      </c>
      <c r="K60" s="112">
        <f t="shared" si="3"/>
        <v>45024</v>
      </c>
      <c r="L60" s="112">
        <f t="shared" si="3"/>
        <v>45025</v>
      </c>
      <c r="M60" s="112">
        <f t="shared" si="3"/>
        <v>45026</v>
      </c>
      <c r="N60" s="112">
        <f t="shared" si="3"/>
        <v>45027</v>
      </c>
      <c r="O60" s="112">
        <f t="shared" si="3"/>
        <v>45028</v>
      </c>
      <c r="P60" s="112">
        <f t="shared" si="3"/>
        <v>45029</v>
      </c>
      <c r="Q60" s="112">
        <f t="shared" si="3"/>
        <v>45030</v>
      </c>
      <c r="R60" s="112">
        <f t="shared" si="3"/>
        <v>45031</v>
      </c>
      <c r="S60" s="112">
        <f t="shared" si="3"/>
        <v>45032</v>
      </c>
      <c r="T60" s="112">
        <f t="shared" si="3"/>
        <v>45033</v>
      </c>
      <c r="U60" s="112">
        <f t="shared" si="3"/>
        <v>45034</v>
      </c>
      <c r="V60" s="112">
        <f t="shared" si="3"/>
        <v>45035</v>
      </c>
      <c r="W60" s="112">
        <f t="shared" si="3"/>
        <v>45036</v>
      </c>
      <c r="X60" s="112">
        <f t="shared" si="3"/>
        <v>45037</v>
      </c>
      <c r="Y60" s="112">
        <f t="shared" si="3"/>
        <v>45038</v>
      </c>
      <c r="Z60" s="112">
        <f t="shared" si="3"/>
        <v>45039</v>
      </c>
      <c r="AA60" s="112">
        <f t="shared" si="3"/>
        <v>45040</v>
      </c>
      <c r="AB60" s="112">
        <f t="shared" si="3"/>
        <v>45041</v>
      </c>
      <c r="AC60" s="112">
        <f t="shared" si="3"/>
        <v>45042</v>
      </c>
      <c r="AD60" s="112">
        <f t="shared" si="3"/>
        <v>45043</v>
      </c>
      <c r="AE60" s="112">
        <f t="shared" si="3"/>
        <v>45044</v>
      </c>
      <c r="AF60" s="112">
        <f t="shared" si="3"/>
        <v>45045</v>
      </c>
      <c r="AG60" s="112">
        <f t="shared" si="3"/>
        <v>45046</v>
      </c>
      <c r="AH60" s="112">
        <f t="shared" si="3"/>
        <v>45047</v>
      </c>
      <c r="AI60" s="112">
        <f t="shared" si="3"/>
        <v>45048</v>
      </c>
      <c r="AJ60" s="85"/>
      <c r="BG60" s="113"/>
      <c r="BH60" s="113"/>
      <c r="BI60" s="113"/>
      <c r="BJ60" s="113"/>
      <c r="BK60" s="113"/>
      <c r="BL60" s="113"/>
      <c r="BM60" s="113"/>
      <c r="BN60" s="113"/>
      <c r="BO60" s="113"/>
      <c r="BP60" s="113"/>
      <c r="BQ60" s="113"/>
      <c r="BR60" s="113"/>
      <c r="BS60" s="113"/>
    </row>
    <row r="61" spans="1:71" hidden="1">
      <c r="A61" s="75" t="s">
        <v>167</v>
      </c>
      <c r="B61" s="74">
        <v>12</v>
      </c>
      <c r="C61" s="84" t="str">
        <f t="array" aca="1" ref="C61" ca="1">IF(OR((C$60&gt;=$AU$11:$AU$74)*(C$48&lt;=$AV$11:$AV$74)&gt;0),$B61,"")</f>
        <v/>
      </c>
      <c r="D61" s="84" t="str">
        <f t="array" aca="1" ref="D61" ca="1">IF(OR((D$60&gt;=$AU$11:$AU$74)*(D$48&lt;=$AV$11:$AV$74)&gt;0),$B61,"")</f>
        <v/>
      </c>
      <c r="E61" s="84" t="str">
        <f t="array" aca="1" ref="E61" ca="1">IF(OR((E$60&gt;=$AU$11:$AU$74)*(E$48&lt;=$AV$11:$AV$74)&gt;0),$B61,"")</f>
        <v/>
      </c>
      <c r="F61" s="84" t="str">
        <f t="array" aca="1" ref="F61" ca="1">IF(OR((F$60&gt;=$AU$11:$AU$74)*(F$48&lt;=$AV$11:$AV$74)&gt;0),$B61,"")</f>
        <v/>
      </c>
      <c r="G61" s="84" t="str">
        <f t="array" aca="1" ref="G61" ca="1">IF(OR((G$60&gt;=$AU$11:$AU$74)*(G$48&lt;=$AV$11:$AV$74)&gt;0),$B61,"")</f>
        <v/>
      </c>
      <c r="H61" s="84" t="str">
        <f t="array" aca="1" ref="H61" ca="1">IF(OR((H$60&gt;=$AU$11:$AU$74)*(H$48&lt;=$AV$11:$AV$74)&gt;0),$B61,"")</f>
        <v/>
      </c>
      <c r="I61" s="84" t="str">
        <f t="array" aca="1" ref="I61" ca="1">IF(OR((I$60&gt;=$AU$11:$AU$74)*(I$48&lt;=$AV$11:$AV$74)&gt;0),$B61,"")</f>
        <v/>
      </c>
      <c r="J61" s="84" t="str">
        <f t="array" aca="1" ref="J61" ca="1">IF(OR((J$60&gt;=$AU$11:$AU$74)*(J$48&lt;=$AV$11:$AV$74)&gt;0),$B61,"")</f>
        <v/>
      </c>
      <c r="K61" s="84" t="str">
        <f t="array" aca="1" ref="K61" ca="1">IF(OR((K$60&gt;=$AU$11:$AU$74)*(K$48&lt;=$AV$11:$AV$74)&gt;0),$B61,"")</f>
        <v/>
      </c>
      <c r="L61" s="84" t="str">
        <f t="array" aca="1" ref="L61" ca="1">IF(OR((L$60&gt;=$AU$11:$AU$74)*(L$48&lt;=$AV$11:$AV$74)&gt;0),$B61,"")</f>
        <v/>
      </c>
      <c r="M61" s="84" t="str">
        <f t="array" aca="1" ref="M61" ca="1">IF(OR((M$60&gt;=$AU$11:$AU$74)*(M$48&lt;=$AV$11:$AV$74)&gt;0),$B61,"")</f>
        <v/>
      </c>
      <c r="N61" s="84" t="str">
        <f t="array" aca="1" ref="N61" ca="1">IF(OR((N$60&gt;=$AU$11:$AU$74)*(N$48&lt;=$AV$11:$AV$74)&gt;0),$B61,"")</f>
        <v/>
      </c>
      <c r="O61" s="84" t="str">
        <f t="array" aca="1" ref="O61" ca="1">IF(OR((O$60&gt;=$AU$11:$AU$74)*(O$48&lt;=$AV$11:$AV$74)&gt;0),$B61,"")</f>
        <v/>
      </c>
      <c r="P61" s="84" t="str">
        <f t="array" aca="1" ref="P61" ca="1">IF(OR((P$60&gt;=$AU$11:$AU$74)*(P$48&lt;=$AV$11:$AV$74)&gt;0),$B61,"")</f>
        <v/>
      </c>
      <c r="Q61" s="84" t="str">
        <f t="array" aca="1" ref="Q61" ca="1">IF(OR((Q$60&gt;=$AU$11:$AU$74)*(Q$48&lt;=$AV$11:$AV$74)&gt;0),$B61,"")</f>
        <v/>
      </c>
      <c r="R61" s="84" t="str">
        <f t="array" aca="1" ref="R61" ca="1">IF(OR((R$60&gt;=$AU$11:$AU$74)*(R$48&lt;=$AV$11:$AV$74)&gt;0),$B61,"")</f>
        <v/>
      </c>
      <c r="S61" s="84" t="str">
        <f t="array" aca="1" ref="S61" ca="1">IF(OR((S$60&gt;=$AU$11:$AU$74)*(S$48&lt;=$AV$11:$AV$74)&gt;0),$B61,"")</f>
        <v/>
      </c>
      <c r="T61" s="84" t="str">
        <f t="array" aca="1" ref="T61" ca="1">IF(OR((T$60&gt;=$AU$11:$AU$74)*(T$48&lt;=$AV$11:$AV$74)&gt;0),$B61,"")</f>
        <v/>
      </c>
      <c r="U61" s="84" t="str">
        <f t="array" aca="1" ref="U61" ca="1">IF(OR((U$60&gt;=$AU$11:$AU$74)*(U$48&lt;=$AV$11:$AV$74)&gt;0),$B61,"")</f>
        <v/>
      </c>
      <c r="V61" s="84" t="str">
        <f t="array" aca="1" ref="V61" ca="1">IF(OR((V$60&gt;=$AU$11:$AU$74)*(V$48&lt;=$AV$11:$AV$74)&gt;0),$B61,"")</f>
        <v/>
      </c>
      <c r="W61" s="84" t="str">
        <f t="array" aca="1" ref="W61" ca="1">IF(OR((W$60&gt;=$AU$11:$AU$74)*(W$48&lt;=$AV$11:$AV$74)&gt;0),$B61,"")</f>
        <v/>
      </c>
      <c r="X61" s="84" t="str">
        <f t="array" aca="1" ref="X61" ca="1">IF(OR((X$60&gt;=$AU$11:$AU$74)*(X$48&lt;=$AV$11:$AV$74)&gt;0),$B61,"")</f>
        <v/>
      </c>
      <c r="Y61" s="84" t="str">
        <f t="array" aca="1" ref="Y61" ca="1">IF(OR((Y$60&gt;=$AU$11:$AU$74)*(Y$48&lt;=$AV$11:$AV$74)&gt;0),$B61,"")</f>
        <v/>
      </c>
      <c r="Z61" s="84" t="str">
        <f t="array" aca="1" ref="Z61" ca="1">IF(OR((Z$60&gt;=$AU$11:$AU$74)*(Z$48&lt;=$AV$11:$AV$74)&gt;0),$B61,"")</f>
        <v/>
      </c>
      <c r="AA61" s="84" t="str">
        <f t="array" aca="1" ref="AA61" ca="1">IF(OR((AA$60&gt;=$AU$11:$AU$74)*(AA$48&lt;=$AV$11:$AV$74)&gt;0),$B61,"")</f>
        <v/>
      </c>
      <c r="AB61" s="84" t="str">
        <f t="array" aca="1" ref="AB61" ca="1">IF(OR((AB$60&gt;=$AU$11:$AU$74)*(AB$48&lt;=$AV$11:$AV$74)&gt;0),$B61,"")</f>
        <v/>
      </c>
      <c r="AC61" s="84" t="str">
        <f t="array" aca="1" ref="AC61" ca="1">IF(OR((AC$60&gt;=$AU$11:$AU$74)*(AC$48&lt;=$AV$11:$AV$74)&gt;0),$B61,"")</f>
        <v/>
      </c>
      <c r="AD61" s="84" t="str">
        <f t="array" aca="1" ref="AD61" ca="1">IF(OR((AD$60&gt;=$AU$11:$AU$74)*(AD$48&lt;=$AV$11:$AV$74)&gt;0),$B61,"")</f>
        <v/>
      </c>
      <c r="AE61" s="84" t="str">
        <f t="array" aca="1" ref="AE61" ca="1">IF(OR((AE$60&gt;=$AU$11:$AU$74)*(AE$48&lt;=$AV$11:$AV$74)&gt;0),$B61,"")</f>
        <v/>
      </c>
      <c r="AF61" s="84" t="str">
        <f t="array" aca="1" ref="AF61" ca="1">IF(OR((AF$60&gt;=$AU$11:$AU$74)*(AF$48&lt;=$AV$11:$AV$74)&gt;0),$B61,"")</f>
        <v/>
      </c>
      <c r="AG61" s="84" t="str">
        <f t="array" aca="1" ref="AG61" ca="1">IF(OR((AG$60&gt;=$AU$11:$AU$74)*(AG$48&lt;=$AV$11:$AV$74)&gt;0),$B61,"")</f>
        <v/>
      </c>
      <c r="AH61" s="84" t="str">
        <f t="array" aca="1" ref="AH61" ca="1">IF(OR((AH$60&gt;=$AU$11:$AU$74)*(AH$48&lt;=$AV$11:$AV$74)&gt;0),$B61,"")</f>
        <v/>
      </c>
      <c r="AI61" s="84" t="str">
        <f t="array" aca="1" ref="AI61" ca="1">IF(OR((AI$60&gt;=$AU$11:$AU$74)*(AI$48&lt;=$AV$11:$AV$74)&gt;0),$B61,"")</f>
        <v/>
      </c>
      <c r="AJ61" s="85"/>
      <c r="BG61" s="113"/>
      <c r="BH61" s="113"/>
      <c r="BI61" s="113"/>
      <c r="BJ61" s="113"/>
      <c r="BK61" s="113"/>
      <c r="BL61" s="113"/>
      <c r="BM61" s="113"/>
      <c r="BN61" s="113"/>
      <c r="BO61" s="113"/>
      <c r="BP61" s="113"/>
      <c r="BQ61" s="113"/>
      <c r="BR61" s="113"/>
      <c r="BS61" s="113"/>
    </row>
    <row r="62" spans="1:71" hidden="1">
      <c r="A62" s="75" t="s">
        <v>168</v>
      </c>
      <c r="B62" s="74">
        <v>12</v>
      </c>
      <c r="C62" s="84" t="str">
        <f t="array" aca="1" ref="C62" ca="1">IF(OR((C$60&gt;=$AU$11:$AU$74)*(C$48&lt;=$AV$11:$AV$74)&gt;0),$B62,"")</f>
        <v/>
      </c>
      <c r="D62" s="84" t="str">
        <f t="array" aca="1" ref="D62" ca="1">IF(OR((D$60&gt;=$AU$11:$AU$74)*(D$48&lt;=$AV$11:$AV$74)&gt;0),$B62,"")</f>
        <v/>
      </c>
      <c r="E62" s="84" t="str">
        <f t="array" aca="1" ref="E62" ca="1">IF(OR((E$60&gt;=$AU$11:$AU$74)*(E$48&lt;=$AV$11:$AV$74)&gt;0),$B62,"")</f>
        <v/>
      </c>
      <c r="F62" s="84" t="str">
        <f t="array" aca="1" ref="F62" ca="1">IF(OR((F$60&gt;=$AU$11:$AU$74)*(F$48&lt;=$AV$11:$AV$74)&gt;0),$B62,"")</f>
        <v/>
      </c>
      <c r="G62" s="84" t="str">
        <f t="array" aca="1" ref="G62" ca="1">IF(OR((G$60&gt;=$AU$11:$AU$74)*(G$48&lt;=$AV$11:$AV$74)&gt;0),$B62,"")</f>
        <v/>
      </c>
      <c r="H62" s="84" t="str">
        <f t="array" aca="1" ref="H62" ca="1">IF(OR((H$60&gt;=$AU$11:$AU$74)*(H$48&lt;=$AV$11:$AV$74)&gt;0),$B62,"")</f>
        <v/>
      </c>
      <c r="I62" s="84" t="str">
        <f t="array" aca="1" ref="I62" ca="1">IF(OR((I$60&gt;=$AU$11:$AU$74)*(I$48&lt;=$AV$11:$AV$74)&gt;0),$B62,"")</f>
        <v/>
      </c>
      <c r="J62" s="84" t="str">
        <f t="array" aca="1" ref="J62" ca="1">IF(OR((J$60&gt;=$AU$11:$AU$74)*(J$48&lt;=$AV$11:$AV$74)&gt;0),$B62,"")</f>
        <v/>
      </c>
      <c r="K62" s="84" t="str">
        <f t="array" aca="1" ref="K62" ca="1">IF(OR((K$60&gt;=$AU$11:$AU$74)*(K$48&lt;=$AV$11:$AV$74)&gt;0),$B62,"")</f>
        <v/>
      </c>
      <c r="L62" s="84" t="str">
        <f t="array" aca="1" ref="L62" ca="1">IF(OR((L$60&gt;=$AU$11:$AU$74)*(L$48&lt;=$AV$11:$AV$74)&gt;0),$B62,"")</f>
        <v/>
      </c>
      <c r="M62" s="84" t="str">
        <f t="array" aca="1" ref="M62" ca="1">IF(OR((M$60&gt;=$AU$11:$AU$74)*(M$48&lt;=$AV$11:$AV$74)&gt;0),$B62,"")</f>
        <v/>
      </c>
      <c r="N62" s="84" t="str">
        <f t="array" aca="1" ref="N62" ca="1">IF(OR((N$60&gt;=$AU$11:$AU$74)*(N$48&lt;=$AV$11:$AV$74)&gt;0),$B62,"")</f>
        <v/>
      </c>
      <c r="O62" s="84" t="str">
        <f t="array" aca="1" ref="O62" ca="1">IF(OR((O$60&gt;=$AU$11:$AU$74)*(O$48&lt;=$AV$11:$AV$74)&gt;0),$B62,"")</f>
        <v/>
      </c>
      <c r="P62" s="84" t="str">
        <f t="array" aca="1" ref="P62" ca="1">IF(OR((P$60&gt;=$AU$11:$AU$74)*(P$48&lt;=$AV$11:$AV$74)&gt;0),$B62,"")</f>
        <v/>
      </c>
      <c r="Q62" s="84" t="str">
        <f t="array" aca="1" ref="Q62" ca="1">IF(OR((Q$60&gt;=$AU$11:$AU$74)*(Q$48&lt;=$AV$11:$AV$74)&gt;0),$B62,"")</f>
        <v/>
      </c>
      <c r="R62" s="84" t="str">
        <f t="array" aca="1" ref="R62" ca="1">IF(OR((R$60&gt;=$AU$11:$AU$74)*(R$48&lt;=$AV$11:$AV$74)&gt;0),$B62,"")</f>
        <v/>
      </c>
      <c r="S62" s="84" t="str">
        <f t="array" aca="1" ref="S62" ca="1">IF(OR((S$60&gt;=$AU$11:$AU$74)*(S$48&lt;=$AV$11:$AV$74)&gt;0),$B62,"")</f>
        <v/>
      </c>
      <c r="T62" s="84" t="str">
        <f t="array" aca="1" ref="T62" ca="1">IF(OR((T$60&gt;=$AU$11:$AU$74)*(T$48&lt;=$AV$11:$AV$74)&gt;0),$B62,"")</f>
        <v/>
      </c>
      <c r="U62" s="84" t="str">
        <f t="array" aca="1" ref="U62" ca="1">IF(OR((U$60&gt;=$AU$11:$AU$74)*(U$48&lt;=$AV$11:$AV$74)&gt;0),$B62,"")</f>
        <v/>
      </c>
      <c r="V62" s="84" t="str">
        <f t="array" aca="1" ref="V62" ca="1">IF(OR((V$60&gt;=$AU$11:$AU$74)*(V$48&lt;=$AV$11:$AV$74)&gt;0),$B62,"")</f>
        <v/>
      </c>
      <c r="W62" s="84" t="str">
        <f t="array" aca="1" ref="W62" ca="1">IF(OR((W$60&gt;=$AU$11:$AU$74)*(W$48&lt;=$AV$11:$AV$74)&gt;0),$B62,"")</f>
        <v/>
      </c>
      <c r="X62" s="84" t="str">
        <f t="array" aca="1" ref="X62" ca="1">IF(OR((X$60&gt;=$AU$11:$AU$74)*(X$48&lt;=$AV$11:$AV$74)&gt;0),$B62,"")</f>
        <v/>
      </c>
      <c r="Y62" s="84" t="str">
        <f t="array" aca="1" ref="Y62" ca="1">IF(OR((Y$60&gt;=$AU$11:$AU$74)*(Y$48&lt;=$AV$11:$AV$74)&gt;0),$B62,"")</f>
        <v/>
      </c>
      <c r="Z62" s="84" t="str">
        <f t="array" aca="1" ref="Z62" ca="1">IF(OR((Z$60&gt;=$AU$11:$AU$74)*(Z$48&lt;=$AV$11:$AV$74)&gt;0),$B62,"")</f>
        <v/>
      </c>
      <c r="AA62" s="84" t="str">
        <f t="array" aca="1" ref="AA62" ca="1">IF(OR((AA$60&gt;=$AU$11:$AU$74)*(AA$48&lt;=$AV$11:$AV$74)&gt;0),$B62,"")</f>
        <v/>
      </c>
      <c r="AB62" s="84" t="str">
        <f t="array" aca="1" ref="AB62" ca="1">IF(OR((AB$60&gt;=$AU$11:$AU$74)*(AB$48&lt;=$AV$11:$AV$74)&gt;0),$B62,"")</f>
        <v/>
      </c>
      <c r="AC62" s="84" t="str">
        <f t="array" aca="1" ref="AC62" ca="1">IF(OR((AC$60&gt;=$AU$11:$AU$74)*(AC$48&lt;=$AV$11:$AV$74)&gt;0),$B62,"")</f>
        <v/>
      </c>
      <c r="AD62" s="84" t="str">
        <f t="array" aca="1" ref="AD62" ca="1">IF(OR((AD$60&gt;=$AU$11:$AU$74)*(AD$48&lt;=$AV$11:$AV$74)&gt;0),$B62,"")</f>
        <v/>
      </c>
      <c r="AE62" s="84" t="str">
        <f t="array" aca="1" ref="AE62" ca="1">IF(OR((AE$60&gt;=$AU$11:$AU$74)*(AE$48&lt;=$AV$11:$AV$74)&gt;0),$B62,"")</f>
        <v/>
      </c>
      <c r="AF62" s="84" t="str">
        <f t="array" aca="1" ref="AF62" ca="1">IF(OR((AF$60&gt;=$AU$11:$AU$74)*(AF$48&lt;=$AV$11:$AV$74)&gt;0),$B62,"")</f>
        <v/>
      </c>
      <c r="AG62" s="84" t="str">
        <f t="array" aca="1" ref="AG62" ca="1">IF(OR((AG$60&gt;=$AU$11:$AU$74)*(AG$48&lt;=$AV$11:$AV$74)&gt;0),$B62,"")</f>
        <v/>
      </c>
      <c r="AH62" s="84" t="str">
        <f t="array" aca="1" ref="AH62" ca="1">IF(OR((AH$60&gt;=$AU$11:$AU$74)*(AH$48&lt;=$AV$11:$AV$74)&gt;0),$B62,"")</f>
        <v/>
      </c>
      <c r="AI62" s="84" t="str">
        <f t="array" aca="1" ref="AI62" ca="1">IF(OR((AI$60&gt;=$AU$11:$AU$74)*(AI$48&lt;=$AV$11:$AV$74)&gt;0),$B62,"")</f>
        <v/>
      </c>
      <c r="AJ62" s="85"/>
      <c r="BG62" s="113"/>
      <c r="BH62" s="113"/>
      <c r="BI62" s="113"/>
      <c r="BJ62" s="113"/>
      <c r="BK62" s="113"/>
      <c r="BL62" s="113"/>
      <c r="BM62" s="113"/>
      <c r="BN62" s="113"/>
      <c r="BO62" s="113"/>
      <c r="BP62" s="113"/>
      <c r="BQ62" s="113"/>
      <c r="BR62" s="113"/>
      <c r="BS62" s="113"/>
    </row>
    <row r="63" spans="1:71" hidden="1">
      <c r="A63" s="75" t="s">
        <v>169</v>
      </c>
      <c r="B63" s="74">
        <v>4</v>
      </c>
      <c r="C63" s="84" t="str">
        <f t="array" aca="1" ref="C63" ca="1">IF(OR((C$60&gt;=$AU$11:$AU$74)*(C$48&lt;=$AV$11:$AV$74)&gt;0),$B63,"")</f>
        <v/>
      </c>
      <c r="D63" s="84" t="str">
        <f t="array" aca="1" ref="D63" ca="1">IF(OR((D$60&gt;=$AU$11:$AU$74)*(D$48&lt;=$AV$11:$AV$74)&gt;0),$B63,"")</f>
        <v/>
      </c>
      <c r="E63" s="84" t="str">
        <f t="array" aca="1" ref="E63" ca="1">IF(OR((E$60&gt;=$AU$11:$AU$74)*(E$48&lt;=$AV$11:$AV$74)&gt;0),$B63,"")</f>
        <v/>
      </c>
      <c r="F63" s="84" t="str">
        <f t="array" aca="1" ref="F63" ca="1">IF(OR((F$60&gt;=$AU$11:$AU$74)*(F$48&lt;=$AV$11:$AV$74)&gt;0),$B63,"")</f>
        <v/>
      </c>
      <c r="G63" s="84" t="str">
        <f t="array" aca="1" ref="G63" ca="1">IF(OR((G$60&gt;=$AU$11:$AU$74)*(G$48&lt;=$AV$11:$AV$74)&gt;0),$B63,"")</f>
        <v/>
      </c>
      <c r="H63" s="84" t="str">
        <f t="array" aca="1" ref="H63" ca="1">IF(OR((H$60&gt;=$AU$11:$AU$74)*(H$48&lt;=$AV$11:$AV$74)&gt;0),$B63,"")</f>
        <v/>
      </c>
      <c r="I63" s="84" t="str">
        <f t="array" aca="1" ref="I63" ca="1">IF(OR((I$60&gt;=$AU$11:$AU$74)*(I$48&lt;=$AV$11:$AV$74)&gt;0),$B63,"")</f>
        <v/>
      </c>
      <c r="J63" s="84" t="str">
        <f t="array" aca="1" ref="J63" ca="1">IF(OR((J$60&gt;=$AU$11:$AU$74)*(J$48&lt;=$AV$11:$AV$74)&gt;0),$B63,"")</f>
        <v/>
      </c>
      <c r="K63" s="84" t="str">
        <f t="array" aca="1" ref="K63" ca="1">IF(OR((K$60&gt;=$AU$11:$AU$74)*(K$48&lt;=$AV$11:$AV$74)&gt;0),$B63,"")</f>
        <v/>
      </c>
      <c r="L63" s="84" t="str">
        <f t="array" aca="1" ref="L63" ca="1">IF(OR((L$60&gt;=$AU$11:$AU$74)*(L$48&lt;=$AV$11:$AV$74)&gt;0),$B63,"")</f>
        <v/>
      </c>
      <c r="M63" s="84" t="str">
        <f t="array" aca="1" ref="M63" ca="1">IF(OR((M$60&gt;=$AU$11:$AU$74)*(M$48&lt;=$AV$11:$AV$74)&gt;0),$B63,"")</f>
        <v/>
      </c>
      <c r="N63" s="84" t="str">
        <f t="array" aca="1" ref="N63" ca="1">IF(OR((N$60&gt;=$AU$11:$AU$74)*(N$48&lt;=$AV$11:$AV$74)&gt;0),$B63,"")</f>
        <v/>
      </c>
      <c r="O63" s="84" t="str">
        <f t="array" aca="1" ref="O63" ca="1">IF(OR((O$60&gt;=$AU$11:$AU$74)*(O$48&lt;=$AV$11:$AV$74)&gt;0),$B63,"")</f>
        <v/>
      </c>
      <c r="P63" s="84" t="str">
        <f t="array" aca="1" ref="P63" ca="1">IF(OR((P$60&gt;=$AU$11:$AU$74)*(P$48&lt;=$AV$11:$AV$74)&gt;0),$B63,"")</f>
        <v/>
      </c>
      <c r="Q63" s="84" t="str">
        <f t="array" aca="1" ref="Q63" ca="1">IF(OR((Q$60&gt;=$AU$11:$AU$74)*(Q$48&lt;=$AV$11:$AV$74)&gt;0),$B63,"")</f>
        <v/>
      </c>
      <c r="R63" s="84" t="str">
        <f t="array" aca="1" ref="R63" ca="1">IF(OR((R$60&gt;=$AU$11:$AU$74)*(R$48&lt;=$AV$11:$AV$74)&gt;0),$B63,"")</f>
        <v/>
      </c>
      <c r="S63" s="84" t="str">
        <f t="array" aca="1" ref="S63" ca="1">IF(OR((S$60&gt;=$AU$11:$AU$74)*(S$48&lt;=$AV$11:$AV$74)&gt;0),$B63,"")</f>
        <v/>
      </c>
      <c r="T63" s="84" t="str">
        <f t="array" aca="1" ref="T63" ca="1">IF(OR((T$60&gt;=$AU$11:$AU$74)*(T$48&lt;=$AV$11:$AV$74)&gt;0),$B63,"")</f>
        <v/>
      </c>
      <c r="U63" s="84" t="str">
        <f t="array" aca="1" ref="U63" ca="1">IF(OR((U$60&gt;=$AU$11:$AU$74)*(U$48&lt;=$AV$11:$AV$74)&gt;0),$B63,"")</f>
        <v/>
      </c>
      <c r="V63" s="84" t="str">
        <f t="array" aca="1" ref="V63" ca="1">IF(OR((V$60&gt;=$AU$11:$AU$74)*(V$48&lt;=$AV$11:$AV$74)&gt;0),$B63,"")</f>
        <v/>
      </c>
      <c r="W63" s="84" t="str">
        <f t="array" aca="1" ref="W63" ca="1">IF(OR((W$60&gt;=$AU$11:$AU$74)*(W$48&lt;=$AV$11:$AV$74)&gt;0),$B63,"")</f>
        <v/>
      </c>
      <c r="X63" s="84" t="str">
        <f t="array" aca="1" ref="X63" ca="1">IF(OR((X$60&gt;=$AU$11:$AU$74)*(X$48&lt;=$AV$11:$AV$74)&gt;0),$B63,"")</f>
        <v/>
      </c>
      <c r="Y63" s="84" t="str">
        <f t="array" aca="1" ref="Y63" ca="1">IF(OR((Y$60&gt;=$AU$11:$AU$74)*(Y$48&lt;=$AV$11:$AV$74)&gt;0),$B63,"")</f>
        <v/>
      </c>
      <c r="Z63" s="84" t="str">
        <f t="array" aca="1" ref="Z63" ca="1">IF(OR((Z$60&gt;=$AU$11:$AU$74)*(Z$48&lt;=$AV$11:$AV$74)&gt;0),$B63,"")</f>
        <v/>
      </c>
      <c r="AA63" s="84" t="str">
        <f t="array" aca="1" ref="AA63" ca="1">IF(OR((AA$60&gt;=$AU$11:$AU$74)*(AA$48&lt;=$AV$11:$AV$74)&gt;0),$B63,"")</f>
        <v/>
      </c>
      <c r="AB63" s="84" t="str">
        <f t="array" aca="1" ref="AB63" ca="1">IF(OR((AB$60&gt;=$AU$11:$AU$74)*(AB$48&lt;=$AV$11:$AV$74)&gt;0),$B63,"")</f>
        <v/>
      </c>
      <c r="AC63" s="84" t="str">
        <f t="array" aca="1" ref="AC63" ca="1">IF(OR((AC$60&gt;=$AU$11:$AU$74)*(AC$48&lt;=$AV$11:$AV$74)&gt;0),$B63,"")</f>
        <v/>
      </c>
      <c r="AD63" s="84" t="str">
        <f t="array" aca="1" ref="AD63" ca="1">IF(OR((AD$60&gt;=$AU$11:$AU$74)*(AD$48&lt;=$AV$11:$AV$74)&gt;0),$B63,"")</f>
        <v/>
      </c>
      <c r="AE63" s="84" t="str">
        <f t="array" aca="1" ref="AE63" ca="1">IF(OR((AE$60&gt;=$AU$11:$AU$74)*(AE$48&lt;=$AV$11:$AV$74)&gt;0),$B63,"")</f>
        <v/>
      </c>
      <c r="AF63" s="84" t="str">
        <f t="array" aca="1" ref="AF63" ca="1">IF(OR((AF$60&gt;=$AU$11:$AU$74)*(AF$48&lt;=$AV$11:$AV$74)&gt;0),$B63,"")</f>
        <v/>
      </c>
      <c r="AG63" s="84" t="str">
        <f t="array" aca="1" ref="AG63" ca="1">IF(OR((AG$60&gt;=$AU$11:$AU$74)*(AG$48&lt;=$AV$11:$AV$74)&gt;0),$B63,"")</f>
        <v/>
      </c>
      <c r="AH63" s="84" t="str">
        <f t="array" aca="1" ref="AH63" ca="1">IF(OR((AH$60&gt;=$AU$11:$AU$74)*(AH$48&lt;=$AV$11:$AV$74)&gt;0),$B63,"")</f>
        <v/>
      </c>
      <c r="AI63" s="84" t="str">
        <f t="array" aca="1" ref="AI63" ca="1">IF(OR((AI$60&gt;=$AU$11:$AU$74)*(AI$48&lt;=$AV$11:$AV$74)&gt;0),$B63,"")</f>
        <v/>
      </c>
      <c r="AJ63" s="85"/>
      <c r="BG63" s="113"/>
      <c r="BH63" s="113"/>
      <c r="BI63" s="113"/>
      <c r="BJ63" s="113"/>
      <c r="BK63" s="113"/>
      <c r="BL63" s="113"/>
      <c r="BM63" s="113"/>
      <c r="BN63" s="113"/>
      <c r="BO63" s="113"/>
      <c r="BP63" s="113"/>
      <c r="BQ63" s="113"/>
      <c r="BR63" s="113"/>
      <c r="BS63" s="113"/>
    </row>
    <row r="64" spans="1:71" hidden="1">
      <c r="A64" s="75" t="s">
        <v>170</v>
      </c>
      <c r="B64" s="74">
        <v>12</v>
      </c>
      <c r="C64" s="84" t="str">
        <f t="array" aca="1" ref="C64" ca="1">IF(OR((C$60&gt;=$AU$11:$AU$74)*(C$48&lt;=$AV$11:$AV$74)&gt;0),$B64,"")</f>
        <v/>
      </c>
      <c r="D64" s="84" t="str">
        <f t="array" aca="1" ref="D64" ca="1">IF(OR((D$60&gt;=$AU$11:$AU$74)*(D$48&lt;=$AV$11:$AV$74)&gt;0),$B64,"")</f>
        <v/>
      </c>
      <c r="E64" s="84" t="str">
        <f t="array" aca="1" ref="E64" ca="1">IF(OR((E$60&gt;=$AU$11:$AU$74)*(E$48&lt;=$AV$11:$AV$74)&gt;0),$B64,"")</f>
        <v/>
      </c>
      <c r="F64" s="84" t="str">
        <f t="array" aca="1" ref="F64" ca="1">IF(OR((F$60&gt;=$AU$11:$AU$74)*(F$48&lt;=$AV$11:$AV$74)&gt;0),$B64,"")</f>
        <v/>
      </c>
      <c r="G64" s="84" t="str">
        <f t="array" aca="1" ref="G64" ca="1">IF(OR((G$60&gt;=$AU$11:$AU$74)*(G$48&lt;=$AV$11:$AV$74)&gt;0),$B64,"")</f>
        <v/>
      </c>
      <c r="H64" s="84" t="str">
        <f t="array" aca="1" ref="H64" ca="1">IF(OR((H$60&gt;=$AU$11:$AU$74)*(H$48&lt;=$AV$11:$AV$74)&gt;0),$B64,"")</f>
        <v/>
      </c>
      <c r="I64" s="84" t="str">
        <f t="array" aca="1" ref="I64" ca="1">IF(OR((I$60&gt;=$AU$11:$AU$74)*(I$48&lt;=$AV$11:$AV$74)&gt;0),$B64,"")</f>
        <v/>
      </c>
      <c r="J64" s="84" t="str">
        <f t="array" aca="1" ref="J64" ca="1">IF(OR((J$60&gt;=$AU$11:$AU$74)*(J$48&lt;=$AV$11:$AV$74)&gt;0),$B64,"")</f>
        <v/>
      </c>
      <c r="K64" s="84" t="str">
        <f t="array" aca="1" ref="K64" ca="1">IF(OR((K$60&gt;=$AU$11:$AU$74)*(K$48&lt;=$AV$11:$AV$74)&gt;0),$B64,"")</f>
        <v/>
      </c>
      <c r="L64" s="84" t="str">
        <f t="array" aca="1" ref="L64" ca="1">IF(OR((L$60&gt;=$AU$11:$AU$74)*(L$48&lt;=$AV$11:$AV$74)&gt;0),$B64,"")</f>
        <v/>
      </c>
      <c r="M64" s="84" t="str">
        <f t="array" aca="1" ref="M64" ca="1">IF(OR((M$60&gt;=$AU$11:$AU$74)*(M$48&lt;=$AV$11:$AV$74)&gt;0),$B64,"")</f>
        <v/>
      </c>
      <c r="N64" s="84" t="str">
        <f t="array" aca="1" ref="N64" ca="1">IF(OR((N$60&gt;=$AU$11:$AU$74)*(N$48&lt;=$AV$11:$AV$74)&gt;0),$B64,"")</f>
        <v/>
      </c>
      <c r="O64" s="84" t="str">
        <f t="array" aca="1" ref="O64" ca="1">IF(OR((O$60&gt;=$AU$11:$AU$74)*(O$48&lt;=$AV$11:$AV$74)&gt;0),$B64,"")</f>
        <v/>
      </c>
      <c r="P64" s="84" t="str">
        <f t="array" aca="1" ref="P64" ca="1">IF(OR((P$60&gt;=$AU$11:$AU$74)*(P$48&lt;=$AV$11:$AV$74)&gt;0),$B64,"")</f>
        <v/>
      </c>
      <c r="Q64" s="84" t="str">
        <f t="array" aca="1" ref="Q64" ca="1">IF(OR((Q$60&gt;=$AU$11:$AU$74)*(Q$48&lt;=$AV$11:$AV$74)&gt;0),$B64,"")</f>
        <v/>
      </c>
      <c r="R64" s="84" t="str">
        <f t="array" aca="1" ref="R64" ca="1">IF(OR((R$60&gt;=$AU$11:$AU$74)*(R$48&lt;=$AV$11:$AV$74)&gt;0),$B64,"")</f>
        <v/>
      </c>
      <c r="S64" s="84" t="str">
        <f t="array" aca="1" ref="S64" ca="1">IF(OR((S$60&gt;=$AU$11:$AU$74)*(S$48&lt;=$AV$11:$AV$74)&gt;0),$B64,"")</f>
        <v/>
      </c>
      <c r="T64" s="84" t="str">
        <f t="array" aca="1" ref="T64" ca="1">IF(OR((T$60&gt;=$AU$11:$AU$74)*(T$48&lt;=$AV$11:$AV$74)&gt;0),$B64,"")</f>
        <v/>
      </c>
      <c r="U64" s="84" t="str">
        <f t="array" aca="1" ref="U64" ca="1">IF(OR((U$60&gt;=$AU$11:$AU$74)*(U$48&lt;=$AV$11:$AV$74)&gt;0),$B64,"")</f>
        <v/>
      </c>
      <c r="V64" s="84" t="str">
        <f t="array" aca="1" ref="V64" ca="1">IF(OR((V$60&gt;=$AU$11:$AU$74)*(V$48&lt;=$AV$11:$AV$74)&gt;0),$B64,"")</f>
        <v/>
      </c>
      <c r="W64" s="84" t="str">
        <f t="array" aca="1" ref="W64" ca="1">IF(OR((W$60&gt;=$AU$11:$AU$74)*(W$48&lt;=$AV$11:$AV$74)&gt;0),$B64,"")</f>
        <v/>
      </c>
      <c r="X64" s="84" t="str">
        <f t="array" aca="1" ref="X64" ca="1">IF(OR((X$60&gt;=$AU$11:$AU$74)*(X$48&lt;=$AV$11:$AV$74)&gt;0),$B64,"")</f>
        <v/>
      </c>
      <c r="Y64" s="84" t="str">
        <f t="array" aca="1" ref="Y64" ca="1">IF(OR((Y$60&gt;=$AU$11:$AU$74)*(Y$48&lt;=$AV$11:$AV$74)&gt;0),$B64,"")</f>
        <v/>
      </c>
      <c r="Z64" s="84" t="str">
        <f t="array" aca="1" ref="Z64" ca="1">IF(OR((Z$60&gt;=$AU$11:$AU$74)*(Z$48&lt;=$AV$11:$AV$74)&gt;0),$B64,"")</f>
        <v/>
      </c>
      <c r="AA64" s="84" t="str">
        <f t="array" aca="1" ref="AA64" ca="1">IF(OR((AA$60&gt;=$AU$11:$AU$74)*(AA$48&lt;=$AV$11:$AV$74)&gt;0),$B64,"")</f>
        <v/>
      </c>
      <c r="AB64" s="84" t="str">
        <f t="array" aca="1" ref="AB64" ca="1">IF(OR((AB$60&gt;=$AU$11:$AU$74)*(AB$48&lt;=$AV$11:$AV$74)&gt;0),$B64,"")</f>
        <v/>
      </c>
      <c r="AC64" s="84" t="str">
        <f t="array" aca="1" ref="AC64" ca="1">IF(OR((AC$60&gt;=$AU$11:$AU$74)*(AC$48&lt;=$AV$11:$AV$74)&gt;0),$B64,"")</f>
        <v/>
      </c>
      <c r="AD64" s="84" t="str">
        <f t="array" aca="1" ref="AD64" ca="1">IF(OR((AD$60&gt;=$AU$11:$AU$74)*(AD$48&lt;=$AV$11:$AV$74)&gt;0),$B64,"")</f>
        <v/>
      </c>
      <c r="AE64" s="84" t="str">
        <f t="array" aca="1" ref="AE64" ca="1">IF(OR((AE$60&gt;=$AU$11:$AU$74)*(AE$48&lt;=$AV$11:$AV$74)&gt;0),$B64,"")</f>
        <v/>
      </c>
      <c r="AF64" s="84" t="str">
        <f t="array" aca="1" ref="AF64" ca="1">IF(OR((AF$60&gt;=$AU$11:$AU$74)*(AF$48&lt;=$AV$11:$AV$74)&gt;0),$B64,"")</f>
        <v/>
      </c>
      <c r="AG64" s="84" t="str">
        <f t="array" aca="1" ref="AG64" ca="1">IF(OR((AG$60&gt;=$AU$11:$AU$74)*(AG$48&lt;=$AV$11:$AV$74)&gt;0),$B64,"")</f>
        <v/>
      </c>
      <c r="AH64" s="84" t="str">
        <f t="array" aca="1" ref="AH64" ca="1">IF(OR((AH$60&gt;=$AU$11:$AU$74)*(AH$48&lt;=$AV$11:$AV$74)&gt;0),$B64,"")</f>
        <v/>
      </c>
      <c r="AI64" s="84" t="str">
        <f t="array" aca="1" ref="AI64" ca="1">IF(OR((AI$60&gt;=$AU$11:$AU$74)*(AI$48&lt;=$AV$11:$AV$74)&gt;0),$B64,"")</f>
        <v/>
      </c>
      <c r="AJ64" s="85"/>
      <c r="BG64" s="113"/>
      <c r="BH64" s="113"/>
      <c r="BI64" s="113"/>
      <c r="BJ64" s="113"/>
      <c r="BK64" s="113"/>
      <c r="BL64" s="113"/>
      <c r="BM64" s="113"/>
      <c r="BN64" s="113"/>
      <c r="BO64" s="113"/>
      <c r="BP64" s="113"/>
      <c r="BQ64" s="113"/>
      <c r="BR64" s="113"/>
      <c r="BS64" s="113"/>
    </row>
    <row r="65" spans="1:36" hidden="1">
      <c r="A65" s="8"/>
      <c r="B65" s="12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85"/>
    </row>
    <row r="66" spans="1:36" s="9" customFormat="1" hidden="1">
      <c r="A66" s="7" t="s">
        <v>171</v>
      </c>
      <c r="B66" s="10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85"/>
    </row>
    <row r="67" spans="1:36" hidden="1">
      <c r="B67" s="11" t="s">
        <v>154</v>
      </c>
      <c r="C67" s="112">
        <f>EOMONTH($A$1,-1)</f>
        <v>45016</v>
      </c>
      <c r="D67" s="112">
        <f t="shared" ref="D67:AI67" si="4">C67+1</f>
        <v>45017</v>
      </c>
      <c r="E67" s="112">
        <f t="shared" si="4"/>
        <v>45018</v>
      </c>
      <c r="F67" s="112">
        <f t="shared" si="4"/>
        <v>45019</v>
      </c>
      <c r="G67" s="112">
        <f t="shared" si="4"/>
        <v>45020</v>
      </c>
      <c r="H67" s="112">
        <f t="shared" si="4"/>
        <v>45021</v>
      </c>
      <c r="I67" s="112">
        <f t="shared" si="4"/>
        <v>45022</v>
      </c>
      <c r="J67" s="112">
        <f t="shared" si="4"/>
        <v>45023</v>
      </c>
      <c r="K67" s="112">
        <f t="shared" si="4"/>
        <v>45024</v>
      </c>
      <c r="L67" s="112">
        <f t="shared" si="4"/>
        <v>45025</v>
      </c>
      <c r="M67" s="112">
        <f t="shared" si="4"/>
        <v>45026</v>
      </c>
      <c r="N67" s="112">
        <f t="shared" si="4"/>
        <v>45027</v>
      </c>
      <c r="O67" s="112">
        <f t="shared" si="4"/>
        <v>45028</v>
      </c>
      <c r="P67" s="112">
        <f t="shared" si="4"/>
        <v>45029</v>
      </c>
      <c r="Q67" s="112">
        <f t="shared" si="4"/>
        <v>45030</v>
      </c>
      <c r="R67" s="112">
        <f t="shared" si="4"/>
        <v>45031</v>
      </c>
      <c r="S67" s="112">
        <f t="shared" si="4"/>
        <v>45032</v>
      </c>
      <c r="T67" s="112">
        <f t="shared" si="4"/>
        <v>45033</v>
      </c>
      <c r="U67" s="112">
        <f t="shared" si="4"/>
        <v>45034</v>
      </c>
      <c r="V67" s="112">
        <f t="shared" si="4"/>
        <v>45035</v>
      </c>
      <c r="W67" s="112">
        <f t="shared" si="4"/>
        <v>45036</v>
      </c>
      <c r="X67" s="112">
        <f t="shared" si="4"/>
        <v>45037</v>
      </c>
      <c r="Y67" s="112">
        <f t="shared" si="4"/>
        <v>45038</v>
      </c>
      <c r="Z67" s="112">
        <f t="shared" si="4"/>
        <v>45039</v>
      </c>
      <c r="AA67" s="112">
        <f t="shared" si="4"/>
        <v>45040</v>
      </c>
      <c r="AB67" s="112">
        <f t="shared" si="4"/>
        <v>45041</v>
      </c>
      <c r="AC67" s="112">
        <f t="shared" si="4"/>
        <v>45042</v>
      </c>
      <c r="AD67" s="112">
        <f t="shared" si="4"/>
        <v>45043</v>
      </c>
      <c r="AE67" s="112">
        <f t="shared" si="4"/>
        <v>45044</v>
      </c>
      <c r="AF67" s="112">
        <f t="shared" si="4"/>
        <v>45045</v>
      </c>
      <c r="AG67" s="112">
        <f t="shared" si="4"/>
        <v>45046</v>
      </c>
      <c r="AH67" s="112">
        <f t="shared" si="4"/>
        <v>45047</v>
      </c>
      <c r="AI67" s="112">
        <f t="shared" si="4"/>
        <v>45048</v>
      </c>
      <c r="AJ67" s="85"/>
    </row>
    <row r="68" spans="1:36" hidden="1">
      <c r="A68" s="80" t="s">
        <v>172</v>
      </c>
      <c r="B68" s="128">
        <v>1</v>
      </c>
      <c r="C68" s="84" t="str">
        <f t="array" aca="1" ref="C68" ca="1">IF(OR((C$67&gt;=$AW$11:$AW$74)*(C$48&lt;=$AX$11:$AX$74)&gt;0),$B68,"")</f>
        <v/>
      </c>
      <c r="D68" s="84" t="str">
        <f t="array" aca="1" ref="D68" ca="1">IF(OR((D$67&gt;=$AW$11:$AW$74)*(D$48&lt;=$AX$11:$AX$74)&gt;0),$B68,"")</f>
        <v/>
      </c>
      <c r="E68" s="84" t="str">
        <f t="array" aca="1" ref="E68" ca="1">IF(OR((E$67&gt;=$AW$11:$AW$74)*(E$48&lt;=$AX$11:$AX$74)&gt;0),$B68,"")</f>
        <v/>
      </c>
      <c r="F68" s="84" t="str">
        <f t="array" aca="1" ref="F68" ca="1">IF(OR((F$67&gt;=$AW$11:$AW$74)*(F$48&lt;=$AX$11:$AX$74)&gt;0),$B68,"")</f>
        <v/>
      </c>
      <c r="G68" s="84" t="str">
        <f t="array" aca="1" ref="G68" ca="1">IF(OR((G$67&gt;=$AW$11:$AW$74)*(G$48&lt;=$AX$11:$AX$74)&gt;0),$B68,"")</f>
        <v/>
      </c>
      <c r="H68" s="84" t="str">
        <f t="array" aca="1" ref="H68" ca="1">IF(OR((H$67&gt;=$AW$11:$AW$74)*(H$48&lt;=$AX$11:$AX$74)&gt;0),$B68,"")</f>
        <v/>
      </c>
      <c r="I68" s="84" t="str">
        <f t="array" aca="1" ref="I68" ca="1">IF(OR((I$67&gt;=$AW$11:$AW$74)*(I$48&lt;=$AX$11:$AX$74)&gt;0),$B68,"")</f>
        <v/>
      </c>
      <c r="J68" s="84" t="str">
        <f t="array" aca="1" ref="J68" ca="1">IF(OR((J$67&gt;=$AW$11:$AW$74)*(J$48&lt;=$AX$11:$AX$74)&gt;0),$B68,"")</f>
        <v/>
      </c>
      <c r="K68" s="84" t="str">
        <f t="array" aca="1" ref="K68" ca="1">IF(OR((K$67&gt;=$AW$11:$AW$74)*(K$48&lt;=$AX$11:$AX$74)&gt;0),$B68,"")</f>
        <v/>
      </c>
      <c r="L68" s="84" t="str">
        <f t="array" aca="1" ref="L68" ca="1">IF(OR((L$67&gt;=$AW$11:$AW$74)*(L$48&lt;=$AX$11:$AX$74)&gt;0),$B68,"")</f>
        <v/>
      </c>
      <c r="M68" s="84" t="str">
        <f t="array" aca="1" ref="M68" ca="1">IF(OR((M$67&gt;=$AW$11:$AW$74)*(M$48&lt;=$AX$11:$AX$74)&gt;0),$B68,"")</f>
        <v/>
      </c>
      <c r="N68" s="84" t="str">
        <f t="array" aca="1" ref="N68" ca="1">IF(OR((N$67&gt;=$AW$11:$AW$74)*(N$48&lt;=$AX$11:$AX$74)&gt;0),$B68,"")</f>
        <v/>
      </c>
      <c r="O68" s="84" t="str">
        <f t="array" aca="1" ref="O68" ca="1">IF(OR((O$67&gt;=$AW$11:$AW$74)*(O$48&lt;=$AX$11:$AX$74)&gt;0),$B68,"")</f>
        <v/>
      </c>
      <c r="P68" s="84" t="str">
        <f t="array" aca="1" ref="P68" ca="1">IF(OR((P$67&gt;=$AW$11:$AW$74)*(P$48&lt;=$AX$11:$AX$74)&gt;0),$B68,"")</f>
        <v/>
      </c>
      <c r="Q68" s="84" t="str">
        <f t="array" aca="1" ref="Q68" ca="1">IF(OR((Q$67&gt;=$AW$11:$AW$74)*(Q$48&lt;=$AX$11:$AX$74)&gt;0),$B68,"")</f>
        <v/>
      </c>
      <c r="R68" s="84" t="str">
        <f t="array" aca="1" ref="R68" ca="1">IF(OR((R$67&gt;=$AW$11:$AW$74)*(R$48&lt;=$AX$11:$AX$74)&gt;0),$B68,"")</f>
        <v/>
      </c>
      <c r="S68" s="84" t="str">
        <f t="array" aca="1" ref="S68" ca="1">IF(OR((S$67&gt;=$AW$11:$AW$74)*(S$48&lt;=$AX$11:$AX$74)&gt;0),$B68,"")</f>
        <v/>
      </c>
      <c r="T68" s="84" t="str">
        <f t="array" aca="1" ref="T68" ca="1">IF(OR((T$67&gt;=$AW$11:$AW$74)*(T$48&lt;=$AX$11:$AX$74)&gt;0),$B68,"")</f>
        <v/>
      </c>
      <c r="U68" s="84" t="str">
        <f t="array" aca="1" ref="U68" ca="1">IF(OR((U$67&gt;=$AW$11:$AW$74)*(U$48&lt;=$AX$11:$AX$74)&gt;0),$B68,"")</f>
        <v/>
      </c>
      <c r="V68" s="84" t="str">
        <f t="array" aca="1" ref="V68" ca="1">IF(OR((V$67&gt;=$AW$11:$AW$74)*(V$48&lt;=$AX$11:$AX$74)&gt;0),$B68,"")</f>
        <v/>
      </c>
      <c r="W68" s="84" t="str">
        <f t="array" aca="1" ref="W68" ca="1">IF(OR((W$67&gt;=$AW$11:$AW$74)*(W$48&lt;=$AX$11:$AX$74)&gt;0),$B68,"")</f>
        <v/>
      </c>
      <c r="X68" s="84" t="str">
        <f t="array" aca="1" ref="X68" ca="1">IF(OR((X$67&gt;=$AW$11:$AW$74)*(X$48&lt;=$AX$11:$AX$74)&gt;0),$B68,"")</f>
        <v/>
      </c>
      <c r="Y68" s="84" t="str">
        <f t="array" aca="1" ref="Y68" ca="1">IF(OR((Y$67&gt;=$AW$11:$AW$74)*(Y$48&lt;=$AX$11:$AX$74)&gt;0),$B68,"")</f>
        <v/>
      </c>
      <c r="Z68" s="84" t="str">
        <f t="array" aca="1" ref="Z68" ca="1">IF(OR((Z$67&gt;=$AW$11:$AW$74)*(Z$48&lt;=$AX$11:$AX$74)&gt;0),$B68,"")</f>
        <v/>
      </c>
      <c r="AA68" s="84" t="str">
        <f t="array" aca="1" ref="AA68" ca="1">IF(OR((AA$67&gt;=$AW$11:$AW$74)*(AA$48&lt;=$AX$11:$AX$74)&gt;0),$B68,"")</f>
        <v/>
      </c>
      <c r="AB68" s="84" t="str">
        <f t="array" aca="1" ref="AB68" ca="1">IF(OR((AB$67&gt;=$AW$11:$AW$74)*(AB$48&lt;=$AX$11:$AX$74)&gt;0),$B68,"")</f>
        <v/>
      </c>
      <c r="AC68" s="84" t="str">
        <f t="array" aca="1" ref="AC68" ca="1">IF(OR((AC$67&gt;=$AW$11:$AW$74)*(AC$48&lt;=$AX$11:$AX$74)&gt;0),$B68,"")</f>
        <v/>
      </c>
      <c r="AD68" s="84" t="str">
        <f t="array" aca="1" ref="AD68" ca="1">IF(OR((AD$67&gt;=$AW$11:$AW$74)*(AD$48&lt;=$AX$11:$AX$74)&gt;0),$B68,"")</f>
        <v/>
      </c>
      <c r="AE68" s="84" t="str">
        <f t="array" aca="1" ref="AE68" ca="1">IF(OR((AE$67&gt;=$AW$11:$AW$74)*(AE$48&lt;=$AX$11:$AX$74)&gt;0),$B68,"")</f>
        <v/>
      </c>
      <c r="AF68" s="84" t="str">
        <f t="array" aca="1" ref="AF68" ca="1">IF(OR((AF$67&gt;=$AW$11:$AW$74)*(AF$48&lt;=$AX$11:$AX$74)&gt;0),$B68,"")</f>
        <v/>
      </c>
      <c r="AG68" s="84" t="str">
        <f t="array" aca="1" ref="AG68" ca="1">IF(OR((AG$67&gt;=$AW$11:$AW$74)*(AG$48&lt;=$AX$11:$AX$74)&gt;0),$B68,"")</f>
        <v/>
      </c>
      <c r="AH68" s="84" t="str">
        <f t="array" aca="1" ref="AH68" ca="1">IF(OR((AH$67&gt;=$AW$11:$AW$74)*(AH$48&lt;=$AX$11:$AX$74)&gt;0),$B68,"")</f>
        <v/>
      </c>
      <c r="AI68" s="84" t="str">
        <f t="array" aca="1" ref="AI68" ca="1">IF(OR((AI$67&gt;=$AW$11:$AW$74)*(AI$48&lt;=$AX$11:$AX$74)&gt;0),$B68,"")</f>
        <v/>
      </c>
    </row>
    <row r="69" spans="1:36" hidden="1">
      <c r="A69" s="80" t="s">
        <v>173</v>
      </c>
      <c r="B69" s="128">
        <v>21</v>
      </c>
      <c r="C69" s="84" t="str">
        <f t="array" aca="1" ref="C69" ca="1">IF(OR((C$67&gt;=$AW$11:$AW$74)*(C$48&lt;=$AX$11:$AX$74)&gt;0),$B69,"")</f>
        <v/>
      </c>
      <c r="D69" s="84" t="str">
        <f t="array" aca="1" ref="D69" ca="1">IF(OR((D$67&gt;=$AW$11:$AW$74)*(D$48&lt;=$AX$11:$AX$74)&gt;0),$B69,"")</f>
        <v/>
      </c>
      <c r="E69" s="84" t="str">
        <f t="array" aca="1" ref="E69" ca="1">IF(OR((E$67&gt;=$AW$11:$AW$74)*(E$48&lt;=$AX$11:$AX$74)&gt;0),$B69,"")</f>
        <v/>
      </c>
      <c r="F69" s="84" t="str">
        <f t="array" aca="1" ref="F69" ca="1">IF(OR((F$67&gt;=$AW$11:$AW$74)*(F$48&lt;=$AX$11:$AX$74)&gt;0),$B69,"")</f>
        <v/>
      </c>
      <c r="G69" s="84" t="str">
        <f t="array" aca="1" ref="G69" ca="1">IF(OR((G$67&gt;=$AW$11:$AW$74)*(G$48&lt;=$AX$11:$AX$74)&gt;0),$B69,"")</f>
        <v/>
      </c>
      <c r="H69" s="84" t="str">
        <f t="array" aca="1" ref="H69" ca="1">IF(OR((H$67&gt;=$AW$11:$AW$74)*(H$48&lt;=$AX$11:$AX$74)&gt;0),$B69,"")</f>
        <v/>
      </c>
      <c r="I69" s="84" t="str">
        <f t="array" aca="1" ref="I69" ca="1">IF(OR((I$67&gt;=$AW$11:$AW$74)*(I$48&lt;=$AX$11:$AX$74)&gt;0),$B69,"")</f>
        <v/>
      </c>
      <c r="J69" s="84" t="str">
        <f t="array" aca="1" ref="J69" ca="1">IF(OR((J$67&gt;=$AW$11:$AW$74)*(J$48&lt;=$AX$11:$AX$74)&gt;0),$B69,"")</f>
        <v/>
      </c>
      <c r="K69" s="84" t="str">
        <f t="array" aca="1" ref="K69" ca="1">IF(OR((K$67&gt;=$AW$11:$AW$74)*(K$48&lt;=$AX$11:$AX$74)&gt;0),$B69,"")</f>
        <v/>
      </c>
      <c r="L69" s="84" t="str">
        <f t="array" aca="1" ref="L69" ca="1">IF(OR((L$67&gt;=$AW$11:$AW$74)*(L$48&lt;=$AX$11:$AX$74)&gt;0),$B69,"")</f>
        <v/>
      </c>
      <c r="M69" s="84" t="str">
        <f t="array" aca="1" ref="M69" ca="1">IF(OR((M$67&gt;=$AW$11:$AW$74)*(M$48&lt;=$AX$11:$AX$74)&gt;0),$B69,"")</f>
        <v/>
      </c>
      <c r="N69" s="84" t="str">
        <f t="array" aca="1" ref="N69" ca="1">IF(OR((N$67&gt;=$AW$11:$AW$74)*(N$48&lt;=$AX$11:$AX$74)&gt;0),$B69,"")</f>
        <v/>
      </c>
      <c r="O69" s="84" t="str">
        <f t="array" aca="1" ref="O69" ca="1">IF(OR((O$67&gt;=$AW$11:$AW$74)*(O$48&lt;=$AX$11:$AX$74)&gt;0),$B69,"")</f>
        <v/>
      </c>
      <c r="P69" s="84" t="str">
        <f t="array" aca="1" ref="P69" ca="1">IF(OR((P$67&gt;=$AW$11:$AW$74)*(P$48&lt;=$AX$11:$AX$74)&gt;0),$B69,"")</f>
        <v/>
      </c>
      <c r="Q69" s="84" t="str">
        <f t="array" aca="1" ref="Q69" ca="1">IF(OR((Q$67&gt;=$AW$11:$AW$74)*(Q$48&lt;=$AX$11:$AX$74)&gt;0),$B69,"")</f>
        <v/>
      </c>
      <c r="R69" s="84" t="str">
        <f t="array" aca="1" ref="R69" ca="1">IF(OR((R$67&gt;=$AW$11:$AW$74)*(R$48&lt;=$AX$11:$AX$74)&gt;0),$B69,"")</f>
        <v/>
      </c>
      <c r="S69" s="84" t="str">
        <f t="array" aca="1" ref="S69" ca="1">IF(OR((S$67&gt;=$AW$11:$AW$74)*(S$48&lt;=$AX$11:$AX$74)&gt;0),$B69,"")</f>
        <v/>
      </c>
      <c r="T69" s="84" t="str">
        <f t="array" aca="1" ref="T69" ca="1">IF(OR((T$67&gt;=$AW$11:$AW$74)*(T$48&lt;=$AX$11:$AX$74)&gt;0),$B69,"")</f>
        <v/>
      </c>
      <c r="U69" s="84" t="str">
        <f t="array" aca="1" ref="U69" ca="1">IF(OR((U$67&gt;=$AW$11:$AW$74)*(U$48&lt;=$AX$11:$AX$74)&gt;0),$B69,"")</f>
        <v/>
      </c>
      <c r="V69" s="84" t="str">
        <f t="array" aca="1" ref="V69" ca="1">IF(OR((V$67&gt;=$AW$11:$AW$74)*(V$48&lt;=$AX$11:$AX$74)&gt;0),$B69,"")</f>
        <v/>
      </c>
      <c r="W69" s="84" t="str">
        <f t="array" aca="1" ref="W69" ca="1">IF(OR((W$67&gt;=$AW$11:$AW$74)*(W$48&lt;=$AX$11:$AX$74)&gt;0),$B69,"")</f>
        <v/>
      </c>
      <c r="X69" s="84" t="str">
        <f t="array" aca="1" ref="X69" ca="1">IF(OR((X$67&gt;=$AW$11:$AW$74)*(X$48&lt;=$AX$11:$AX$74)&gt;0),$B69,"")</f>
        <v/>
      </c>
      <c r="Y69" s="84" t="str">
        <f t="array" aca="1" ref="Y69" ca="1">IF(OR((Y$67&gt;=$AW$11:$AW$74)*(Y$48&lt;=$AX$11:$AX$74)&gt;0),$B69,"")</f>
        <v/>
      </c>
      <c r="Z69" s="84" t="str">
        <f t="array" aca="1" ref="Z69" ca="1">IF(OR((Z$67&gt;=$AW$11:$AW$74)*(Z$48&lt;=$AX$11:$AX$74)&gt;0),$B69,"")</f>
        <v/>
      </c>
      <c r="AA69" s="84" t="str">
        <f t="array" aca="1" ref="AA69" ca="1">IF(OR((AA$67&gt;=$AW$11:$AW$74)*(AA$48&lt;=$AX$11:$AX$74)&gt;0),$B69,"")</f>
        <v/>
      </c>
      <c r="AB69" s="84" t="str">
        <f t="array" aca="1" ref="AB69" ca="1">IF(OR((AB$67&gt;=$AW$11:$AW$74)*(AB$48&lt;=$AX$11:$AX$74)&gt;0),$B69,"")</f>
        <v/>
      </c>
      <c r="AC69" s="84" t="str">
        <f t="array" aca="1" ref="AC69" ca="1">IF(OR((AC$67&gt;=$AW$11:$AW$74)*(AC$48&lt;=$AX$11:$AX$74)&gt;0),$B69,"")</f>
        <v/>
      </c>
      <c r="AD69" s="84" t="str">
        <f t="array" aca="1" ref="AD69" ca="1">IF(OR((AD$67&gt;=$AW$11:$AW$74)*(AD$48&lt;=$AX$11:$AX$74)&gt;0),$B69,"")</f>
        <v/>
      </c>
      <c r="AE69" s="84" t="str">
        <f t="array" aca="1" ref="AE69" ca="1">IF(OR((AE$67&gt;=$AW$11:$AW$74)*(AE$48&lt;=$AX$11:$AX$74)&gt;0),$B69,"")</f>
        <v/>
      </c>
      <c r="AF69" s="84" t="str">
        <f t="array" aca="1" ref="AF69" ca="1">IF(OR((AF$67&gt;=$AW$11:$AW$74)*(AF$48&lt;=$AX$11:$AX$74)&gt;0),$B69,"")</f>
        <v/>
      </c>
      <c r="AG69" s="84" t="str">
        <f t="array" aca="1" ref="AG69" ca="1">IF(OR((AG$67&gt;=$AW$11:$AW$74)*(AG$48&lt;=$AX$11:$AX$74)&gt;0),$B69,"")</f>
        <v/>
      </c>
      <c r="AH69" s="84" t="str">
        <f t="array" aca="1" ref="AH69" ca="1">IF(OR((AH$67&gt;=$AW$11:$AW$74)*(AH$48&lt;=$AX$11:$AX$74)&gt;0),$B69,"")</f>
        <v/>
      </c>
      <c r="AI69" s="84" t="str">
        <f t="array" aca="1" ref="AI69" ca="1">IF(OR((AI$67&gt;=$AW$11:$AW$74)*(AI$48&lt;=$AX$11:$AX$74)&gt;0),$B69,"")</f>
        <v/>
      </c>
    </row>
    <row r="70" spans="1:36" hidden="1">
      <c r="A70" s="80" t="s">
        <v>174</v>
      </c>
      <c r="B70" s="128">
        <v>19</v>
      </c>
      <c r="C70" s="84" t="str">
        <f t="array" aca="1" ref="C70" ca="1">IF(OR((C$67&gt;=$AW$11:$AW$74)*(C$48&lt;=$AX$11:$AX$74)&gt;0),$B70,"")</f>
        <v/>
      </c>
      <c r="D70" s="84" t="str">
        <f t="array" aca="1" ref="D70" ca="1">IF(OR((D$67&gt;=$AW$11:$AW$74)*(D$48&lt;=$AX$11:$AX$74)&gt;0),$B70,"")</f>
        <v/>
      </c>
      <c r="E70" s="84" t="str">
        <f t="array" aca="1" ref="E70" ca="1">IF(OR((E$67&gt;=$AW$11:$AW$74)*(E$48&lt;=$AX$11:$AX$74)&gt;0),$B70,"")</f>
        <v/>
      </c>
      <c r="F70" s="84" t="str">
        <f t="array" aca="1" ref="F70" ca="1">IF(OR((F$67&gt;=$AW$11:$AW$74)*(F$48&lt;=$AX$11:$AX$74)&gt;0),$B70,"")</f>
        <v/>
      </c>
      <c r="G70" s="84" t="str">
        <f t="array" aca="1" ref="G70" ca="1">IF(OR((G$67&gt;=$AW$11:$AW$74)*(G$48&lt;=$AX$11:$AX$74)&gt;0),$B70,"")</f>
        <v/>
      </c>
      <c r="H70" s="84" t="str">
        <f t="array" aca="1" ref="H70" ca="1">IF(OR((H$67&gt;=$AW$11:$AW$74)*(H$48&lt;=$AX$11:$AX$74)&gt;0),$B70,"")</f>
        <v/>
      </c>
      <c r="I70" s="84" t="str">
        <f t="array" aca="1" ref="I70" ca="1">IF(OR((I$67&gt;=$AW$11:$AW$74)*(I$48&lt;=$AX$11:$AX$74)&gt;0),$B70,"")</f>
        <v/>
      </c>
      <c r="J70" s="84" t="str">
        <f t="array" aca="1" ref="J70" ca="1">IF(OR((J$67&gt;=$AW$11:$AW$74)*(J$48&lt;=$AX$11:$AX$74)&gt;0),$B70,"")</f>
        <v/>
      </c>
      <c r="K70" s="84" t="str">
        <f t="array" aca="1" ref="K70" ca="1">IF(OR((K$67&gt;=$AW$11:$AW$74)*(K$48&lt;=$AX$11:$AX$74)&gt;0),$B70,"")</f>
        <v/>
      </c>
      <c r="L70" s="84" t="str">
        <f t="array" aca="1" ref="L70" ca="1">IF(OR((L$67&gt;=$AW$11:$AW$74)*(L$48&lt;=$AX$11:$AX$74)&gt;0),$B70,"")</f>
        <v/>
      </c>
      <c r="M70" s="84" t="str">
        <f t="array" aca="1" ref="M70" ca="1">IF(OR((M$67&gt;=$AW$11:$AW$74)*(M$48&lt;=$AX$11:$AX$74)&gt;0),$B70,"")</f>
        <v/>
      </c>
      <c r="N70" s="84" t="str">
        <f t="array" aca="1" ref="N70" ca="1">IF(OR((N$67&gt;=$AW$11:$AW$74)*(N$48&lt;=$AX$11:$AX$74)&gt;0),$B70,"")</f>
        <v/>
      </c>
      <c r="O70" s="84" t="str">
        <f t="array" aca="1" ref="O70" ca="1">IF(OR((O$67&gt;=$AW$11:$AW$74)*(O$48&lt;=$AX$11:$AX$74)&gt;0),$B70,"")</f>
        <v/>
      </c>
      <c r="P70" s="84" t="str">
        <f t="array" aca="1" ref="P70" ca="1">IF(OR((P$67&gt;=$AW$11:$AW$74)*(P$48&lt;=$AX$11:$AX$74)&gt;0),$B70,"")</f>
        <v/>
      </c>
      <c r="Q70" s="84" t="str">
        <f t="array" aca="1" ref="Q70" ca="1">IF(OR((Q$67&gt;=$AW$11:$AW$74)*(Q$48&lt;=$AX$11:$AX$74)&gt;0),$B70,"")</f>
        <v/>
      </c>
      <c r="R70" s="84" t="str">
        <f t="array" aca="1" ref="R70" ca="1">IF(OR((R$67&gt;=$AW$11:$AW$74)*(R$48&lt;=$AX$11:$AX$74)&gt;0),$B70,"")</f>
        <v/>
      </c>
      <c r="S70" s="84" t="str">
        <f t="array" aca="1" ref="S70" ca="1">IF(OR((S$67&gt;=$AW$11:$AW$74)*(S$48&lt;=$AX$11:$AX$74)&gt;0),$B70,"")</f>
        <v/>
      </c>
      <c r="T70" s="84" t="str">
        <f t="array" aca="1" ref="T70" ca="1">IF(OR((T$67&gt;=$AW$11:$AW$74)*(T$48&lt;=$AX$11:$AX$74)&gt;0),$B70,"")</f>
        <v/>
      </c>
      <c r="U70" s="84" t="str">
        <f t="array" aca="1" ref="U70" ca="1">IF(OR((U$67&gt;=$AW$11:$AW$74)*(U$48&lt;=$AX$11:$AX$74)&gt;0),$B70,"")</f>
        <v/>
      </c>
      <c r="V70" s="84" t="str">
        <f t="array" aca="1" ref="V70" ca="1">IF(OR((V$67&gt;=$AW$11:$AW$74)*(V$48&lt;=$AX$11:$AX$74)&gt;0),$B70,"")</f>
        <v/>
      </c>
      <c r="W70" s="84" t="str">
        <f t="array" aca="1" ref="W70" ca="1">IF(OR((W$67&gt;=$AW$11:$AW$74)*(W$48&lt;=$AX$11:$AX$74)&gt;0),$B70,"")</f>
        <v/>
      </c>
      <c r="X70" s="84" t="str">
        <f t="array" aca="1" ref="X70" ca="1">IF(OR((X$67&gt;=$AW$11:$AW$74)*(X$48&lt;=$AX$11:$AX$74)&gt;0),$B70,"")</f>
        <v/>
      </c>
      <c r="Y70" s="84" t="str">
        <f t="array" aca="1" ref="Y70" ca="1">IF(OR((Y$67&gt;=$AW$11:$AW$74)*(Y$48&lt;=$AX$11:$AX$74)&gt;0),$B70,"")</f>
        <v/>
      </c>
      <c r="Z70" s="84" t="str">
        <f t="array" aca="1" ref="Z70" ca="1">IF(OR((Z$67&gt;=$AW$11:$AW$74)*(Z$48&lt;=$AX$11:$AX$74)&gt;0),$B70,"")</f>
        <v/>
      </c>
      <c r="AA70" s="84" t="str">
        <f t="array" aca="1" ref="AA70" ca="1">IF(OR((AA$67&gt;=$AW$11:$AW$74)*(AA$48&lt;=$AX$11:$AX$74)&gt;0),$B70,"")</f>
        <v/>
      </c>
      <c r="AB70" s="84" t="str">
        <f t="array" aca="1" ref="AB70" ca="1">IF(OR((AB$67&gt;=$AW$11:$AW$74)*(AB$48&lt;=$AX$11:$AX$74)&gt;0),$B70,"")</f>
        <v/>
      </c>
      <c r="AC70" s="84" t="str">
        <f t="array" aca="1" ref="AC70" ca="1">IF(OR((AC$67&gt;=$AW$11:$AW$74)*(AC$48&lt;=$AX$11:$AX$74)&gt;0),$B70,"")</f>
        <v/>
      </c>
      <c r="AD70" s="84" t="str">
        <f t="array" aca="1" ref="AD70" ca="1">IF(OR((AD$67&gt;=$AW$11:$AW$74)*(AD$48&lt;=$AX$11:$AX$74)&gt;0),$B70,"")</f>
        <v/>
      </c>
      <c r="AE70" s="84" t="str">
        <f t="array" aca="1" ref="AE70" ca="1">IF(OR((AE$67&gt;=$AW$11:$AW$74)*(AE$48&lt;=$AX$11:$AX$74)&gt;0),$B70,"")</f>
        <v/>
      </c>
      <c r="AF70" s="84" t="str">
        <f t="array" aca="1" ref="AF70" ca="1">IF(OR((AF$67&gt;=$AW$11:$AW$74)*(AF$48&lt;=$AX$11:$AX$74)&gt;0),$B70,"")</f>
        <v/>
      </c>
      <c r="AG70" s="84" t="str">
        <f t="array" aca="1" ref="AG70" ca="1">IF(OR((AG$67&gt;=$AW$11:$AW$74)*(AG$48&lt;=$AX$11:$AX$74)&gt;0),$B70,"")</f>
        <v/>
      </c>
      <c r="AH70" s="84" t="str">
        <f t="array" aca="1" ref="AH70" ca="1">IF(OR((AH$67&gt;=$AW$11:$AW$74)*(AH$48&lt;=$AX$11:$AX$74)&gt;0),$B70,"")</f>
        <v/>
      </c>
      <c r="AI70" s="84" t="str">
        <f t="array" aca="1" ref="AI70" ca="1">IF(OR((AI$67&gt;=$AW$11:$AW$74)*(AI$48&lt;=$AX$11:$AX$74)&gt;0),$B70,"")</f>
        <v/>
      </c>
    </row>
    <row r="71" spans="1:36" hidden="1">
      <c r="A71" s="80" t="s">
        <v>175</v>
      </c>
      <c r="B71" s="128">
        <v>4</v>
      </c>
      <c r="C71" s="84" t="str">
        <f t="array" aca="1" ref="C71" ca="1">IF(OR((C$67&gt;=$AW$11:$AW$74)*(C$48&lt;=$AX$11:$AX$74)&gt;0),$B71,"")</f>
        <v/>
      </c>
      <c r="D71" s="84" t="str">
        <f t="array" aca="1" ref="D71" ca="1">IF(OR((D$67&gt;=$AW$11:$AW$74)*(D$48&lt;=$AX$11:$AX$74)&gt;0),$B71,"")</f>
        <v/>
      </c>
      <c r="E71" s="84" t="str">
        <f t="array" aca="1" ref="E71" ca="1">IF(OR((E$67&gt;=$AW$11:$AW$74)*(E$48&lt;=$AX$11:$AX$74)&gt;0),$B71,"")</f>
        <v/>
      </c>
      <c r="F71" s="84" t="str">
        <f t="array" aca="1" ref="F71" ca="1">IF(OR((F$67&gt;=$AW$11:$AW$74)*(F$48&lt;=$AX$11:$AX$74)&gt;0),$B71,"")</f>
        <v/>
      </c>
      <c r="G71" s="84" t="str">
        <f t="array" aca="1" ref="G71" ca="1">IF(OR((G$67&gt;=$AW$11:$AW$74)*(G$48&lt;=$AX$11:$AX$74)&gt;0),$B71,"")</f>
        <v/>
      </c>
      <c r="H71" s="84" t="str">
        <f t="array" aca="1" ref="H71" ca="1">IF(OR((H$67&gt;=$AW$11:$AW$74)*(H$48&lt;=$AX$11:$AX$74)&gt;0),$B71,"")</f>
        <v/>
      </c>
      <c r="I71" s="84" t="str">
        <f t="array" aca="1" ref="I71" ca="1">IF(OR((I$67&gt;=$AW$11:$AW$74)*(I$48&lt;=$AX$11:$AX$74)&gt;0),$B71,"")</f>
        <v/>
      </c>
      <c r="J71" s="84" t="str">
        <f t="array" aca="1" ref="J71" ca="1">IF(OR((J$67&gt;=$AW$11:$AW$74)*(J$48&lt;=$AX$11:$AX$74)&gt;0),$B71,"")</f>
        <v/>
      </c>
      <c r="K71" s="84" t="str">
        <f t="array" aca="1" ref="K71" ca="1">IF(OR((K$67&gt;=$AW$11:$AW$74)*(K$48&lt;=$AX$11:$AX$74)&gt;0),$B71,"")</f>
        <v/>
      </c>
      <c r="L71" s="84" t="str">
        <f t="array" aca="1" ref="L71" ca="1">IF(OR((L$67&gt;=$AW$11:$AW$74)*(L$48&lt;=$AX$11:$AX$74)&gt;0),$B71,"")</f>
        <v/>
      </c>
      <c r="M71" s="84" t="str">
        <f t="array" aca="1" ref="M71" ca="1">IF(OR((M$67&gt;=$AW$11:$AW$74)*(M$48&lt;=$AX$11:$AX$74)&gt;0),$B71,"")</f>
        <v/>
      </c>
      <c r="N71" s="84" t="str">
        <f t="array" aca="1" ref="N71" ca="1">IF(OR((N$67&gt;=$AW$11:$AW$74)*(N$48&lt;=$AX$11:$AX$74)&gt;0),$B71,"")</f>
        <v/>
      </c>
      <c r="O71" s="84" t="str">
        <f t="array" aca="1" ref="O71" ca="1">IF(OR((O$67&gt;=$AW$11:$AW$74)*(O$48&lt;=$AX$11:$AX$74)&gt;0),$B71,"")</f>
        <v/>
      </c>
      <c r="P71" s="84" t="str">
        <f t="array" aca="1" ref="P71" ca="1">IF(OR((P$67&gt;=$AW$11:$AW$74)*(P$48&lt;=$AX$11:$AX$74)&gt;0),$B71,"")</f>
        <v/>
      </c>
      <c r="Q71" s="84" t="str">
        <f t="array" aca="1" ref="Q71" ca="1">IF(OR((Q$67&gt;=$AW$11:$AW$74)*(Q$48&lt;=$AX$11:$AX$74)&gt;0),$B71,"")</f>
        <v/>
      </c>
      <c r="R71" s="84" t="str">
        <f t="array" aca="1" ref="R71" ca="1">IF(OR((R$67&gt;=$AW$11:$AW$74)*(R$48&lt;=$AX$11:$AX$74)&gt;0),$B71,"")</f>
        <v/>
      </c>
      <c r="S71" s="84" t="str">
        <f t="array" aca="1" ref="S71" ca="1">IF(OR((S$67&gt;=$AW$11:$AW$74)*(S$48&lt;=$AX$11:$AX$74)&gt;0),$B71,"")</f>
        <v/>
      </c>
      <c r="T71" s="84" t="str">
        <f t="array" aca="1" ref="T71" ca="1">IF(OR((T$67&gt;=$AW$11:$AW$74)*(T$48&lt;=$AX$11:$AX$74)&gt;0),$B71,"")</f>
        <v/>
      </c>
      <c r="U71" s="84" t="str">
        <f t="array" aca="1" ref="U71" ca="1">IF(OR((U$67&gt;=$AW$11:$AW$74)*(U$48&lt;=$AX$11:$AX$74)&gt;0),$B71,"")</f>
        <v/>
      </c>
      <c r="V71" s="84" t="str">
        <f t="array" aca="1" ref="V71" ca="1">IF(OR((V$67&gt;=$AW$11:$AW$74)*(V$48&lt;=$AX$11:$AX$74)&gt;0),$B71,"")</f>
        <v/>
      </c>
      <c r="W71" s="84" t="str">
        <f t="array" aca="1" ref="W71" ca="1">IF(OR((W$67&gt;=$AW$11:$AW$74)*(W$48&lt;=$AX$11:$AX$74)&gt;0),$B71,"")</f>
        <v/>
      </c>
      <c r="X71" s="84" t="str">
        <f t="array" aca="1" ref="X71" ca="1">IF(OR((X$67&gt;=$AW$11:$AW$74)*(X$48&lt;=$AX$11:$AX$74)&gt;0),$B71,"")</f>
        <v/>
      </c>
      <c r="Y71" s="84" t="str">
        <f t="array" aca="1" ref="Y71" ca="1">IF(OR((Y$67&gt;=$AW$11:$AW$74)*(Y$48&lt;=$AX$11:$AX$74)&gt;0),$B71,"")</f>
        <v/>
      </c>
      <c r="Z71" s="84" t="str">
        <f t="array" aca="1" ref="Z71" ca="1">IF(OR((Z$67&gt;=$AW$11:$AW$74)*(Z$48&lt;=$AX$11:$AX$74)&gt;0),$B71,"")</f>
        <v/>
      </c>
      <c r="AA71" s="84" t="str">
        <f t="array" aca="1" ref="AA71" ca="1">IF(OR((AA$67&gt;=$AW$11:$AW$74)*(AA$48&lt;=$AX$11:$AX$74)&gt;0),$B71,"")</f>
        <v/>
      </c>
      <c r="AB71" s="84" t="str">
        <f t="array" aca="1" ref="AB71" ca="1">IF(OR((AB$67&gt;=$AW$11:$AW$74)*(AB$48&lt;=$AX$11:$AX$74)&gt;0),$B71,"")</f>
        <v/>
      </c>
      <c r="AC71" s="84" t="str">
        <f t="array" aca="1" ref="AC71" ca="1">IF(OR((AC$67&gt;=$AW$11:$AW$74)*(AC$48&lt;=$AX$11:$AX$74)&gt;0),$B71,"")</f>
        <v/>
      </c>
      <c r="AD71" s="84" t="str">
        <f t="array" aca="1" ref="AD71" ca="1">IF(OR((AD$67&gt;=$AW$11:$AW$74)*(AD$48&lt;=$AX$11:$AX$74)&gt;0),$B71,"")</f>
        <v/>
      </c>
      <c r="AE71" s="84" t="str">
        <f t="array" aca="1" ref="AE71" ca="1">IF(OR((AE$67&gt;=$AW$11:$AW$74)*(AE$48&lt;=$AX$11:$AX$74)&gt;0),$B71,"")</f>
        <v/>
      </c>
      <c r="AF71" s="84" t="str">
        <f t="array" aca="1" ref="AF71" ca="1">IF(OR((AF$67&gt;=$AW$11:$AW$74)*(AF$48&lt;=$AX$11:$AX$74)&gt;0),$B71,"")</f>
        <v/>
      </c>
      <c r="AG71" s="84" t="str">
        <f t="array" aca="1" ref="AG71" ca="1">IF(OR((AG$67&gt;=$AW$11:$AW$74)*(AG$48&lt;=$AX$11:$AX$74)&gt;0),$B71,"")</f>
        <v/>
      </c>
      <c r="AH71" s="84" t="str">
        <f t="array" aca="1" ref="AH71" ca="1">IF(OR((AH$67&gt;=$AW$11:$AW$74)*(AH$48&lt;=$AX$11:$AX$74)&gt;0),$B71,"")</f>
        <v/>
      </c>
      <c r="AI71" s="84" t="str">
        <f t="array" aca="1" ref="AI71" ca="1">IF(OR((AI$67&gt;=$AW$11:$AW$74)*(AI$48&lt;=$AX$11:$AX$74)&gt;0),$B71,"")</f>
        <v/>
      </c>
    </row>
    <row r="72" spans="1:36" hidden="1">
      <c r="A72" s="80" t="s">
        <v>176</v>
      </c>
      <c r="B72" s="128">
        <v>12</v>
      </c>
      <c r="C72" s="84" t="str">
        <f t="array" aca="1" ref="C72" ca="1">IF(OR((C$67&gt;=$AW$11:$AW$74)*(C$48&lt;=$AX$11:$AX$74)&gt;0),$B72,"")</f>
        <v/>
      </c>
      <c r="D72" s="84" t="str">
        <f t="array" aca="1" ref="D72" ca="1">IF(OR((D$67&gt;=$AW$11:$AW$74)*(D$48&lt;=$AX$11:$AX$74)&gt;0),$B72,"")</f>
        <v/>
      </c>
      <c r="E72" s="84" t="str">
        <f t="array" aca="1" ref="E72" ca="1">IF(OR((E$67&gt;=$AW$11:$AW$74)*(E$48&lt;=$AX$11:$AX$74)&gt;0),$B72,"")</f>
        <v/>
      </c>
      <c r="F72" s="84" t="str">
        <f t="array" aca="1" ref="F72" ca="1">IF(OR((F$67&gt;=$AW$11:$AW$74)*(F$48&lt;=$AX$11:$AX$74)&gt;0),$B72,"")</f>
        <v/>
      </c>
      <c r="G72" s="84" t="str">
        <f t="array" aca="1" ref="G72" ca="1">IF(OR((G$67&gt;=$AW$11:$AW$74)*(G$48&lt;=$AX$11:$AX$74)&gt;0),$B72,"")</f>
        <v/>
      </c>
      <c r="H72" s="84" t="str">
        <f t="array" aca="1" ref="H72" ca="1">IF(OR((H$67&gt;=$AW$11:$AW$74)*(H$48&lt;=$AX$11:$AX$74)&gt;0),$B72,"")</f>
        <v/>
      </c>
      <c r="I72" s="84" t="str">
        <f t="array" aca="1" ref="I72" ca="1">IF(OR((I$67&gt;=$AW$11:$AW$74)*(I$48&lt;=$AX$11:$AX$74)&gt;0),$B72,"")</f>
        <v/>
      </c>
      <c r="J72" s="84" t="str">
        <f t="array" aca="1" ref="J72" ca="1">IF(OR((J$67&gt;=$AW$11:$AW$74)*(J$48&lt;=$AX$11:$AX$74)&gt;0),$B72,"")</f>
        <v/>
      </c>
      <c r="K72" s="84" t="str">
        <f t="array" aca="1" ref="K72" ca="1">IF(OR((K$67&gt;=$AW$11:$AW$74)*(K$48&lt;=$AX$11:$AX$74)&gt;0),$B72,"")</f>
        <v/>
      </c>
      <c r="L72" s="84" t="str">
        <f t="array" aca="1" ref="L72" ca="1">IF(OR((L$67&gt;=$AW$11:$AW$74)*(L$48&lt;=$AX$11:$AX$74)&gt;0),$B72,"")</f>
        <v/>
      </c>
      <c r="M72" s="84" t="str">
        <f t="array" aca="1" ref="M72" ca="1">IF(OR((M$67&gt;=$AW$11:$AW$74)*(M$48&lt;=$AX$11:$AX$74)&gt;0),$B72,"")</f>
        <v/>
      </c>
      <c r="N72" s="84" t="str">
        <f t="array" aca="1" ref="N72" ca="1">IF(OR((N$67&gt;=$AW$11:$AW$74)*(N$48&lt;=$AX$11:$AX$74)&gt;0),$B72,"")</f>
        <v/>
      </c>
      <c r="O72" s="84" t="str">
        <f t="array" aca="1" ref="O72" ca="1">IF(OR((O$67&gt;=$AW$11:$AW$74)*(O$48&lt;=$AX$11:$AX$74)&gt;0),$B72,"")</f>
        <v/>
      </c>
      <c r="P72" s="84" t="str">
        <f t="array" aca="1" ref="P72" ca="1">IF(OR((P$67&gt;=$AW$11:$AW$74)*(P$48&lt;=$AX$11:$AX$74)&gt;0),$B72,"")</f>
        <v/>
      </c>
      <c r="Q72" s="84" t="str">
        <f t="array" aca="1" ref="Q72" ca="1">IF(OR((Q$67&gt;=$AW$11:$AW$74)*(Q$48&lt;=$AX$11:$AX$74)&gt;0),$B72,"")</f>
        <v/>
      </c>
      <c r="R72" s="84" t="str">
        <f t="array" aca="1" ref="R72" ca="1">IF(OR((R$67&gt;=$AW$11:$AW$74)*(R$48&lt;=$AX$11:$AX$74)&gt;0),$B72,"")</f>
        <v/>
      </c>
      <c r="S72" s="84" t="str">
        <f t="array" aca="1" ref="S72" ca="1">IF(OR((S$67&gt;=$AW$11:$AW$74)*(S$48&lt;=$AX$11:$AX$74)&gt;0),$B72,"")</f>
        <v/>
      </c>
      <c r="T72" s="84" t="str">
        <f t="array" aca="1" ref="T72" ca="1">IF(OR((T$67&gt;=$AW$11:$AW$74)*(T$48&lt;=$AX$11:$AX$74)&gt;0),$B72,"")</f>
        <v/>
      </c>
      <c r="U72" s="84" t="str">
        <f t="array" aca="1" ref="U72" ca="1">IF(OR((U$67&gt;=$AW$11:$AW$74)*(U$48&lt;=$AX$11:$AX$74)&gt;0),$B72,"")</f>
        <v/>
      </c>
      <c r="V72" s="84" t="str">
        <f t="array" aca="1" ref="V72" ca="1">IF(OR((V$67&gt;=$AW$11:$AW$74)*(V$48&lt;=$AX$11:$AX$74)&gt;0),$B72,"")</f>
        <v/>
      </c>
      <c r="W72" s="84" t="str">
        <f t="array" aca="1" ref="W72" ca="1">IF(OR((W$67&gt;=$AW$11:$AW$74)*(W$48&lt;=$AX$11:$AX$74)&gt;0),$B72,"")</f>
        <v/>
      </c>
      <c r="X72" s="84" t="str">
        <f t="array" aca="1" ref="X72" ca="1">IF(OR((X$67&gt;=$AW$11:$AW$74)*(X$48&lt;=$AX$11:$AX$74)&gt;0),$B72,"")</f>
        <v/>
      </c>
      <c r="Y72" s="84" t="str">
        <f t="array" aca="1" ref="Y72" ca="1">IF(OR((Y$67&gt;=$AW$11:$AW$74)*(Y$48&lt;=$AX$11:$AX$74)&gt;0),$B72,"")</f>
        <v/>
      </c>
      <c r="Z72" s="84" t="str">
        <f t="array" aca="1" ref="Z72" ca="1">IF(OR((Z$67&gt;=$AW$11:$AW$74)*(Z$48&lt;=$AX$11:$AX$74)&gt;0),$B72,"")</f>
        <v/>
      </c>
      <c r="AA72" s="84" t="str">
        <f t="array" aca="1" ref="AA72" ca="1">IF(OR((AA$67&gt;=$AW$11:$AW$74)*(AA$48&lt;=$AX$11:$AX$74)&gt;0),$B72,"")</f>
        <v/>
      </c>
      <c r="AB72" s="84" t="str">
        <f t="array" aca="1" ref="AB72" ca="1">IF(OR((AB$67&gt;=$AW$11:$AW$74)*(AB$48&lt;=$AX$11:$AX$74)&gt;0),$B72,"")</f>
        <v/>
      </c>
      <c r="AC72" s="84" t="str">
        <f t="array" aca="1" ref="AC72" ca="1">IF(OR((AC$67&gt;=$AW$11:$AW$74)*(AC$48&lt;=$AX$11:$AX$74)&gt;0),$B72,"")</f>
        <v/>
      </c>
      <c r="AD72" s="84" t="str">
        <f t="array" aca="1" ref="AD72" ca="1">IF(OR((AD$67&gt;=$AW$11:$AW$74)*(AD$48&lt;=$AX$11:$AX$74)&gt;0),$B72,"")</f>
        <v/>
      </c>
      <c r="AE72" s="84" t="str">
        <f t="array" aca="1" ref="AE72" ca="1">IF(OR((AE$67&gt;=$AW$11:$AW$74)*(AE$48&lt;=$AX$11:$AX$74)&gt;0),$B72,"")</f>
        <v/>
      </c>
      <c r="AF72" s="84" t="str">
        <f t="array" aca="1" ref="AF72" ca="1">IF(OR((AF$67&gt;=$AW$11:$AW$74)*(AF$48&lt;=$AX$11:$AX$74)&gt;0),$B72,"")</f>
        <v/>
      </c>
      <c r="AG72" s="84" t="str">
        <f t="array" aca="1" ref="AG72" ca="1">IF(OR((AG$67&gt;=$AW$11:$AW$74)*(AG$48&lt;=$AX$11:$AX$74)&gt;0),$B72,"")</f>
        <v/>
      </c>
      <c r="AH72" s="84" t="str">
        <f t="array" aca="1" ref="AH72" ca="1">IF(OR((AH$67&gt;=$AW$11:$AW$74)*(AH$48&lt;=$AX$11:$AX$74)&gt;0),$B72,"")</f>
        <v/>
      </c>
      <c r="AI72" s="84" t="str">
        <f t="array" aca="1" ref="AI72" ca="1">IF(OR((AI$67&gt;=$AW$11:$AW$74)*(AI$48&lt;=$AX$11:$AX$74)&gt;0),$B72,"")</f>
        <v/>
      </c>
    </row>
    <row r="73" spans="1:36" hidden="1">
      <c r="A73" s="80" t="s">
        <v>177</v>
      </c>
      <c r="B73" s="128">
        <v>4</v>
      </c>
      <c r="C73" s="84" t="str">
        <f t="array" aca="1" ref="C73" ca="1">IF(OR((C$67&gt;=$AW$11:$AW$74)*(C$48&lt;=$AX$11:$AX$74)&gt;0),$B73,"")</f>
        <v/>
      </c>
      <c r="D73" s="84" t="str">
        <f t="array" aca="1" ref="D73" ca="1">IF(OR((D$67&gt;=$AW$11:$AW$74)*(D$48&lt;=$AX$11:$AX$74)&gt;0),$B73,"")</f>
        <v/>
      </c>
      <c r="E73" s="84" t="str">
        <f t="array" aca="1" ref="E73" ca="1">IF(OR((E$67&gt;=$AW$11:$AW$74)*(E$48&lt;=$AX$11:$AX$74)&gt;0),$B73,"")</f>
        <v/>
      </c>
      <c r="F73" s="84" t="str">
        <f t="array" aca="1" ref="F73" ca="1">IF(OR((F$67&gt;=$AW$11:$AW$74)*(F$48&lt;=$AX$11:$AX$74)&gt;0),$B73,"")</f>
        <v/>
      </c>
      <c r="G73" s="84" t="str">
        <f t="array" aca="1" ref="G73" ca="1">IF(OR((G$67&gt;=$AW$11:$AW$74)*(G$48&lt;=$AX$11:$AX$74)&gt;0),$B73,"")</f>
        <v/>
      </c>
      <c r="H73" s="84" t="str">
        <f t="array" aca="1" ref="H73" ca="1">IF(OR((H$67&gt;=$AW$11:$AW$74)*(H$48&lt;=$AX$11:$AX$74)&gt;0),$B73,"")</f>
        <v/>
      </c>
      <c r="I73" s="84" t="str">
        <f t="array" aca="1" ref="I73" ca="1">IF(OR((I$67&gt;=$AW$11:$AW$74)*(I$48&lt;=$AX$11:$AX$74)&gt;0),$B73,"")</f>
        <v/>
      </c>
      <c r="J73" s="84" t="str">
        <f t="array" aca="1" ref="J73" ca="1">IF(OR((J$67&gt;=$AW$11:$AW$74)*(J$48&lt;=$AX$11:$AX$74)&gt;0),$B73,"")</f>
        <v/>
      </c>
      <c r="K73" s="84" t="str">
        <f t="array" aca="1" ref="K73" ca="1">IF(OR((K$67&gt;=$AW$11:$AW$74)*(K$48&lt;=$AX$11:$AX$74)&gt;0),$B73,"")</f>
        <v/>
      </c>
      <c r="L73" s="84" t="str">
        <f t="array" aca="1" ref="L73" ca="1">IF(OR((L$67&gt;=$AW$11:$AW$74)*(L$48&lt;=$AX$11:$AX$74)&gt;0),$B73,"")</f>
        <v/>
      </c>
      <c r="M73" s="84" t="str">
        <f t="array" aca="1" ref="M73" ca="1">IF(OR((M$67&gt;=$AW$11:$AW$74)*(M$48&lt;=$AX$11:$AX$74)&gt;0),$B73,"")</f>
        <v/>
      </c>
      <c r="N73" s="84" t="str">
        <f t="array" aca="1" ref="N73" ca="1">IF(OR((N$67&gt;=$AW$11:$AW$74)*(N$48&lt;=$AX$11:$AX$74)&gt;0),$B73,"")</f>
        <v/>
      </c>
      <c r="O73" s="84" t="str">
        <f t="array" aca="1" ref="O73" ca="1">IF(OR((O$67&gt;=$AW$11:$AW$74)*(O$48&lt;=$AX$11:$AX$74)&gt;0),$B73,"")</f>
        <v/>
      </c>
      <c r="P73" s="84" t="str">
        <f t="array" aca="1" ref="P73" ca="1">IF(OR((P$67&gt;=$AW$11:$AW$74)*(P$48&lt;=$AX$11:$AX$74)&gt;0),$B73,"")</f>
        <v/>
      </c>
      <c r="Q73" s="84" t="str">
        <f t="array" aca="1" ref="Q73" ca="1">IF(OR((Q$67&gt;=$AW$11:$AW$74)*(Q$48&lt;=$AX$11:$AX$74)&gt;0),$B73,"")</f>
        <v/>
      </c>
      <c r="R73" s="84" t="str">
        <f t="array" aca="1" ref="R73" ca="1">IF(OR((R$67&gt;=$AW$11:$AW$74)*(R$48&lt;=$AX$11:$AX$74)&gt;0),$B73,"")</f>
        <v/>
      </c>
      <c r="S73" s="84" t="str">
        <f t="array" aca="1" ref="S73" ca="1">IF(OR((S$67&gt;=$AW$11:$AW$74)*(S$48&lt;=$AX$11:$AX$74)&gt;0),$B73,"")</f>
        <v/>
      </c>
      <c r="T73" s="84" t="str">
        <f t="array" aca="1" ref="T73" ca="1">IF(OR((T$67&gt;=$AW$11:$AW$74)*(T$48&lt;=$AX$11:$AX$74)&gt;0),$B73,"")</f>
        <v/>
      </c>
      <c r="U73" s="84" t="str">
        <f t="array" aca="1" ref="U73" ca="1">IF(OR((U$67&gt;=$AW$11:$AW$74)*(U$48&lt;=$AX$11:$AX$74)&gt;0),$B73,"")</f>
        <v/>
      </c>
      <c r="V73" s="84" t="str">
        <f t="array" aca="1" ref="V73" ca="1">IF(OR((V$67&gt;=$AW$11:$AW$74)*(V$48&lt;=$AX$11:$AX$74)&gt;0),$B73,"")</f>
        <v/>
      </c>
      <c r="W73" s="84" t="str">
        <f t="array" aca="1" ref="W73" ca="1">IF(OR((W$67&gt;=$AW$11:$AW$74)*(W$48&lt;=$AX$11:$AX$74)&gt;0),$B73,"")</f>
        <v/>
      </c>
      <c r="X73" s="84" t="str">
        <f t="array" aca="1" ref="X73" ca="1">IF(OR((X$67&gt;=$AW$11:$AW$74)*(X$48&lt;=$AX$11:$AX$74)&gt;0),$B73,"")</f>
        <v/>
      </c>
      <c r="Y73" s="84" t="str">
        <f t="array" aca="1" ref="Y73" ca="1">IF(OR((Y$67&gt;=$AW$11:$AW$74)*(Y$48&lt;=$AX$11:$AX$74)&gt;0),$B73,"")</f>
        <v/>
      </c>
      <c r="Z73" s="84" t="str">
        <f t="array" aca="1" ref="Z73" ca="1">IF(OR((Z$67&gt;=$AW$11:$AW$74)*(Z$48&lt;=$AX$11:$AX$74)&gt;0),$B73,"")</f>
        <v/>
      </c>
      <c r="AA73" s="84" t="str">
        <f t="array" aca="1" ref="AA73" ca="1">IF(OR((AA$67&gt;=$AW$11:$AW$74)*(AA$48&lt;=$AX$11:$AX$74)&gt;0),$B73,"")</f>
        <v/>
      </c>
      <c r="AB73" s="84" t="str">
        <f t="array" aca="1" ref="AB73" ca="1">IF(OR((AB$67&gt;=$AW$11:$AW$74)*(AB$48&lt;=$AX$11:$AX$74)&gt;0),$B73,"")</f>
        <v/>
      </c>
      <c r="AC73" s="84" t="str">
        <f t="array" aca="1" ref="AC73" ca="1">IF(OR((AC$67&gt;=$AW$11:$AW$74)*(AC$48&lt;=$AX$11:$AX$74)&gt;0),$B73,"")</f>
        <v/>
      </c>
      <c r="AD73" s="84" t="str">
        <f t="array" aca="1" ref="AD73" ca="1">IF(OR((AD$67&gt;=$AW$11:$AW$74)*(AD$48&lt;=$AX$11:$AX$74)&gt;0),$B73,"")</f>
        <v/>
      </c>
      <c r="AE73" s="84" t="str">
        <f t="array" aca="1" ref="AE73" ca="1">IF(OR((AE$67&gt;=$AW$11:$AW$74)*(AE$48&lt;=$AX$11:$AX$74)&gt;0),$B73,"")</f>
        <v/>
      </c>
      <c r="AF73" s="84" t="str">
        <f t="array" aca="1" ref="AF73" ca="1">IF(OR((AF$67&gt;=$AW$11:$AW$74)*(AF$48&lt;=$AX$11:$AX$74)&gt;0),$B73,"")</f>
        <v/>
      </c>
      <c r="AG73" s="84" t="str">
        <f t="array" aca="1" ref="AG73" ca="1">IF(OR((AG$67&gt;=$AW$11:$AW$74)*(AG$48&lt;=$AX$11:$AX$74)&gt;0),$B73,"")</f>
        <v/>
      </c>
      <c r="AH73" s="84" t="str">
        <f t="array" aca="1" ref="AH73" ca="1">IF(OR((AH$67&gt;=$AW$11:$AW$74)*(AH$48&lt;=$AX$11:$AX$74)&gt;0),$B73,"")</f>
        <v/>
      </c>
      <c r="AI73" s="84" t="str">
        <f t="array" aca="1" ref="AI73" ca="1">IF(OR((AI$67&gt;=$AW$11:$AW$74)*(AI$48&lt;=$AX$11:$AX$74)&gt;0),$B73,"")</f>
        <v/>
      </c>
    </row>
    <row r="74" spans="1:36" ht="16.5" hidden="1" customHeight="1">
      <c r="A74" s="80" t="s">
        <v>178</v>
      </c>
      <c r="B74" s="128">
        <v>4</v>
      </c>
      <c r="C74" s="84" t="str">
        <f t="array" aca="1" ref="C74" ca="1">IF(OR((C$67&gt;=$AW$11:$AW$74)*(C$48&lt;=$AX$11:$AX$74)&gt;0),$B74,"")</f>
        <v/>
      </c>
      <c r="D74" s="84" t="str">
        <f t="array" aca="1" ref="D74" ca="1">IF(OR((D$67&gt;=$AW$11:$AW$74)*(D$48&lt;=$AX$11:$AX$74)&gt;0),$B74,"")</f>
        <v/>
      </c>
      <c r="E74" s="84" t="str">
        <f t="array" aca="1" ref="E74" ca="1">IF(OR((E$67&gt;=$AW$11:$AW$74)*(E$48&lt;=$AX$11:$AX$74)&gt;0),$B74,"")</f>
        <v/>
      </c>
      <c r="F74" s="84" t="str">
        <f t="array" aca="1" ref="F74" ca="1">IF(OR((F$67&gt;=$AW$11:$AW$74)*(F$48&lt;=$AX$11:$AX$74)&gt;0),$B74,"")</f>
        <v/>
      </c>
      <c r="G74" s="84" t="str">
        <f t="array" aca="1" ref="G74" ca="1">IF(OR((G$67&gt;=$AW$11:$AW$74)*(G$48&lt;=$AX$11:$AX$74)&gt;0),$B74,"")</f>
        <v/>
      </c>
      <c r="H74" s="84" t="str">
        <f t="array" aca="1" ref="H74" ca="1">IF(OR((H$67&gt;=$AW$11:$AW$74)*(H$48&lt;=$AX$11:$AX$74)&gt;0),$B74,"")</f>
        <v/>
      </c>
      <c r="I74" s="84" t="str">
        <f t="array" aca="1" ref="I74" ca="1">IF(OR((I$67&gt;=$AW$11:$AW$74)*(I$48&lt;=$AX$11:$AX$74)&gt;0),$B74,"")</f>
        <v/>
      </c>
      <c r="J74" s="84" t="str">
        <f t="array" aca="1" ref="J74" ca="1">IF(OR((J$67&gt;=$AW$11:$AW$74)*(J$48&lt;=$AX$11:$AX$74)&gt;0),$B74,"")</f>
        <v/>
      </c>
      <c r="K74" s="84" t="str">
        <f t="array" aca="1" ref="K74" ca="1">IF(OR((K$67&gt;=$AW$11:$AW$74)*(K$48&lt;=$AX$11:$AX$74)&gt;0),$B74,"")</f>
        <v/>
      </c>
      <c r="L74" s="84" t="str">
        <f t="array" aca="1" ref="L74" ca="1">IF(OR((L$67&gt;=$AW$11:$AW$74)*(L$48&lt;=$AX$11:$AX$74)&gt;0),$B74,"")</f>
        <v/>
      </c>
      <c r="M74" s="84" t="str">
        <f t="array" aca="1" ref="M74" ca="1">IF(OR((M$67&gt;=$AW$11:$AW$74)*(M$48&lt;=$AX$11:$AX$74)&gt;0),$B74,"")</f>
        <v/>
      </c>
      <c r="N74" s="84" t="str">
        <f t="array" aca="1" ref="N74" ca="1">IF(OR((N$67&gt;=$AW$11:$AW$74)*(N$48&lt;=$AX$11:$AX$74)&gt;0),$B74,"")</f>
        <v/>
      </c>
      <c r="O74" s="84" t="str">
        <f t="array" aca="1" ref="O74" ca="1">IF(OR((O$67&gt;=$AW$11:$AW$74)*(O$48&lt;=$AX$11:$AX$74)&gt;0),$B74,"")</f>
        <v/>
      </c>
      <c r="P74" s="84" t="str">
        <f t="array" aca="1" ref="P74" ca="1">IF(OR((P$67&gt;=$AW$11:$AW$74)*(P$48&lt;=$AX$11:$AX$74)&gt;0),$B74,"")</f>
        <v/>
      </c>
      <c r="Q74" s="84" t="str">
        <f t="array" aca="1" ref="Q74" ca="1">IF(OR((Q$67&gt;=$AW$11:$AW$74)*(Q$48&lt;=$AX$11:$AX$74)&gt;0),$B74,"")</f>
        <v/>
      </c>
      <c r="R74" s="84" t="str">
        <f t="array" aca="1" ref="R74" ca="1">IF(OR((R$67&gt;=$AW$11:$AW$74)*(R$48&lt;=$AX$11:$AX$74)&gt;0),$B74,"")</f>
        <v/>
      </c>
      <c r="S74" s="84" t="str">
        <f t="array" aca="1" ref="S74" ca="1">IF(OR((S$67&gt;=$AW$11:$AW$74)*(S$48&lt;=$AX$11:$AX$74)&gt;0),$B74,"")</f>
        <v/>
      </c>
      <c r="T74" s="84" t="str">
        <f t="array" aca="1" ref="T74" ca="1">IF(OR((T$67&gt;=$AW$11:$AW$74)*(T$48&lt;=$AX$11:$AX$74)&gt;0),$B74,"")</f>
        <v/>
      </c>
      <c r="U74" s="84" t="str">
        <f t="array" aca="1" ref="U74" ca="1">IF(OR((U$67&gt;=$AW$11:$AW$74)*(U$48&lt;=$AX$11:$AX$74)&gt;0),$B74,"")</f>
        <v/>
      </c>
      <c r="V74" s="84" t="str">
        <f t="array" aca="1" ref="V74" ca="1">IF(OR((V$67&gt;=$AW$11:$AW$74)*(V$48&lt;=$AX$11:$AX$74)&gt;0),$B74,"")</f>
        <v/>
      </c>
      <c r="W74" s="84" t="str">
        <f t="array" aca="1" ref="W74" ca="1">IF(OR((W$67&gt;=$AW$11:$AW$74)*(W$48&lt;=$AX$11:$AX$74)&gt;0),$B74,"")</f>
        <v/>
      </c>
      <c r="X74" s="84" t="str">
        <f t="array" aca="1" ref="X74" ca="1">IF(OR((X$67&gt;=$AW$11:$AW$74)*(X$48&lt;=$AX$11:$AX$74)&gt;0),$B74,"")</f>
        <v/>
      </c>
      <c r="Y74" s="84" t="str">
        <f t="array" aca="1" ref="Y74" ca="1">IF(OR((Y$67&gt;=$AW$11:$AW$74)*(Y$48&lt;=$AX$11:$AX$74)&gt;0),$B74,"")</f>
        <v/>
      </c>
      <c r="Z74" s="84" t="str">
        <f t="array" aca="1" ref="Z74" ca="1">IF(OR((Z$67&gt;=$AW$11:$AW$74)*(Z$48&lt;=$AX$11:$AX$74)&gt;0),$B74,"")</f>
        <v/>
      </c>
      <c r="AA74" s="84" t="str">
        <f t="array" aca="1" ref="AA74" ca="1">IF(OR((AA$67&gt;=$AW$11:$AW$74)*(AA$48&lt;=$AX$11:$AX$74)&gt;0),$B74,"")</f>
        <v/>
      </c>
      <c r="AB74" s="84" t="str">
        <f t="array" aca="1" ref="AB74" ca="1">IF(OR((AB$67&gt;=$AW$11:$AW$74)*(AB$48&lt;=$AX$11:$AX$74)&gt;0),$B74,"")</f>
        <v/>
      </c>
      <c r="AC74" s="84" t="str">
        <f t="array" aca="1" ref="AC74" ca="1">IF(OR((AC$67&gt;=$AW$11:$AW$74)*(AC$48&lt;=$AX$11:$AX$74)&gt;0),$B74,"")</f>
        <v/>
      </c>
      <c r="AD74" s="84" t="str">
        <f t="array" aca="1" ref="AD74" ca="1">IF(OR((AD$67&gt;=$AW$11:$AW$74)*(AD$48&lt;=$AX$11:$AX$74)&gt;0),$B74,"")</f>
        <v/>
      </c>
      <c r="AE74" s="84" t="str">
        <f t="array" aca="1" ref="AE74" ca="1">IF(OR((AE$67&gt;=$AW$11:$AW$74)*(AE$48&lt;=$AX$11:$AX$74)&gt;0),$B74,"")</f>
        <v/>
      </c>
      <c r="AF74" s="84" t="str">
        <f t="array" aca="1" ref="AF74" ca="1">IF(OR((AF$67&gt;=$AW$11:$AW$74)*(AF$48&lt;=$AX$11:$AX$74)&gt;0),$B74,"")</f>
        <v/>
      </c>
      <c r="AG74" s="84" t="str">
        <f t="array" aca="1" ref="AG74" ca="1">IF(OR((AG$67&gt;=$AW$11:$AW$74)*(AG$48&lt;=$AX$11:$AX$74)&gt;0),$B74,"")</f>
        <v/>
      </c>
      <c r="AH74" s="84" t="str">
        <f t="array" aca="1" ref="AH74" ca="1">IF(OR((AH$67&gt;=$AW$11:$AW$74)*(AH$48&lt;=$AX$11:$AX$74)&gt;0),$B74,"")</f>
        <v/>
      </c>
      <c r="AI74" s="84" t="str">
        <f t="array" aca="1" ref="AI74" ca="1">IF(OR((AI$67&gt;=$AW$11:$AW$74)*(AI$48&lt;=$AX$11:$AX$74)&gt;0),$B74,"")</f>
        <v/>
      </c>
    </row>
    <row r="75" spans="1:36" hidden="1">
      <c r="A75" s="80" t="s">
        <v>179</v>
      </c>
      <c r="B75" s="128">
        <v>2</v>
      </c>
      <c r="C75" s="84" t="str">
        <f t="array" aca="1" ref="C75" ca="1">IF(OR((C$67&gt;=$AW$11:$AW$74)*(C$48&lt;=$AX$11:$AX$74)&gt;0),$B75,"")</f>
        <v/>
      </c>
      <c r="D75" s="84" t="str">
        <f t="array" aca="1" ref="D75" ca="1">IF(OR((D$67&gt;=$AW$11:$AW$74)*(D$48&lt;=$AX$11:$AX$74)&gt;0),$B75,"")</f>
        <v/>
      </c>
      <c r="E75" s="84" t="str">
        <f t="array" aca="1" ref="E75" ca="1">IF(OR((E$67&gt;=$AW$11:$AW$74)*(E$48&lt;=$AX$11:$AX$74)&gt;0),$B75,"")</f>
        <v/>
      </c>
      <c r="F75" s="84" t="str">
        <f t="array" aca="1" ref="F75" ca="1">IF(OR((F$67&gt;=$AW$11:$AW$74)*(F$48&lt;=$AX$11:$AX$74)&gt;0),$B75,"")</f>
        <v/>
      </c>
      <c r="G75" s="84" t="str">
        <f t="array" aca="1" ref="G75" ca="1">IF(OR((G$67&gt;=$AW$11:$AW$74)*(G$48&lt;=$AX$11:$AX$74)&gt;0),$B75,"")</f>
        <v/>
      </c>
      <c r="H75" s="84" t="str">
        <f t="array" aca="1" ref="H75" ca="1">IF(OR((H$67&gt;=$AW$11:$AW$74)*(H$48&lt;=$AX$11:$AX$74)&gt;0),$B75,"")</f>
        <v/>
      </c>
      <c r="I75" s="84" t="str">
        <f t="array" aca="1" ref="I75" ca="1">IF(OR((I$67&gt;=$AW$11:$AW$74)*(I$48&lt;=$AX$11:$AX$74)&gt;0),$B75,"")</f>
        <v/>
      </c>
      <c r="J75" s="84" t="str">
        <f t="array" aca="1" ref="J75" ca="1">IF(OR((J$67&gt;=$AW$11:$AW$74)*(J$48&lt;=$AX$11:$AX$74)&gt;0),$B75,"")</f>
        <v/>
      </c>
      <c r="K75" s="84" t="str">
        <f t="array" aca="1" ref="K75" ca="1">IF(OR((K$67&gt;=$AW$11:$AW$74)*(K$48&lt;=$AX$11:$AX$74)&gt;0),$B75,"")</f>
        <v/>
      </c>
      <c r="L75" s="84" t="str">
        <f t="array" aca="1" ref="L75" ca="1">IF(OR((L$67&gt;=$AW$11:$AW$74)*(L$48&lt;=$AX$11:$AX$74)&gt;0),$B75,"")</f>
        <v/>
      </c>
      <c r="M75" s="84" t="str">
        <f t="array" aca="1" ref="M75" ca="1">IF(OR((M$67&gt;=$AW$11:$AW$74)*(M$48&lt;=$AX$11:$AX$74)&gt;0),$B75,"")</f>
        <v/>
      </c>
      <c r="N75" s="84" t="str">
        <f t="array" aca="1" ref="N75" ca="1">IF(OR((N$67&gt;=$AW$11:$AW$74)*(N$48&lt;=$AX$11:$AX$74)&gt;0),$B75,"")</f>
        <v/>
      </c>
      <c r="O75" s="84" t="str">
        <f t="array" aca="1" ref="O75" ca="1">IF(OR((O$67&gt;=$AW$11:$AW$74)*(O$48&lt;=$AX$11:$AX$74)&gt;0),$B75,"")</f>
        <v/>
      </c>
      <c r="P75" s="84" t="str">
        <f t="array" aca="1" ref="P75" ca="1">IF(OR((P$67&gt;=$AW$11:$AW$74)*(P$48&lt;=$AX$11:$AX$74)&gt;0),$B75,"")</f>
        <v/>
      </c>
      <c r="Q75" s="84" t="str">
        <f t="array" aca="1" ref="Q75" ca="1">IF(OR((Q$67&gt;=$AW$11:$AW$74)*(Q$48&lt;=$AX$11:$AX$74)&gt;0),$B75,"")</f>
        <v/>
      </c>
      <c r="R75" s="84" t="str">
        <f t="array" aca="1" ref="R75" ca="1">IF(OR((R$67&gt;=$AW$11:$AW$74)*(R$48&lt;=$AX$11:$AX$74)&gt;0),$B75,"")</f>
        <v/>
      </c>
      <c r="S75" s="84" t="str">
        <f t="array" aca="1" ref="S75" ca="1">IF(OR((S$67&gt;=$AW$11:$AW$74)*(S$48&lt;=$AX$11:$AX$74)&gt;0),$B75,"")</f>
        <v/>
      </c>
      <c r="T75" s="84" t="str">
        <f t="array" aca="1" ref="T75" ca="1">IF(OR((T$67&gt;=$AW$11:$AW$74)*(T$48&lt;=$AX$11:$AX$74)&gt;0),$B75,"")</f>
        <v/>
      </c>
      <c r="U75" s="84" t="str">
        <f t="array" aca="1" ref="U75" ca="1">IF(OR((U$67&gt;=$AW$11:$AW$74)*(U$48&lt;=$AX$11:$AX$74)&gt;0),$B75,"")</f>
        <v/>
      </c>
      <c r="V75" s="84" t="str">
        <f t="array" aca="1" ref="V75" ca="1">IF(OR((V$67&gt;=$AW$11:$AW$74)*(V$48&lt;=$AX$11:$AX$74)&gt;0),$B75,"")</f>
        <v/>
      </c>
      <c r="W75" s="84" t="str">
        <f t="array" aca="1" ref="W75" ca="1">IF(OR((W$67&gt;=$AW$11:$AW$74)*(W$48&lt;=$AX$11:$AX$74)&gt;0),$B75,"")</f>
        <v/>
      </c>
      <c r="X75" s="84" t="str">
        <f t="array" aca="1" ref="X75" ca="1">IF(OR((X$67&gt;=$AW$11:$AW$74)*(X$48&lt;=$AX$11:$AX$74)&gt;0),$B75,"")</f>
        <v/>
      </c>
      <c r="Y75" s="84" t="str">
        <f t="array" aca="1" ref="Y75" ca="1">IF(OR((Y$67&gt;=$AW$11:$AW$74)*(Y$48&lt;=$AX$11:$AX$74)&gt;0),$B75,"")</f>
        <v/>
      </c>
      <c r="Z75" s="84" t="str">
        <f t="array" aca="1" ref="Z75" ca="1">IF(OR((Z$67&gt;=$AW$11:$AW$74)*(Z$48&lt;=$AX$11:$AX$74)&gt;0),$B75,"")</f>
        <v/>
      </c>
      <c r="AA75" s="84" t="str">
        <f t="array" aca="1" ref="AA75" ca="1">IF(OR((AA$67&gt;=$AW$11:$AW$74)*(AA$48&lt;=$AX$11:$AX$74)&gt;0),$B75,"")</f>
        <v/>
      </c>
      <c r="AB75" s="84" t="str">
        <f t="array" aca="1" ref="AB75" ca="1">IF(OR((AB$67&gt;=$AW$11:$AW$74)*(AB$48&lt;=$AX$11:$AX$74)&gt;0),$B75,"")</f>
        <v/>
      </c>
      <c r="AC75" s="84" t="str">
        <f t="array" aca="1" ref="AC75" ca="1">IF(OR((AC$67&gt;=$AW$11:$AW$74)*(AC$48&lt;=$AX$11:$AX$74)&gt;0),$B75,"")</f>
        <v/>
      </c>
      <c r="AD75" s="84" t="str">
        <f t="array" aca="1" ref="AD75" ca="1">IF(OR((AD$67&gt;=$AW$11:$AW$74)*(AD$48&lt;=$AX$11:$AX$74)&gt;0),$B75,"")</f>
        <v/>
      </c>
      <c r="AE75" s="84" t="str">
        <f t="array" aca="1" ref="AE75" ca="1">IF(OR((AE$67&gt;=$AW$11:$AW$74)*(AE$48&lt;=$AX$11:$AX$74)&gt;0),$B75,"")</f>
        <v/>
      </c>
      <c r="AF75" s="84" t="str">
        <f t="array" aca="1" ref="AF75" ca="1">IF(OR((AF$67&gt;=$AW$11:$AW$74)*(AF$48&lt;=$AX$11:$AX$74)&gt;0),$B75,"")</f>
        <v/>
      </c>
      <c r="AG75" s="84" t="str">
        <f t="array" aca="1" ref="AG75" ca="1">IF(OR((AG$67&gt;=$AW$11:$AW$74)*(AG$48&lt;=$AX$11:$AX$74)&gt;0),$B75,"")</f>
        <v/>
      </c>
      <c r="AH75" s="84" t="str">
        <f t="array" aca="1" ref="AH75" ca="1">IF(OR((AH$67&gt;=$AW$11:$AW$74)*(AH$48&lt;=$AX$11:$AX$74)&gt;0),$B75,"")</f>
        <v/>
      </c>
      <c r="AI75" s="84" t="str">
        <f t="array" aca="1" ref="AI75" ca="1">IF(OR((AI$67&gt;=$AW$11:$AW$74)*(AI$48&lt;=$AX$11:$AX$74)&gt;0),$B75,"")</f>
        <v/>
      </c>
    </row>
    <row r="76" spans="1:36" hidden="1">
      <c r="A76" s="80" t="s">
        <v>180</v>
      </c>
      <c r="B76" s="128">
        <v>3</v>
      </c>
      <c r="C76" s="84" t="str">
        <f t="array" aca="1" ref="C76" ca="1">IF(OR((C$67&gt;=$AW$11:$AW$74)*(C$48&lt;=$AX$11:$AX$74)&gt;0),$B76,"")</f>
        <v/>
      </c>
      <c r="D76" s="84" t="str">
        <f t="array" aca="1" ref="D76" ca="1">IF(OR((D$67&gt;=$AW$11:$AW$74)*(D$48&lt;=$AX$11:$AX$74)&gt;0),$B76,"")</f>
        <v/>
      </c>
      <c r="E76" s="84" t="str">
        <f t="array" aca="1" ref="E76" ca="1">IF(OR((E$67&gt;=$AW$11:$AW$74)*(E$48&lt;=$AX$11:$AX$74)&gt;0),$B76,"")</f>
        <v/>
      </c>
      <c r="F76" s="84" t="str">
        <f t="array" aca="1" ref="F76" ca="1">IF(OR((F$67&gt;=$AW$11:$AW$74)*(F$48&lt;=$AX$11:$AX$74)&gt;0),$B76,"")</f>
        <v/>
      </c>
      <c r="G76" s="84" t="str">
        <f t="array" aca="1" ref="G76" ca="1">IF(OR((G$67&gt;=$AW$11:$AW$74)*(G$48&lt;=$AX$11:$AX$74)&gt;0),$B76,"")</f>
        <v/>
      </c>
      <c r="H76" s="84" t="str">
        <f t="array" aca="1" ref="H76" ca="1">IF(OR((H$67&gt;=$AW$11:$AW$74)*(H$48&lt;=$AX$11:$AX$74)&gt;0),$B76,"")</f>
        <v/>
      </c>
      <c r="I76" s="84" t="str">
        <f t="array" aca="1" ref="I76" ca="1">IF(OR((I$67&gt;=$AW$11:$AW$74)*(I$48&lt;=$AX$11:$AX$74)&gt;0),$B76,"")</f>
        <v/>
      </c>
      <c r="J76" s="84" t="str">
        <f t="array" aca="1" ref="J76" ca="1">IF(OR((J$67&gt;=$AW$11:$AW$74)*(J$48&lt;=$AX$11:$AX$74)&gt;0),$B76,"")</f>
        <v/>
      </c>
      <c r="K76" s="84" t="str">
        <f t="array" aca="1" ref="K76" ca="1">IF(OR((K$67&gt;=$AW$11:$AW$74)*(K$48&lt;=$AX$11:$AX$74)&gt;0),$B76,"")</f>
        <v/>
      </c>
      <c r="L76" s="84" t="str">
        <f t="array" aca="1" ref="L76" ca="1">IF(OR((L$67&gt;=$AW$11:$AW$74)*(L$48&lt;=$AX$11:$AX$74)&gt;0),$B76,"")</f>
        <v/>
      </c>
      <c r="M76" s="84" t="str">
        <f t="array" aca="1" ref="M76" ca="1">IF(OR((M$67&gt;=$AW$11:$AW$74)*(M$48&lt;=$AX$11:$AX$74)&gt;0),$B76,"")</f>
        <v/>
      </c>
      <c r="N76" s="84" t="str">
        <f t="array" aca="1" ref="N76" ca="1">IF(OR((N$67&gt;=$AW$11:$AW$74)*(N$48&lt;=$AX$11:$AX$74)&gt;0),$B76,"")</f>
        <v/>
      </c>
      <c r="O76" s="84" t="str">
        <f t="array" aca="1" ref="O76" ca="1">IF(OR((O$67&gt;=$AW$11:$AW$74)*(O$48&lt;=$AX$11:$AX$74)&gt;0),$B76,"")</f>
        <v/>
      </c>
      <c r="P76" s="84" t="str">
        <f t="array" aca="1" ref="P76" ca="1">IF(OR((P$67&gt;=$AW$11:$AW$74)*(P$48&lt;=$AX$11:$AX$74)&gt;0),$B76,"")</f>
        <v/>
      </c>
      <c r="Q76" s="84" t="str">
        <f t="array" aca="1" ref="Q76" ca="1">IF(OR((Q$67&gt;=$AW$11:$AW$74)*(Q$48&lt;=$AX$11:$AX$74)&gt;0),$B76,"")</f>
        <v/>
      </c>
      <c r="R76" s="84" t="str">
        <f t="array" aca="1" ref="R76" ca="1">IF(OR((R$67&gt;=$AW$11:$AW$74)*(R$48&lt;=$AX$11:$AX$74)&gt;0),$B76,"")</f>
        <v/>
      </c>
      <c r="S76" s="84" t="str">
        <f t="array" aca="1" ref="S76" ca="1">IF(OR((S$67&gt;=$AW$11:$AW$74)*(S$48&lt;=$AX$11:$AX$74)&gt;0),$B76,"")</f>
        <v/>
      </c>
      <c r="T76" s="84" t="str">
        <f t="array" aca="1" ref="T76" ca="1">IF(OR((T$67&gt;=$AW$11:$AW$74)*(T$48&lt;=$AX$11:$AX$74)&gt;0),$B76,"")</f>
        <v/>
      </c>
      <c r="U76" s="84" t="str">
        <f t="array" aca="1" ref="U76" ca="1">IF(OR((U$67&gt;=$AW$11:$AW$74)*(U$48&lt;=$AX$11:$AX$74)&gt;0),$B76,"")</f>
        <v/>
      </c>
      <c r="V76" s="84" t="str">
        <f t="array" aca="1" ref="V76" ca="1">IF(OR((V$67&gt;=$AW$11:$AW$74)*(V$48&lt;=$AX$11:$AX$74)&gt;0),$B76,"")</f>
        <v/>
      </c>
      <c r="W76" s="84" t="str">
        <f t="array" aca="1" ref="W76" ca="1">IF(OR((W$67&gt;=$AW$11:$AW$74)*(W$48&lt;=$AX$11:$AX$74)&gt;0),$B76,"")</f>
        <v/>
      </c>
      <c r="X76" s="84" t="str">
        <f t="array" aca="1" ref="X76" ca="1">IF(OR((X$67&gt;=$AW$11:$AW$74)*(X$48&lt;=$AX$11:$AX$74)&gt;0),$B76,"")</f>
        <v/>
      </c>
      <c r="Y76" s="84" t="str">
        <f t="array" aca="1" ref="Y76" ca="1">IF(OR((Y$67&gt;=$AW$11:$AW$74)*(Y$48&lt;=$AX$11:$AX$74)&gt;0),$B76,"")</f>
        <v/>
      </c>
      <c r="Z76" s="84" t="str">
        <f t="array" aca="1" ref="Z76" ca="1">IF(OR((Z$67&gt;=$AW$11:$AW$74)*(Z$48&lt;=$AX$11:$AX$74)&gt;0),$B76,"")</f>
        <v/>
      </c>
      <c r="AA76" s="84" t="str">
        <f t="array" aca="1" ref="AA76" ca="1">IF(OR((AA$67&gt;=$AW$11:$AW$74)*(AA$48&lt;=$AX$11:$AX$74)&gt;0),$B76,"")</f>
        <v/>
      </c>
      <c r="AB76" s="84" t="str">
        <f t="array" aca="1" ref="AB76" ca="1">IF(OR((AB$67&gt;=$AW$11:$AW$74)*(AB$48&lt;=$AX$11:$AX$74)&gt;0),$B76,"")</f>
        <v/>
      </c>
      <c r="AC76" s="84" t="str">
        <f t="array" aca="1" ref="AC76" ca="1">IF(OR((AC$67&gt;=$AW$11:$AW$74)*(AC$48&lt;=$AX$11:$AX$74)&gt;0),$B76,"")</f>
        <v/>
      </c>
      <c r="AD76" s="84" t="str">
        <f t="array" aca="1" ref="AD76" ca="1">IF(OR((AD$67&gt;=$AW$11:$AW$74)*(AD$48&lt;=$AX$11:$AX$74)&gt;0),$B76,"")</f>
        <v/>
      </c>
      <c r="AE76" s="84" t="str">
        <f t="array" aca="1" ref="AE76" ca="1">IF(OR((AE$67&gt;=$AW$11:$AW$74)*(AE$48&lt;=$AX$11:$AX$74)&gt;0),$B76,"")</f>
        <v/>
      </c>
      <c r="AF76" s="84" t="str">
        <f t="array" aca="1" ref="AF76" ca="1">IF(OR((AF$67&gt;=$AW$11:$AW$74)*(AF$48&lt;=$AX$11:$AX$74)&gt;0),$B76,"")</f>
        <v/>
      </c>
      <c r="AG76" s="84" t="str">
        <f t="array" aca="1" ref="AG76" ca="1">IF(OR((AG$67&gt;=$AW$11:$AW$74)*(AG$48&lt;=$AX$11:$AX$74)&gt;0),$B76,"")</f>
        <v/>
      </c>
      <c r="AH76" s="84" t="str">
        <f t="array" aca="1" ref="AH76" ca="1">IF(OR((AH$67&gt;=$AW$11:$AW$74)*(AH$48&lt;=$AX$11:$AX$74)&gt;0),$B76,"")</f>
        <v/>
      </c>
      <c r="AI76" s="84" t="str">
        <f t="array" aca="1" ref="AI76" ca="1">IF(OR((AI$67&gt;=$AW$11:$AW$74)*(AI$48&lt;=$AX$11:$AX$74)&gt;0),$B76,"")</f>
        <v/>
      </c>
    </row>
    <row r="77" spans="1:36" hidden="1">
      <c r="A77" s="80" t="s">
        <v>181</v>
      </c>
      <c r="B77" s="128">
        <v>3</v>
      </c>
      <c r="C77" s="84" t="str">
        <f t="array" aca="1" ref="C77" ca="1">IF(OR((C$67&gt;=$AW$11:$AW$74)*(C$48&lt;=$AX$11:$AX$74)&gt;0),$B77,"")</f>
        <v/>
      </c>
      <c r="D77" s="84" t="str">
        <f t="array" aca="1" ref="D77" ca="1">IF(OR((D$67&gt;=$AW$11:$AW$74)*(D$48&lt;=$AX$11:$AX$74)&gt;0),$B77,"")</f>
        <v/>
      </c>
      <c r="E77" s="84" t="str">
        <f t="array" aca="1" ref="E77" ca="1">IF(OR((E$67&gt;=$AW$11:$AW$74)*(E$48&lt;=$AX$11:$AX$74)&gt;0),$B77,"")</f>
        <v/>
      </c>
      <c r="F77" s="84" t="str">
        <f t="array" aca="1" ref="F77" ca="1">IF(OR((F$67&gt;=$AW$11:$AW$74)*(F$48&lt;=$AX$11:$AX$74)&gt;0),$B77,"")</f>
        <v/>
      </c>
      <c r="G77" s="84" t="str">
        <f t="array" aca="1" ref="G77" ca="1">IF(OR((G$67&gt;=$AW$11:$AW$74)*(G$48&lt;=$AX$11:$AX$74)&gt;0),$B77,"")</f>
        <v/>
      </c>
      <c r="H77" s="84" t="str">
        <f t="array" aca="1" ref="H77" ca="1">IF(OR((H$67&gt;=$AW$11:$AW$74)*(H$48&lt;=$AX$11:$AX$74)&gt;0),$B77,"")</f>
        <v/>
      </c>
      <c r="I77" s="84" t="str">
        <f t="array" aca="1" ref="I77" ca="1">IF(OR((I$67&gt;=$AW$11:$AW$74)*(I$48&lt;=$AX$11:$AX$74)&gt;0),$B77,"")</f>
        <v/>
      </c>
      <c r="J77" s="84" t="str">
        <f t="array" aca="1" ref="J77" ca="1">IF(OR((J$67&gt;=$AW$11:$AW$74)*(J$48&lt;=$AX$11:$AX$74)&gt;0),$B77,"")</f>
        <v/>
      </c>
      <c r="K77" s="84" t="str">
        <f t="array" aca="1" ref="K77" ca="1">IF(OR((K$67&gt;=$AW$11:$AW$74)*(K$48&lt;=$AX$11:$AX$74)&gt;0),$B77,"")</f>
        <v/>
      </c>
      <c r="L77" s="84" t="str">
        <f t="array" aca="1" ref="L77" ca="1">IF(OR((L$67&gt;=$AW$11:$AW$74)*(L$48&lt;=$AX$11:$AX$74)&gt;0),$B77,"")</f>
        <v/>
      </c>
      <c r="M77" s="84" t="str">
        <f t="array" aca="1" ref="M77" ca="1">IF(OR((M$67&gt;=$AW$11:$AW$74)*(M$48&lt;=$AX$11:$AX$74)&gt;0),$B77,"")</f>
        <v/>
      </c>
      <c r="N77" s="84" t="str">
        <f t="array" aca="1" ref="N77" ca="1">IF(OR((N$67&gt;=$AW$11:$AW$74)*(N$48&lt;=$AX$11:$AX$74)&gt;0),$B77,"")</f>
        <v/>
      </c>
      <c r="O77" s="84" t="str">
        <f t="array" aca="1" ref="O77" ca="1">IF(OR((O$67&gt;=$AW$11:$AW$74)*(O$48&lt;=$AX$11:$AX$74)&gt;0),$B77,"")</f>
        <v/>
      </c>
      <c r="P77" s="84" t="str">
        <f t="array" aca="1" ref="P77" ca="1">IF(OR((P$67&gt;=$AW$11:$AW$74)*(P$48&lt;=$AX$11:$AX$74)&gt;0),$B77,"")</f>
        <v/>
      </c>
      <c r="Q77" s="84" t="str">
        <f t="array" aca="1" ref="Q77" ca="1">IF(OR((Q$67&gt;=$AW$11:$AW$74)*(Q$48&lt;=$AX$11:$AX$74)&gt;0),$B77,"")</f>
        <v/>
      </c>
      <c r="R77" s="84" t="str">
        <f t="array" aca="1" ref="R77" ca="1">IF(OR((R$67&gt;=$AW$11:$AW$74)*(R$48&lt;=$AX$11:$AX$74)&gt;0),$B77,"")</f>
        <v/>
      </c>
      <c r="S77" s="84" t="str">
        <f t="array" aca="1" ref="S77" ca="1">IF(OR((S$67&gt;=$AW$11:$AW$74)*(S$48&lt;=$AX$11:$AX$74)&gt;0),$B77,"")</f>
        <v/>
      </c>
      <c r="T77" s="84" t="str">
        <f t="array" aca="1" ref="T77" ca="1">IF(OR((T$67&gt;=$AW$11:$AW$74)*(T$48&lt;=$AX$11:$AX$74)&gt;0),$B77,"")</f>
        <v/>
      </c>
      <c r="U77" s="84" t="str">
        <f t="array" aca="1" ref="U77" ca="1">IF(OR((U$67&gt;=$AW$11:$AW$74)*(U$48&lt;=$AX$11:$AX$74)&gt;0),$B77,"")</f>
        <v/>
      </c>
      <c r="V77" s="84" t="str">
        <f t="array" aca="1" ref="V77" ca="1">IF(OR((V$67&gt;=$AW$11:$AW$74)*(V$48&lt;=$AX$11:$AX$74)&gt;0),$B77,"")</f>
        <v/>
      </c>
      <c r="W77" s="84" t="str">
        <f t="array" aca="1" ref="W77" ca="1">IF(OR((W$67&gt;=$AW$11:$AW$74)*(W$48&lt;=$AX$11:$AX$74)&gt;0),$B77,"")</f>
        <v/>
      </c>
      <c r="X77" s="84" t="str">
        <f t="array" aca="1" ref="X77" ca="1">IF(OR((X$67&gt;=$AW$11:$AW$74)*(X$48&lt;=$AX$11:$AX$74)&gt;0),$B77,"")</f>
        <v/>
      </c>
      <c r="Y77" s="84" t="str">
        <f t="array" aca="1" ref="Y77" ca="1">IF(OR((Y$67&gt;=$AW$11:$AW$74)*(Y$48&lt;=$AX$11:$AX$74)&gt;0),$B77,"")</f>
        <v/>
      </c>
      <c r="Z77" s="84" t="str">
        <f t="array" aca="1" ref="Z77" ca="1">IF(OR((Z$67&gt;=$AW$11:$AW$74)*(Z$48&lt;=$AX$11:$AX$74)&gt;0),$B77,"")</f>
        <v/>
      </c>
      <c r="AA77" s="84" t="str">
        <f t="array" aca="1" ref="AA77" ca="1">IF(OR((AA$67&gt;=$AW$11:$AW$74)*(AA$48&lt;=$AX$11:$AX$74)&gt;0),$B77,"")</f>
        <v/>
      </c>
      <c r="AB77" s="84" t="str">
        <f t="array" aca="1" ref="AB77" ca="1">IF(OR((AB$67&gt;=$AW$11:$AW$74)*(AB$48&lt;=$AX$11:$AX$74)&gt;0),$B77,"")</f>
        <v/>
      </c>
      <c r="AC77" s="84" t="str">
        <f t="array" aca="1" ref="AC77" ca="1">IF(OR((AC$67&gt;=$AW$11:$AW$74)*(AC$48&lt;=$AX$11:$AX$74)&gt;0),$B77,"")</f>
        <v/>
      </c>
      <c r="AD77" s="84" t="str">
        <f t="array" aca="1" ref="AD77" ca="1">IF(OR((AD$67&gt;=$AW$11:$AW$74)*(AD$48&lt;=$AX$11:$AX$74)&gt;0),$B77,"")</f>
        <v/>
      </c>
      <c r="AE77" s="84" t="str">
        <f t="array" aca="1" ref="AE77" ca="1">IF(OR((AE$67&gt;=$AW$11:$AW$74)*(AE$48&lt;=$AX$11:$AX$74)&gt;0),$B77,"")</f>
        <v/>
      </c>
      <c r="AF77" s="84" t="str">
        <f t="array" aca="1" ref="AF77" ca="1">IF(OR((AF$67&gt;=$AW$11:$AW$74)*(AF$48&lt;=$AX$11:$AX$74)&gt;0),$B77,"")</f>
        <v/>
      </c>
      <c r="AG77" s="84" t="str">
        <f t="array" aca="1" ref="AG77" ca="1">IF(OR((AG$67&gt;=$AW$11:$AW$74)*(AG$48&lt;=$AX$11:$AX$74)&gt;0),$B77,"")</f>
        <v/>
      </c>
      <c r="AH77" s="84" t="str">
        <f t="array" aca="1" ref="AH77" ca="1">IF(OR((AH$67&gt;=$AW$11:$AW$74)*(AH$48&lt;=$AX$11:$AX$74)&gt;0),$B77,"")</f>
        <v/>
      </c>
      <c r="AI77" s="84" t="str">
        <f t="array" aca="1" ref="AI77" ca="1">IF(OR((AI$67&gt;=$AW$11:$AW$74)*(AI$48&lt;=$AX$11:$AX$74)&gt;0),$B77,"")</f>
        <v/>
      </c>
    </row>
    <row r="78" spans="1:36" hidden="1">
      <c r="A78" s="80" t="s">
        <v>182</v>
      </c>
      <c r="B78" s="128">
        <v>3</v>
      </c>
      <c r="C78" s="84" t="str">
        <f t="array" aca="1" ref="C78" ca="1">IF(OR((C$67&gt;=$AW$11:$AW$74)*(C$48&lt;=$AX$11:$AX$74)&gt;0),$B78,"")</f>
        <v/>
      </c>
      <c r="D78" s="84" t="str">
        <f t="array" aca="1" ref="D78" ca="1">IF(OR((D$67&gt;=$AW$11:$AW$74)*(D$48&lt;=$AX$11:$AX$74)&gt;0),$B78,"")</f>
        <v/>
      </c>
      <c r="E78" s="84" t="str">
        <f t="array" aca="1" ref="E78" ca="1">IF(OR((E$67&gt;=$AW$11:$AW$74)*(E$48&lt;=$AX$11:$AX$74)&gt;0),$B78,"")</f>
        <v/>
      </c>
      <c r="F78" s="84" t="str">
        <f t="array" aca="1" ref="F78" ca="1">IF(OR((F$67&gt;=$AW$11:$AW$74)*(F$48&lt;=$AX$11:$AX$74)&gt;0),$B78,"")</f>
        <v/>
      </c>
      <c r="G78" s="84" t="str">
        <f t="array" aca="1" ref="G78" ca="1">IF(OR((G$67&gt;=$AW$11:$AW$74)*(G$48&lt;=$AX$11:$AX$74)&gt;0),$B78,"")</f>
        <v/>
      </c>
      <c r="H78" s="84" t="str">
        <f t="array" aca="1" ref="H78" ca="1">IF(OR((H$67&gt;=$AW$11:$AW$74)*(H$48&lt;=$AX$11:$AX$74)&gt;0),$B78,"")</f>
        <v/>
      </c>
      <c r="I78" s="84" t="str">
        <f t="array" aca="1" ref="I78" ca="1">IF(OR((I$67&gt;=$AW$11:$AW$74)*(I$48&lt;=$AX$11:$AX$74)&gt;0),$B78,"")</f>
        <v/>
      </c>
      <c r="J78" s="84" t="str">
        <f t="array" aca="1" ref="J78" ca="1">IF(OR((J$67&gt;=$AW$11:$AW$74)*(J$48&lt;=$AX$11:$AX$74)&gt;0),$B78,"")</f>
        <v/>
      </c>
      <c r="K78" s="84" t="str">
        <f t="array" aca="1" ref="K78" ca="1">IF(OR((K$67&gt;=$AW$11:$AW$74)*(K$48&lt;=$AX$11:$AX$74)&gt;0),$B78,"")</f>
        <v/>
      </c>
      <c r="L78" s="84" t="str">
        <f t="array" aca="1" ref="L78" ca="1">IF(OR((L$67&gt;=$AW$11:$AW$74)*(L$48&lt;=$AX$11:$AX$74)&gt;0),$B78,"")</f>
        <v/>
      </c>
      <c r="M78" s="84" t="str">
        <f t="array" aca="1" ref="M78" ca="1">IF(OR((M$67&gt;=$AW$11:$AW$74)*(M$48&lt;=$AX$11:$AX$74)&gt;0),$B78,"")</f>
        <v/>
      </c>
      <c r="N78" s="84" t="str">
        <f t="array" aca="1" ref="N78" ca="1">IF(OR((N$67&gt;=$AW$11:$AW$74)*(N$48&lt;=$AX$11:$AX$74)&gt;0),$B78,"")</f>
        <v/>
      </c>
      <c r="O78" s="84" t="str">
        <f t="array" aca="1" ref="O78" ca="1">IF(OR((O$67&gt;=$AW$11:$AW$74)*(O$48&lt;=$AX$11:$AX$74)&gt;0),$B78,"")</f>
        <v/>
      </c>
      <c r="P78" s="84" t="str">
        <f t="array" aca="1" ref="P78" ca="1">IF(OR((P$67&gt;=$AW$11:$AW$74)*(P$48&lt;=$AX$11:$AX$74)&gt;0),$B78,"")</f>
        <v/>
      </c>
      <c r="Q78" s="84" t="str">
        <f t="array" aca="1" ref="Q78" ca="1">IF(OR((Q$67&gt;=$AW$11:$AW$74)*(Q$48&lt;=$AX$11:$AX$74)&gt;0),$B78,"")</f>
        <v/>
      </c>
      <c r="R78" s="84" t="str">
        <f t="array" aca="1" ref="R78" ca="1">IF(OR((R$67&gt;=$AW$11:$AW$74)*(R$48&lt;=$AX$11:$AX$74)&gt;0),$B78,"")</f>
        <v/>
      </c>
      <c r="S78" s="84" t="str">
        <f t="array" aca="1" ref="S78" ca="1">IF(OR((S$67&gt;=$AW$11:$AW$74)*(S$48&lt;=$AX$11:$AX$74)&gt;0),$B78,"")</f>
        <v/>
      </c>
      <c r="T78" s="84" t="str">
        <f t="array" aca="1" ref="T78" ca="1">IF(OR((T$67&gt;=$AW$11:$AW$74)*(T$48&lt;=$AX$11:$AX$74)&gt;0),$B78,"")</f>
        <v/>
      </c>
      <c r="U78" s="84" t="str">
        <f t="array" aca="1" ref="U78" ca="1">IF(OR((U$67&gt;=$AW$11:$AW$74)*(U$48&lt;=$AX$11:$AX$74)&gt;0),$B78,"")</f>
        <v/>
      </c>
      <c r="V78" s="84" t="str">
        <f t="array" aca="1" ref="V78" ca="1">IF(OR((V$67&gt;=$AW$11:$AW$74)*(V$48&lt;=$AX$11:$AX$74)&gt;0),$B78,"")</f>
        <v/>
      </c>
      <c r="W78" s="84" t="str">
        <f t="array" aca="1" ref="W78" ca="1">IF(OR((W$67&gt;=$AW$11:$AW$74)*(W$48&lt;=$AX$11:$AX$74)&gt;0),$B78,"")</f>
        <v/>
      </c>
      <c r="X78" s="84" t="str">
        <f t="array" aca="1" ref="X78" ca="1">IF(OR((X$67&gt;=$AW$11:$AW$74)*(X$48&lt;=$AX$11:$AX$74)&gt;0),$B78,"")</f>
        <v/>
      </c>
      <c r="Y78" s="84" t="str">
        <f t="array" aca="1" ref="Y78" ca="1">IF(OR((Y$67&gt;=$AW$11:$AW$74)*(Y$48&lt;=$AX$11:$AX$74)&gt;0),$B78,"")</f>
        <v/>
      </c>
      <c r="Z78" s="84" t="str">
        <f t="array" aca="1" ref="Z78" ca="1">IF(OR((Z$67&gt;=$AW$11:$AW$74)*(Z$48&lt;=$AX$11:$AX$74)&gt;0),$B78,"")</f>
        <v/>
      </c>
      <c r="AA78" s="84" t="str">
        <f t="array" aca="1" ref="AA78" ca="1">IF(OR((AA$67&gt;=$AW$11:$AW$74)*(AA$48&lt;=$AX$11:$AX$74)&gt;0),$B78,"")</f>
        <v/>
      </c>
      <c r="AB78" s="84" t="str">
        <f t="array" aca="1" ref="AB78" ca="1">IF(OR((AB$67&gt;=$AW$11:$AW$74)*(AB$48&lt;=$AX$11:$AX$74)&gt;0),$B78,"")</f>
        <v/>
      </c>
      <c r="AC78" s="84" t="str">
        <f t="array" aca="1" ref="AC78" ca="1">IF(OR((AC$67&gt;=$AW$11:$AW$74)*(AC$48&lt;=$AX$11:$AX$74)&gt;0),$B78,"")</f>
        <v/>
      </c>
      <c r="AD78" s="84" t="str">
        <f t="array" aca="1" ref="AD78" ca="1">IF(OR((AD$67&gt;=$AW$11:$AW$74)*(AD$48&lt;=$AX$11:$AX$74)&gt;0),$B78,"")</f>
        <v/>
      </c>
      <c r="AE78" s="84" t="str">
        <f t="array" aca="1" ref="AE78" ca="1">IF(OR((AE$67&gt;=$AW$11:$AW$74)*(AE$48&lt;=$AX$11:$AX$74)&gt;0),$B78,"")</f>
        <v/>
      </c>
      <c r="AF78" s="84" t="str">
        <f t="array" aca="1" ref="AF78" ca="1">IF(OR((AF$67&gt;=$AW$11:$AW$74)*(AF$48&lt;=$AX$11:$AX$74)&gt;0),$B78,"")</f>
        <v/>
      </c>
      <c r="AG78" s="84" t="str">
        <f t="array" aca="1" ref="AG78" ca="1">IF(OR((AG$67&gt;=$AW$11:$AW$74)*(AG$48&lt;=$AX$11:$AX$74)&gt;0),$B78,"")</f>
        <v/>
      </c>
      <c r="AH78" s="84" t="str">
        <f t="array" aca="1" ref="AH78" ca="1">IF(OR((AH$67&gt;=$AW$11:$AW$74)*(AH$48&lt;=$AX$11:$AX$74)&gt;0),$B78,"")</f>
        <v/>
      </c>
      <c r="AI78" s="84" t="str">
        <f t="array" aca="1" ref="AI78" ca="1">IF(OR((AI$67&gt;=$AW$11:$AW$74)*(AI$48&lt;=$AX$11:$AX$74)&gt;0),$B78,"")</f>
        <v/>
      </c>
    </row>
    <row r="79" spans="1:36" hidden="1">
      <c r="A79" s="80" t="s">
        <v>183</v>
      </c>
      <c r="B79" s="128">
        <v>5</v>
      </c>
      <c r="C79" s="84" t="str">
        <f t="array" aca="1" ref="C79" ca="1">IF(OR((C$67&gt;=$AW$11:$AW$74)*(C$48&lt;=$AX$11:$AX$74)&gt;0),$B79,"")</f>
        <v/>
      </c>
      <c r="D79" s="84" t="str">
        <f t="array" aca="1" ref="D79" ca="1">IF(OR((D$67&gt;=$AW$11:$AW$74)*(D$48&lt;=$AX$11:$AX$74)&gt;0),$B79,"")</f>
        <v/>
      </c>
      <c r="E79" s="84" t="str">
        <f t="array" aca="1" ref="E79" ca="1">IF(OR((E$67&gt;=$AW$11:$AW$74)*(E$48&lt;=$AX$11:$AX$74)&gt;0),$B79,"")</f>
        <v/>
      </c>
      <c r="F79" s="84" t="str">
        <f t="array" aca="1" ref="F79" ca="1">IF(OR((F$67&gt;=$AW$11:$AW$74)*(F$48&lt;=$AX$11:$AX$74)&gt;0),$B79,"")</f>
        <v/>
      </c>
      <c r="G79" s="84" t="str">
        <f t="array" aca="1" ref="G79" ca="1">IF(OR((G$67&gt;=$AW$11:$AW$74)*(G$48&lt;=$AX$11:$AX$74)&gt;0),$B79,"")</f>
        <v/>
      </c>
      <c r="H79" s="84" t="str">
        <f t="array" aca="1" ref="H79" ca="1">IF(OR((H$67&gt;=$AW$11:$AW$74)*(H$48&lt;=$AX$11:$AX$74)&gt;0),$B79,"")</f>
        <v/>
      </c>
      <c r="I79" s="84" t="str">
        <f t="array" aca="1" ref="I79" ca="1">IF(OR((I$67&gt;=$AW$11:$AW$74)*(I$48&lt;=$AX$11:$AX$74)&gt;0),$B79,"")</f>
        <v/>
      </c>
      <c r="J79" s="84" t="str">
        <f t="array" aca="1" ref="J79" ca="1">IF(OR((J$67&gt;=$AW$11:$AW$74)*(J$48&lt;=$AX$11:$AX$74)&gt;0),$B79,"")</f>
        <v/>
      </c>
      <c r="K79" s="84" t="str">
        <f t="array" aca="1" ref="K79" ca="1">IF(OR((K$67&gt;=$AW$11:$AW$74)*(K$48&lt;=$AX$11:$AX$74)&gt;0),$B79,"")</f>
        <v/>
      </c>
      <c r="L79" s="84" t="str">
        <f t="array" aca="1" ref="L79" ca="1">IF(OR((L$67&gt;=$AW$11:$AW$74)*(L$48&lt;=$AX$11:$AX$74)&gt;0),$B79,"")</f>
        <v/>
      </c>
      <c r="M79" s="84" t="str">
        <f t="array" aca="1" ref="M79" ca="1">IF(OR((M$67&gt;=$AW$11:$AW$74)*(M$48&lt;=$AX$11:$AX$74)&gt;0),$B79,"")</f>
        <v/>
      </c>
      <c r="N79" s="84" t="str">
        <f t="array" aca="1" ref="N79" ca="1">IF(OR((N$67&gt;=$AW$11:$AW$74)*(N$48&lt;=$AX$11:$AX$74)&gt;0),$B79,"")</f>
        <v/>
      </c>
      <c r="O79" s="84" t="str">
        <f t="array" aca="1" ref="O79" ca="1">IF(OR((O$67&gt;=$AW$11:$AW$74)*(O$48&lt;=$AX$11:$AX$74)&gt;0),$B79,"")</f>
        <v/>
      </c>
      <c r="P79" s="84" t="str">
        <f t="array" aca="1" ref="P79" ca="1">IF(OR((P$67&gt;=$AW$11:$AW$74)*(P$48&lt;=$AX$11:$AX$74)&gt;0),$B79,"")</f>
        <v/>
      </c>
      <c r="Q79" s="84" t="str">
        <f t="array" aca="1" ref="Q79" ca="1">IF(OR((Q$67&gt;=$AW$11:$AW$74)*(Q$48&lt;=$AX$11:$AX$74)&gt;0),$B79,"")</f>
        <v/>
      </c>
      <c r="R79" s="84" t="str">
        <f t="array" aca="1" ref="R79" ca="1">IF(OR((R$67&gt;=$AW$11:$AW$74)*(R$48&lt;=$AX$11:$AX$74)&gt;0),$B79,"")</f>
        <v/>
      </c>
      <c r="S79" s="84" t="str">
        <f t="array" aca="1" ref="S79" ca="1">IF(OR((S$67&gt;=$AW$11:$AW$74)*(S$48&lt;=$AX$11:$AX$74)&gt;0),$B79,"")</f>
        <v/>
      </c>
      <c r="T79" s="84" t="str">
        <f t="array" aca="1" ref="T79" ca="1">IF(OR((T$67&gt;=$AW$11:$AW$74)*(T$48&lt;=$AX$11:$AX$74)&gt;0),$B79,"")</f>
        <v/>
      </c>
      <c r="U79" s="84" t="str">
        <f t="array" aca="1" ref="U79" ca="1">IF(OR((U$67&gt;=$AW$11:$AW$74)*(U$48&lt;=$AX$11:$AX$74)&gt;0),$B79,"")</f>
        <v/>
      </c>
      <c r="V79" s="84" t="str">
        <f t="array" aca="1" ref="V79" ca="1">IF(OR((V$67&gt;=$AW$11:$AW$74)*(V$48&lt;=$AX$11:$AX$74)&gt;0),$B79,"")</f>
        <v/>
      </c>
      <c r="W79" s="84" t="str">
        <f t="array" aca="1" ref="W79" ca="1">IF(OR((W$67&gt;=$AW$11:$AW$74)*(W$48&lt;=$AX$11:$AX$74)&gt;0),$B79,"")</f>
        <v/>
      </c>
      <c r="X79" s="84" t="str">
        <f t="array" aca="1" ref="X79" ca="1">IF(OR((X$67&gt;=$AW$11:$AW$74)*(X$48&lt;=$AX$11:$AX$74)&gt;0),$B79,"")</f>
        <v/>
      </c>
      <c r="Y79" s="84" t="str">
        <f t="array" aca="1" ref="Y79" ca="1">IF(OR((Y$67&gt;=$AW$11:$AW$74)*(Y$48&lt;=$AX$11:$AX$74)&gt;0),$B79,"")</f>
        <v/>
      </c>
      <c r="Z79" s="84" t="str">
        <f t="array" aca="1" ref="Z79" ca="1">IF(OR((Z$67&gt;=$AW$11:$AW$74)*(Z$48&lt;=$AX$11:$AX$74)&gt;0),$B79,"")</f>
        <v/>
      </c>
      <c r="AA79" s="84" t="str">
        <f t="array" aca="1" ref="AA79" ca="1">IF(OR((AA$67&gt;=$AW$11:$AW$74)*(AA$48&lt;=$AX$11:$AX$74)&gt;0),$B79,"")</f>
        <v/>
      </c>
      <c r="AB79" s="84" t="str">
        <f t="array" aca="1" ref="AB79" ca="1">IF(OR((AB$67&gt;=$AW$11:$AW$74)*(AB$48&lt;=$AX$11:$AX$74)&gt;0),$B79,"")</f>
        <v/>
      </c>
      <c r="AC79" s="84" t="str">
        <f t="array" aca="1" ref="AC79" ca="1">IF(OR((AC$67&gt;=$AW$11:$AW$74)*(AC$48&lt;=$AX$11:$AX$74)&gt;0),$B79,"")</f>
        <v/>
      </c>
      <c r="AD79" s="84" t="str">
        <f t="array" aca="1" ref="AD79" ca="1">IF(OR((AD$67&gt;=$AW$11:$AW$74)*(AD$48&lt;=$AX$11:$AX$74)&gt;0),$B79,"")</f>
        <v/>
      </c>
      <c r="AE79" s="84" t="str">
        <f t="array" aca="1" ref="AE79" ca="1">IF(OR((AE$67&gt;=$AW$11:$AW$74)*(AE$48&lt;=$AX$11:$AX$74)&gt;0),$B79,"")</f>
        <v/>
      </c>
      <c r="AF79" s="84" t="str">
        <f t="array" aca="1" ref="AF79" ca="1">IF(OR((AF$67&gt;=$AW$11:$AW$74)*(AF$48&lt;=$AX$11:$AX$74)&gt;0),$B79,"")</f>
        <v/>
      </c>
      <c r="AG79" s="84" t="str">
        <f t="array" aca="1" ref="AG79" ca="1">IF(OR((AG$67&gt;=$AW$11:$AW$74)*(AG$48&lt;=$AX$11:$AX$74)&gt;0),$B79,"")</f>
        <v/>
      </c>
      <c r="AH79" s="84" t="str">
        <f t="array" aca="1" ref="AH79" ca="1">IF(OR((AH$67&gt;=$AW$11:$AW$74)*(AH$48&lt;=$AX$11:$AX$74)&gt;0),$B79,"")</f>
        <v/>
      </c>
      <c r="AI79" s="84" t="str">
        <f t="array" aca="1" ref="AI79" ca="1">IF(OR((AI$67&gt;=$AW$11:$AW$74)*(AI$48&lt;=$AX$11:$AX$74)&gt;0),$B79,"")</f>
        <v/>
      </c>
    </row>
    <row r="80" spans="1:36" ht="16.5" hidden="1" customHeight="1">
      <c r="A80" s="80" t="s">
        <v>184</v>
      </c>
      <c r="B80" s="128">
        <v>1</v>
      </c>
      <c r="C80" s="84" t="str">
        <f t="array" aca="1" ref="C80" ca="1">IF(OR((C$67&gt;=$AW$11:$AW$74)*(C$48&lt;=$AX$11:$AX$74)&gt;0),$B80,"")</f>
        <v/>
      </c>
      <c r="D80" s="84" t="str">
        <f t="array" aca="1" ref="D80" ca="1">IF(OR((D$67&gt;=$AW$11:$AW$74)*(D$48&lt;=$AX$11:$AX$74)&gt;0),$B80,"")</f>
        <v/>
      </c>
      <c r="E80" s="84" t="str">
        <f t="array" aca="1" ref="E80" ca="1">IF(OR((E$67&gt;=$AW$11:$AW$74)*(E$48&lt;=$AX$11:$AX$74)&gt;0),$B80,"")</f>
        <v/>
      </c>
      <c r="F80" s="84" t="str">
        <f t="array" aca="1" ref="F80" ca="1">IF(OR((F$67&gt;=$AW$11:$AW$74)*(F$48&lt;=$AX$11:$AX$74)&gt;0),$B80,"")</f>
        <v/>
      </c>
      <c r="G80" s="84" t="str">
        <f t="array" aca="1" ref="G80" ca="1">IF(OR((G$67&gt;=$AW$11:$AW$74)*(G$48&lt;=$AX$11:$AX$74)&gt;0),$B80,"")</f>
        <v/>
      </c>
      <c r="H80" s="84" t="str">
        <f t="array" aca="1" ref="H80" ca="1">IF(OR((H$67&gt;=$AW$11:$AW$74)*(H$48&lt;=$AX$11:$AX$74)&gt;0),$B80,"")</f>
        <v/>
      </c>
      <c r="I80" s="84" t="str">
        <f t="array" aca="1" ref="I80" ca="1">IF(OR((I$67&gt;=$AW$11:$AW$74)*(I$48&lt;=$AX$11:$AX$74)&gt;0),$B80,"")</f>
        <v/>
      </c>
      <c r="J80" s="84" t="str">
        <f t="array" aca="1" ref="J80" ca="1">IF(OR((J$67&gt;=$AW$11:$AW$74)*(J$48&lt;=$AX$11:$AX$74)&gt;0),$B80,"")</f>
        <v/>
      </c>
      <c r="K80" s="84" t="str">
        <f t="array" aca="1" ref="K80" ca="1">IF(OR((K$67&gt;=$AW$11:$AW$74)*(K$48&lt;=$AX$11:$AX$74)&gt;0),$B80,"")</f>
        <v/>
      </c>
      <c r="L80" s="84" t="str">
        <f t="array" aca="1" ref="L80" ca="1">IF(OR((L$67&gt;=$AW$11:$AW$74)*(L$48&lt;=$AX$11:$AX$74)&gt;0),$B80,"")</f>
        <v/>
      </c>
      <c r="M80" s="84" t="str">
        <f t="array" aca="1" ref="M80" ca="1">IF(OR((M$67&gt;=$AW$11:$AW$74)*(M$48&lt;=$AX$11:$AX$74)&gt;0),$B80,"")</f>
        <v/>
      </c>
      <c r="N80" s="84" t="str">
        <f t="array" aca="1" ref="N80" ca="1">IF(OR((N$67&gt;=$AW$11:$AW$74)*(N$48&lt;=$AX$11:$AX$74)&gt;0),$B80,"")</f>
        <v/>
      </c>
      <c r="O80" s="84" t="str">
        <f t="array" aca="1" ref="O80" ca="1">IF(OR((O$67&gt;=$AW$11:$AW$74)*(O$48&lt;=$AX$11:$AX$74)&gt;0),$B80,"")</f>
        <v/>
      </c>
      <c r="P80" s="84" t="str">
        <f t="array" aca="1" ref="P80" ca="1">IF(OR((P$67&gt;=$AW$11:$AW$74)*(P$48&lt;=$AX$11:$AX$74)&gt;0),$B80,"")</f>
        <v/>
      </c>
      <c r="Q80" s="84" t="str">
        <f t="array" aca="1" ref="Q80" ca="1">IF(OR((Q$67&gt;=$AW$11:$AW$74)*(Q$48&lt;=$AX$11:$AX$74)&gt;0),$B80,"")</f>
        <v/>
      </c>
      <c r="R80" s="84" t="str">
        <f t="array" aca="1" ref="R80" ca="1">IF(OR((R$67&gt;=$AW$11:$AW$74)*(R$48&lt;=$AX$11:$AX$74)&gt;0),$B80,"")</f>
        <v/>
      </c>
      <c r="S80" s="84" t="str">
        <f t="array" aca="1" ref="S80" ca="1">IF(OR((S$67&gt;=$AW$11:$AW$74)*(S$48&lt;=$AX$11:$AX$74)&gt;0),$B80,"")</f>
        <v/>
      </c>
      <c r="T80" s="84" t="str">
        <f t="array" aca="1" ref="T80" ca="1">IF(OR((T$67&gt;=$AW$11:$AW$74)*(T$48&lt;=$AX$11:$AX$74)&gt;0),$B80,"")</f>
        <v/>
      </c>
      <c r="U80" s="84" t="str">
        <f t="array" aca="1" ref="U80" ca="1">IF(OR((U$67&gt;=$AW$11:$AW$74)*(U$48&lt;=$AX$11:$AX$74)&gt;0),$B80,"")</f>
        <v/>
      </c>
      <c r="V80" s="84" t="str">
        <f t="array" aca="1" ref="V80" ca="1">IF(OR((V$67&gt;=$AW$11:$AW$74)*(V$48&lt;=$AX$11:$AX$74)&gt;0),$B80,"")</f>
        <v/>
      </c>
      <c r="W80" s="84" t="str">
        <f t="array" aca="1" ref="W80" ca="1">IF(OR((W$67&gt;=$AW$11:$AW$74)*(W$48&lt;=$AX$11:$AX$74)&gt;0),$B80,"")</f>
        <v/>
      </c>
      <c r="X80" s="84" t="str">
        <f t="array" aca="1" ref="X80" ca="1">IF(OR((X$67&gt;=$AW$11:$AW$74)*(X$48&lt;=$AX$11:$AX$74)&gt;0),$B80,"")</f>
        <v/>
      </c>
      <c r="Y80" s="84" t="str">
        <f t="array" aca="1" ref="Y80" ca="1">IF(OR((Y$67&gt;=$AW$11:$AW$74)*(Y$48&lt;=$AX$11:$AX$74)&gt;0),$B80,"")</f>
        <v/>
      </c>
      <c r="Z80" s="84" t="str">
        <f t="array" aca="1" ref="Z80" ca="1">IF(OR((Z$67&gt;=$AW$11:$AW$74)*(Z$48&lt;=$AX$11:$AX$74)&gt;0),$B80,"")</f>
        <v/>
      </c>
      <c r="AA80" s="84" t="str">
        <f t="array" aca="1" ref="AA80" ca="1">IF(OR((AA$67&gt;=$AW$11:$AW$74)*(AA$48&lt;=$AX$11:$AX$74)&gt;0),$B80,"")</f>
        <v/>
      </c>
      <c r="AB80" s="84" t="str">
        <f t="array" aca="1" ref="AB80" ca="1">IF(OR((AB$67&gt;=$AW$11:$AW$74)*(AB$48&lt;=$AX$11:$AX$74)&gt;0),$B80,"")</f>
        <v/>
      </c>
      <c r="AC80" s="84" t="str">
        <f t="array" aca="1" ref="AC80" ca="1">IF(OR((AC$67&gt;=$AW$11:$AW$74)*(AC$48&lt;=$AX$11:$AX$74)&gt;0),$B80,"")</f>
        <v/>
      </c>
      <c r="AD80" s="84" t="str">
        <f t="array" aca="1" ref="AD80" ca="1">IF(OR((AD$67&gt;=$AW$11:$AW$74)*(AD$48&lt;=$AX$11:$AX$74)&gt;0),$B80,"")</f>
        <v/>
      </c>
      <c r="AE80" s="84" t="str">
        <f t="array" aca="1" ref="AE80" ca="1">IF(OR((AE$67&gt;=$AW$11:$AW$74)*(AE$48&lt;=$AX$11:$AX$74)&gt;0),$B80,"")</f>
        <v/>
      </c>
      <c r="AF80" s="84" t="str">
        <f t="array" aca="1" ref="AF80" ca="1">IF(OR((AF$67&gt;=$AW$11:$AW$74)*(AF$48&lt;=$AX$11:$AX$74)&gt;0),$B80,"")</f>
        <v/>
      </c>
      <c r="AG80" s="84" t="str">
        <f t="array" aca="1" ref="AG80" ca="1">IF(OR((AG$67&gt;=$AW$11:$AW$74)*(AG$48&lt;=$AX$11:$AX$74)&gt;0),$B80,"")</f>
        <v/>
      </c>
      <c r="AH80" s="84" t="str">
        <f t="array" aca="1" ref="AH80" ca="1">IF(OR((AH$67&gt;=$AW$11:$AW$74)*(AH$48&lt;=$AX$11:$AX$74)&gt;0),$B80,"")</f>
        <v/>
      </c>
      <c r="AI80" s="84" t="str">
        <f t="array" aca="1" ref="AI80" ca="1">IF(OR((AI$67&gt;=$AW$11:$AW$74)*(AI$48&lt;=$AX$11:$AX$74)&gt;0),$B80,"")</f>
        <v/>
      </c>
    </row>
    <row r="81" spans="1:35" hidden="1">
      <c r="A81" s="80" t="s">
        <v>185</v>
      </c>
      <c r="B81" s="128">
        <v>2</v>
      </c>
      <c r="C81" s="84" t="str">
        <f t="array" aca="1" ref="C81" ca="1">IF(OR((C$67&gt;=$AW$11:$AW$74)*(C$48&lt;=$AX$11:$AX$74)&gt;0),$B81,"")</f>
        <v/>
      </c>
      <c r="D81" s="84" t="str">
        <f t="array" aca="1" ref="D81" ca="1">IF(OR((D$67&gt;=$AW$11:$AW$74)*(D$48&lt;=$AX$11:$AX$74)&gt;0),$B81,"")</f>
        <v/>
      </c>
      <c r="E81" s="84" t="str">
        <f t="array" aca="1" ref="E81" ca="1">IF(OR((E$67&gt;=$AW$11:$AW$74)*(E$48&lt;=$AX$11:$AX$74)&gt;0),$B81,"")</f>
        <v/>
      </c>
      <c r="F81" s="84" t="str">
        <f t="array" aca="1" ref="F81" ca="1">IF(OR((F$67&gt;=$AW$11:$AW$74)*(F$48&lt;=$AX$11:$AX$74)&gt;0),$B81,"")</f>
        <v/>
      </c>
      <c r="G81" s="84" t="str">
        <f t="array" aca="1" ref="G81" ca="1">IF(OR((G$67&gt;=$AW$11:$AW$74)*(G$48&lt;=$AX$11:$AX$74)&gt;0),$B81,"")</f>
        <v/>
      </c>
      <c r="H81" s="84" t="str">
        <f t="array" aca="1" ref="H81" ca="1">IF(OR((H$67&gt;=$AW$11:$AW$74)*(H$48&lt;=$AX$11:$AX$74)&gt;0),$B81,"")</f>
        <v/>
      </c>
      <c r="I81" s="84" t="str">
        <f t="array" aca="1" ref="I81" ca="1">IF(OR((I$67&gt;=$AW$11:$AW$74)*(I$48&lt;=$AX$11:$AX$74)&gt;0),$B81,"")</f>
        <v/>
      </c>
      <c r="J81" s="84" t="str">
        <f t="array" aca="1" ref="J81" ca="1">IF(OR((J$67&gt;=$AW$11:$AW$74)*(J$48&lt;=$AX$11:$AX$74)&gt;0),$B81,"")</f>
        <v/>
      </c>
      <c r="K81" s="84" t="str">
        <f t="array" aca="1" ref="K81" ca="1">IF(OR((K$67&gt;=$AW$11:$AW$74)*(K$48&lt;=$AX$11:$AX$74)&gt;0),$B81,"")</f>
        <v/>
      </c>
      <c r="L81" s="84" t="str">
        <f t="array" aca="1" ref="L81" ca="1">IF(OR((L$67&gt;=$AW$11:$AW$74)*(L$48&lt;=$AX$11:$AX$74)&gt;0),$B81,"")</f>
        <v/>
      </c>
      <c r="M81" s="84" t="str">
        <f t="array" aca="1" ref="M81" ca="1">IF(OR((M$67&gt;=$AW$11:$AW$74)*(M$48&lt;=$AX$11:$AX$74)&gt;0),$B81,"")</f>
        <v/>
      </c>
      <c r="N81" s="84" t="str">
        <f t="array" aca="1" ref="N81" ca="1">IF(OR((N$67&gt;=$AW$11:$AW$74)*(N$48&lt;=$AX$11:$AX$74)&gt;0),$B81,"")</f>
        <v/>
      </c>
      <c r="O81" s="84" t="str">
        <f t="array" aca="1" ref="O81" ca="1">IF(OR((O$67&gt;=$AW$11:$AW$74)*(O$48&lt;=$AX$11:$AX$74)&gt;0),$B81,"")</f>
        <v/>
      </c>
      <c r="P81" s="84" t="str">
        <f t="array" aca="1" ref="P81" ca="1">IF(OR((P$67&gt;=$AW$11:$AW$74)*(P$48&lt;=$AX$11:$AX$74)&gt;0),$B81,"")</f>
        <v/>
      </c>
      <c r="Q81" s="84" t="str">
        <f t="array" aca="1" ref="Q81" ca="1">IF(OR((Q$67&gt;=$AW$11:$AW$74)*(Q$48&lt;=$AX$11:$AX$74)&gt;0),$B81,"")</f>
        <v/>
      </c>
      <c r="R81" s="84" t="str">
        <f t="array" aca="1" ref="R81" ca="1">IF(OR((R$67&gt;=$AW$11:$AW$74)*(R$48&lt;=$AX$11:$AX$74)&gt;0),$B81,"")</f>
        <v/>
      </c>
      <c r="S81" s="84" t="str">
        <f t="array" aca="1" ref="S81" ca="1">IF(OR((S$67&gt;=$AW$11:$AW$74)*(S$48&lt;=$AX$11:$AX$74)&gt;0),$B81,"")</f>
        <v/>
      </c>
      <c r="T81" s="84" t="str">
        <f t="array" aca="1" ref="T81" ca="1">IF(OR((T$67&gt;=$AW$11:$AW$74)*(T$48&lt;=$AX$11:$AX$74)&gt;0),$B81,"")</f>
        <v/>
      </c>
      <c r="U81" s="84" t="str">
        <f t="array" aca="1" ref="U81" ca="1">IF(OR((U$67&gt;=$AW$11:$AW$74)*(U$48&lt;=$AX$11:$AX$74)&gt;0),$B81,"")</f>
        <v/>
      </c>
      <c r="V81" s="84" t="str">
        <f t="array" aca="1" ref="V81" ca="1">IF(OR((V$67&gt;=$AW$11:$AW$74)*(V$48&lt;=$AX$11:$AX$74)&gt;0),$B81,"")</f>
        <v/>
      </c>
      <c r="W81" s="84" t="str">
        <f t="array" aca="1" ref="W81" ca="1">IF(OR((W$67&gt;=$AW$11:$AW$74)*(W$48&lt;=$AX$11:$AX$74)&gt;0),$B81,"")</f>
        <v/>
      </c>
      <c r="X81" s="84" t="str">
        <f t="array" aca="1" ref="X81" ca="1">IF(OR((X$67&gt;=$AW$11:$AW$74)*(X$48&lt;=$AX$11:$AX$74)&gt;0),$B81,"")</f>
        <v/>
      </c>
      <c r="Y81" s="84" t="str">
        <f t="array" aca="1" ref="Y81" ca="1">IF(OR((Y$67&gt;=$AW$11:$AW$74)*(Y$48&lt;=$AX$11:$AX$74)&gt;0),$B81,"")</f>
        <v/>
      </c>
      <c r="Z81" s="84" t="str">
        <f t="array" aca="1" ref="Z81" ca="1">IF(OR((Z$67&gt;=$AW$11:$AW$74)*(Z$48&lt;=$AX$11:$AX$74)&gt;0),$B81,"")</f>
        <v/>
      </c>
      <c r="AA81" s="84" t="str">
        <f t="array" aca="1" ref="AA81" ca="1">IF(OR((AA$67&gt;=$AW$11:$AW$74)*(AA$48&lt;=$AX$11:$AX$74)&gt;0),$B81,"")</f>
        <v/>
      </c>
      <c r="AB81" s="84" t="str">
        <f t="array" aca="1" ref="AB81" ca="1">IF(OR((AB$67&gt;=$AW$11:$AW$74)*(AB$48&lt;=$AX$11:$AX$74)&gt;0),$B81,"")</f>
        <v/>
      </c>
      <c r="AC81" s="84" t="str">
        <f t="array" aca="1" ref="AC81" ca="1">IF(OR((AC$67&gt;=$AW$11:$AW$74)*(AC$48&lt;=$AX$11:$AX$74)&gt;0),$B81,"")</f>
        <v/>
      </c>
      <c r="AD81" s="84" t="str">
        <f t="array" aca="1" ref="AD81" ca="1">IF(OR((AD$67&gt;=$AW$11:$AW$74)*(AD$48&lt;=$AX$11:$AX$74)&gt;0),$B81,"")</f>
        <v/>
      </c>
      <c r="AE81" s="84" t="str">
        <f t="array" aca="1" ref="AE81" ca="1">IF(OR((AE$67&gt;=$AW$11:$AW$74)*(AE$48&lt;=$AX$11:$AX$74)&gt;0),$B81,"")</f>
        <v/>
      </c>
      <c r="AF81" s="84" t="str">
        <f t="array" aca="1" ref="AF81" ca="1">IF(OR((AF$67&gt;=$AW$11:$AW$74)*(AF$48&lt;=$AX$11:$AX$74)&gt;0),$B81,"")</f>
        <v/>
      </c>
      <c r="AG81" s="84" t="str">
        <f t="array" aca="1" ref="AG81" ca="1">IF(OR((AG$67&gt;=$AW$11:$AW$74)*(AG$48&lt;=$AX$11:$AX$74)&gt;0),$B81,"")</f>
        <v/>
      </c>
      <c r="AH81" s="84" t="str">
        <f t="array" aca="1" ref="AH81" ca="1">IF(OR((AH$67&gt;=$AW$11:$AW$74)*(AH$48&lt;=$AX$11:$AX$74)&gt;0),$B81,"")</f>
        <v/>
      </c>
      <c r="AI81" s="84" t="str">
        <f t="array" aca="1" ref="AI81" ca="1">IF(OR((AI$67&gt;=$AW$11:$AW$74)*(AI$48&lt;=$AX$11:$AX$74)&gt;0),$B81,"")</f>
        <v/>
      </c>
    </row>
    <row r="82" spans="1:35" hidden="1">
      <c r="A82" s="80" t="s">
        <v>186</v>
      </c>
      <c r="B82" s="128">
        <v>5</v>
      </c>
      <c r="C82" s="84" t="str">
        <f t="array" aca="1" ref="C82" ca="1">IF(OR((C$67&gt;=$AW$11:$AW$74)*(C$48&lt;=$AX$11:$AX$74)&gt;0),$B82,"")</f>
        <v/>
      </c>
      <c r="D82" s="84" t="str">
        <f t="array" aca="1" ref="D82" ca="1">IF(OR((D$67&gt;=$AW$11:$AW$74)*(D$48&lt;=$AX$11:$AX$74)&gt;0),$B82,"")</f>
        <v/>
      </c>
      <c r="E82" s="84" t="str">
        <f t="array" aca="1" ref="E82" ca="1">IF(OR((E$67&gt;=$AW$11:$AW$74)*(E$48&lt;=$AX$11:$AX$74)&gt;0),$B82,"")</f>
        <v/>
      </c>
      <c r="F82" s="84" t="str">
        <f t="array" aca="1" ref="F82" ca="1">IF(OR((F$67&gt;=$AW$11:$AW$74)*(F$48&lt;=$AX$11:$AX$74)&gt;0),$B82,"")</f>
        <v/>
      </c>
      <c r="G82" s="84" t="str">
        <f t="array" aca="1" ref="G82" ca="1">IF(OR((G$67&gt;=$AW$11:$AW$74)*(G$48&lt;=$AX$11:$AX$74)&gt;0),$B82,"")</f>
        <v/>
      </c>
      <c r="H82" s="84" t="str">
        <f t="array" aca="1" ref="H82" ca="1">IF(OR((H$67&gt;=$AW$11:$AW$74)*(H$48&lt;=$AX$11:$AX$74)&gt;0),$B82,"")</f>
        <v/>
      </c>
      <c r="I82" s="84" t="str">
        <f t="array" aca="1" ref="I82" ca="1">IF(OR((I$67&gt;=$AW$11:$AW$74)*(I$48&lt;=$AX$11:$AX$74)&gt;0),$B82,"")</f>
        <v/>
      </c>
      <c r="J82" s="84" t="str">
        <f t="array" aca="1" ref="J82" ca="1">IF(OR((J$67&gt;=$AW$11:$AW$74)*(J$48&lt;=$AX$11:$AX$74)&gt;0),$B82,"")</f>
        <v/>
      </c>
      <c r="K82" s="84" t="str">
        <f t="array" aca="1" ref="K82" ca="1">IF(OR((K$67&gt;=$AW$11:$AW$74)*(K$48&lt;=$AX$11:$AX$74)&gt;0),$B82,"")</f>
        <v/>
      </c>
      <c r="L82" s="84" t="str">
        <f t="array" aca="1" ref="L82" ca="1">IF(OR((L$67&gt;=$AW$11:$AW$74)*(L$48&lt;=$AX$11:$AX$74)&gt;0),$B82,"")</f>
        <v/>
      </c>
      <c r="M82" s="84" t="str">
        <f t="array" aca="1" ref="M82" ca="1">IF(OR((M$67&gt;=$AW$11:$AW$74)*(M$48&lt;=$AX$11:$AX$74)&gt;0),$B82,"")</f>
        <v/>
      </c>
      <c r="N82" s="84" t="str">
        <f t="array" aca="1" ref="N82" ca="1">IF(OR((N$67&gt;=$AW$11:$AW$74)*(N$48&lt;=$AX$11:$AX$74)&gt;0),$B82,"")</f>
        <v/>
      </c>
      <c r="O82" s="84" t="str">
        <f t="array" aca="1" ref="O82" ca="1">IF(OR((O$67&gt;=$AW$11:$AW$74)*(O$48&lt;=$AX$11:$AX$74)&gt;0),$B82,"")</f>
        <v/>
      </c>
      <c r="P82" s="84" t="str">
        <f t="array" aca="1" ref="P82" ca="1">IF(OR((P$67&gt;=$AW$11:$AW$74)*(P$48&lt;=$AX$11:$AX$74)&gt;0),$B82,"")</f>
        <v/>
      </c>
      <c r="Q82" s="84" t="str">
        <f t="array" aca="1" ref="Q82" ca="1">IF(OR((Q$67&gt;=$AW$11:$AW$74)*(Q$48&lt;=$AX$11:$AX$74)&gt;0),$B82,"")</f>
        <v/>
      </c>
      <c r="R82" s="84" t="str">
        <f t="array" aca="1" ref="R82" ca="1">IF(OR((R$67&gt;=$AW$11:$AW$74)*(R$48&lt;=$AX$11:$AX$74)&gt;0),$B82,"")</f>
        <v/>
      </c>
      <c r="S82" s="84" t="str">
        <f t="array" aca="1" ref="S82" ca="1">IF(OR((S$67&gt;=$AW$11:$AW$74)*(S$48&lt;=$AX$11:$AX$74)&gt;0),$B82,"")</f>
        <v/>
      </c>
      <c r="T82" s="84" t="str">
        <f t="array" aca="1" ref="T82" ca="1">IF(OR((T$67&gt;=$AW$11:$AW$74)*(T$48&lt;=$AX$11:$AX$74)&gt;0),$B82,"")</f>
        <v/>
      </c>
      <c r="U82" s="84" t="str">
        <f t="array" aca="1" ref="U82" ca="1">IF(OR((U$67&gt;=$AW$11:$AW$74)*(U$48&lt;=$AX$11:$AX$74)&gt;0),$B82,"")</f>
        <v/>
      </c>
      <c r="V82" s="84" t="str">
        <f t="array" aca="1" ref="V82" ca="1">IF(OR((V$67&gt;=$AW$11:$AW$74)*(V$48&lt;=$AX$11:$AX$74)&gt;0),$B82,"")</f>
        <v/>
      </c>
      <c r="W82" s="84" t="str">
        <f t="array" aca="1" ref="W82" ca="1">IF(OR((W$67&gt;=$AW$11:$AW$74)*(W$48&lt;=$AX$11:$AX$74)&gt;0),$B82,"")</f>
        <v/>
      </c>
      <c r="X82" s="84" t="str">
        <f t="array" aca="1" ref="X82" ca="1">IF(OR((X$67&gt;=$AW$11:$AW$74)*(X$48&lt;=$AX$11:$AX$74)&gt;0),$B82,"")</f>
        <v/>
      </c>
      <c r="Y82" s="84" t="str">
        <f t="array" aca="1" ref="Y82" ca="1">IF(OR((Y$67&gt;=$AW$11:$AW$74)*(Y$48&lt;=$AX$11:$AX$74)&gt;0),$B82,"")</f>
        <v/>
      </c>
      <c r="Z82" s="84" t="str">
        <f t="array" aca="1" ref="Z82" ca="1">IF(OR((Z$67&gt;=$AW$11:$AW$74)*(Z$48&lt;=$AX$11:$AX$74)&gt;0),$B82,"")</f>
        <v/>
      </c>
      <c r="AA82" s="84" t="str">
        <f t="array" aca="1" ref="AA82" ca="1">IF(OR((AA$67&gt;=$AW$11:$AW$74)*(AA$48&lt;=$AX$11:$AX$74)&gt;0),$B82,"")</f>
        <v/>
      </c>
      <c r="AB82" s="84" t="str">
        <f t="array" aca="1" ref="AB82" ca="1">IF(OR((AB$67&gt;=$AW$11:$AW$74)*(AB$48&lt;=$AX$11:$AX$74)&gt;0),$B82,"")</f>
        <v/>
      </c>
      <c r="AC82" s="84" t="str">
        <f t="array" aca="1" ref="AC82" ca="1">IF(OR((AC$67&gt;=$AW$11:$AW$74)*(AC$48&lt;=$AX$11:$AX$74)&gt;0),$B82,"")</f>
        <v/>
      </c>
      <c r="AD82" s="84" t="str">
        <f t="array" aca="1" ref="AD82" ca="1">IF(OR((AD$67&gt;=$AW$11:$AW$74)*(AD$48&lt;=$AX$11:$AX$74)&gt;0),$B82,"")</f>
        <v/>
      </c>
      <c r="AE82" s="84" t="str">
        <f t="array" aca="1" ref="AE82" ca="1">IF(OR((AE$67&gt;=$AW$11:$AW$74)*(AE$48&lt;=$AX$11:$AX$74)&gt;0),$B82,"")</f>
        <v/>
      </c>
      <c r="AF82" s="84" t="str">
        <f t="array" aca="1" ref="AF82" ca="1">IF(OR((AF$67&gt;=$AW$11:$AW$74)*(AF$48&lt;=$AX$11:$AX$74)&gt;0),$B82,"")</f>
        <v/>
      </c>
      <c r="AG82" s="84" t="str">
        <f t="array" aca="1" ref="AG82" ca="1">IF(OR((AG$67&gt;=$AW$11:$AW$74)*(AG$48&lt;=$AX$11:$AX$74)&gt;0),$B82,"")</f>
        <v/>
      </c>
      <c r="AH82" s="84" t="str">
        <f t="array" aca="1" ref="AH82" ca="1">IF(OR((AH$67&gt;=$AW$11:$AW$74)*(AH$48&lt;=$AX$11:$AX$74)&gt;0),$B82,"")</f>
        <v/>
      </c>
      <c r="AI82" s="84" t="str">
        <f t="array" aca="1" ref="AI82" ca="1">IF(OR((AI$67&gt;=$AW$11:$AW$74)*(AI$48&lt;=$AX$11:$AX$74)&gt;0),$B82,"")</f>
        <v/>
      </c>
    </row>
    <row r="83" spans="1:35" hidden="1">
      <c r="A83" s="8"/>
      <c r="B83" s="12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</row>
    <row r="84" spans="1:35" hidden="1">
      <c r="A84" s="7" t="s">
        <v>92</v>
      </c>
      <c r="B84" s="10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</row>
    <row r="85" spans="1:35" hidden="1">
      <c r="A85" s="75"/>
      <c r="B85" s="11" t="s">
        <v>154</v>
      </c>
      <c r="C85" s="112">
        <f>EOMONTH($A$1,-1)</f>
        <v>45016</v>
      </c>
      <c r="D85" s="112">
        <f t="shared" ref="D85:AI85" si="5">C85+1</f>
        <v>45017</v>
      </c>
      <c r="E85" s="112">
        <f t="shared" si="5"/>
        <v>45018</v>
      </c>
      <c r="F85" s="112">
        <f t="shared" si="5"/>
        <v>45019</v>
      </c>
      <c r="G85" s="112">
        <f t="shared" si="5"/>
        <v>45020</v>
      </c>
      <c r="H85" s="112">
        <f t="shared" si="5"/>
        <v>45021</v>
      </c>
      <c r="I85" s="112">
        <f t="shared" si="5"/>
        <v>45022</v>
      </c>
      <c r="J85" s="112">
        <f t="shared" si="5"/>
        <v>45023</v>
      </c>
      <c r="K85" s="112">
        <f t="shared" si="5"/>
        <v>45024</v>
      </c>
      <c r="L85" s="112">
        <f t="shared" si="5"/>
        <v>45025</v>
      </c>
      <c r="M85" s="112">
        <f t="shared" si="5"/>
        <v>45026</v>
      </c>
      <c r="N85" s="112">
        <f t="shared" si="5"/>
        <v>45027</v>
      </c>
      <c r="O85" s="112">
        <f t="shared" si="5"/>
        <v>45028</v>
      </c>
      <c r="P85" s="112">
        <f t="shared" si="5"/>
        <v>45029</v>
      </c>
      <c r="Q85" s="112">
        <f t="shared" si="5"/>
        <v>45030</v>
      </c>
      <c r="R85" s="112">
        <f t="shared" si="5"/>
        <v>45031</v>
      </c>
      <c r="S85" s="112">
        <f t="shared" si="5"/>
        <v>45032</v>
      </c>
      <c r="T85" s="112">
        <f t="shared" si="5"/>
        <v>45033</v>
      </c>
      <c r="U85" s="112">
        <f t="shared" si="5"/>
        <v>45034</v>
      </c>
      <c r="V85" s="112">
        <f t="shared" si="5"/>
        <v>45035</v>
      </c>
      <c r="W85" s="112">
        <f t="shared" si="5"/>
        <v>45036</v>
      </c>
      <c r="X85" s="112">
        <f t="shared" si="5"/>
        <v>45037</v>
      </c>
      <c r="Y85" s="112">
        <f t="shared" si="5"/>
        <v>45038</v>
      </c>
      <c r="Z85" s="112">
        <f t="shared" si="5"/>
        <v>45039</v>
      </c>
      <c r="AA85" s="112">
        <f t="shared" si="5"/>
        <v>45040</v>
      </c>
      <c r="AB85" s="112">
        <f t="shared" si="5"/>
        <v>45041</v>
      </c>
      <c r="AC85" s="112">
        <f t="shared" si="5"/>
        <v>45042</v>
      </c>
      <c r="AD85" s="112">
        <f t="shared" si="5"/>
        <v>45043</v>
      </c>
      <c r="AE85" s="112">
        <f t="shared" si="5"/>
        <v>45044</v>
      </c>
      <c r="AF85" s="112">
        <f t="shared" si="5"/>
        <v>45045</v>
      </c>
      <c r="AG85" s="112">
        <f t="shared" si="5"/>
        <v>45046</v>
      </c>
      <c r="AH85" s="112">
        <f t="shared" si="5"/>
        <v>45047</v>
      </c>
      <c r="AI85" s="112">
        <f t="shared" si="5"/>
        <v>45048</v>
      </c>
    </row>
    <row r="86" spans="1:35" hidden="1">
      <c r="A86" s="183" t="s">
        <v>187</v>
      </c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  <c r="AA86" s="184"/>
      <c r="AB86" s="184"/>
      <c r="AC86" s="184"/>
      <c r="AD86" s="184"/>
      <c r="AE86" s="184"/>
      <c r="AF86" s="184"/>
      <c r="AG86" s="184"/>
      <c r="AH86" s="184"/>
      <c r="AI86" s="185"/>
    </row>
    <row r="87" spans="1:35" hidden="1">
      <c r="A87" s="75" t="s">
        <v>188</v>
      </c>
      <c r="B87" s="16">
        <v>288</v>
      </c>
      <c r="C87" s="84" t="str">
        <f t="array" aca="1" ref="C87" ca="1">IF(OR((C$85&gt;=$AY$11:$AY$38)*(C$48&lt;=$AZ$11:$AZ$38)&gt;0),$B87,"")</f>
        <v/>
      </c>
      <c r="D87" s="84" t="str">
        <f t="array" aca="1" ref="D87" ca="1">IF(OR((D$85&gt;=$AY$11:$AY$38)*(D$48&lt;=$AZ$11:$AZ$38)&gt;0),$B87,"")</f>
        <v/>
      </c>
      <c r="E87" s="84" t="str">
        <f t="array" aca="1" ref="E87" ca="1">IF(OR((E$85&gt;=$AY$11:$AY$38)*(E$48&lt;=$AZ$11:$AZ$38)&gt;0),$B87,"")</f>
        <v/>
      </c>
      <c r="F87" s="84" t="str">
        <f t="array" aca="1" ref="F87" ca="1">IF(OR((F$85&gt;=$AY$11:$AY$38)*(F$48&lt;=$AZ$11:$AZ$38)&gt;0),$B87,"")</f>
        <v/>
      </c>
      <c r="G87" s="84" t="str">
        <f t="array" aca="1" ref="G87" ca="1">IF(OR((G$85&gt;=$AY$11:$AY$38)*(G$48&lt;=$AZ$11:$AZ$38)&gt;0),$B87,"")</f>
        <v/>
      </c>
      <c r="H87" s="84" t="str">
        <f t="array" aca="1" ref="H87" ca="1">IF(OR((H$85&gt;=$AY$11:$AY$38)*(H$48&lt;=$AZ$11:$AZ$38)&gt;0),$B87,"")</f>
        <v/>
      </c>
      <c r="I87" s="84" t="str">
        <f t="array" aca="1" ref="I87" ca="1">IF(OR((I$85&gt;=$AY$11:$AY$38)*(I$48&lt;=$AZ$11:$AZ$38)&gt;0),$B87,"")</f>
        <v/>
      </c>
      <c r="J87" s="84" t="str">
        <f t="array" aca="1" ref="J87" ca="1">IF(OR((J$85&gt;=$AY$11:$AY$38)*(J$48&lt;=$AZ$11:$AZ$38)&gt;0),$B87,"")</f>
        <v/>
      </c>
      <c r="K87" s="84" t="str">
        <f t="array" aca="1" ref="K87" ca="1">IF(OR((K$85&gt;=$AY$11:$AY$38)*(K$48&lt;=$AZ$11:$AZ$38)&gt;0),$B87,"")</f>
        <v/>
      </c>
      <c r="L87" s="84" t="str">
        <f t="array" aca="1" ref="L87" ca="1">IF(OR((L$85&gt;=$AY$11:$AY$38)*(L$48&lt;=$AZ$11:$AZ$38)&gt;0),$B87,"")</f>
        <v/>
      </c>
      <c r="M87" s="84" t="str">
        <f t="array" aca="1" ref="M87" ca="1">IF(OR((M$85&gt;=$AY$11:$AY$38)*(M$48&lt;=$AZ$11:$AZ$38)&gt;0),$B87,"")</f>
        <v/>
      </c>
      <c r="N87" s="84" t="str">
        <f t="array" aca="1" ref="N87" ca="1">IF(OR((N$85&gt;=$AY$11:$AY$38)*(N$48&lt;=$AZ$11:$AZ$38)&gt;0),$B87,"")</f>
        <v/>
      </c>
      <c r="O87" s="84" t="str">
        <f t="array" aca="1" ref="O87" ca="1">IF(OR((O$85&gt;=$AY$11:$AY$38)*(O$48&lt;=$AZ$11:$AZ$38)&gt;0),$B87,"")</f>
        <v/>
      </c>
      <c r="P87" s="84" t="str">
        <f t="array" aca="1" ref="P87" ca="1">IF(OR((P$85&gt;=$AY$11:$AY$38)*(P$48&lt;=$AZ$11:$AZ$38)&gt;0),$B87,"")</f>
        <v/>
      </c>
      <c r="Q87" s="84" t="str">
        <f t="array" aca="1" ref="Q87" ca="1">IF(OR((Q$85&gt;=$AY$11:$AY$38)*(Q$48&lt;=$AZ$11:$AZ$38)&gt;0),$B87,"")</f>
        <v/>
      </c>
      <c r="R87" s="84" t="str">
        <f t="array" aca="1" ref="R87" ca="1">IF(OR((R$85&gt;=$AY$11:$AY$38)*(R$48&lt;=$AZ$11:$AZ$38)&gt;0),$B87,"")</f>
        <v/>
      </c>
      <c r="S87" s="84" t="str">
        <f t="array" aca="1" ref="S87" ca="1">IF(OR((S$85&gt;=$AY$11:$AY$38)*(S$48&lt;=$AZ$11:$AZ$38)&gt;0),$B87,"")</f>
        <v/>
      </c>
      <c r="T87" s="84" t="str">
        <f t="array" aca="1" ref="T87" ca="1">IF(OR((T$85&gt;=$AY$11:$AY$38)*(T$48&lt;=$AZ$11:$AZ$38)&gt;0),$B87,"")</f>
        <v/>
      </c>
      <c r="U87" s="84" t="str">
        <f t="array" aca="1" ref="U87" ca="1">IF(OR((U$85&gt;=$AY$11:$AY$38)*(U$48&lt;=$AZ$11:$AZ$38)&gt;0),$B87,"")</f>
        <v/>
      </c>
      <c r="V87" s="84" t="str">
        <f t="array" aca="1" ref="V87" ca="1">IF(OR((V$85&gt;=$AY$11:$AY$38)*(V$48&lt;=$AZ$11:$AZ$38)&gt;0),$B87,"")</f>
        <v/>
      </c>
      <c r="W87" s="84" t="str">
        <f t="array" aca="1" ref="W87" ca="1">IF(OR((W$85&gt;=$AY$11:$AY$38)*(W$48&lt;=$AZ$11:$AZ$38)&gt;0),$B87,"")</f>
        <v/>
      </c>
      <c r="X87" s="84" t="str">
        <f t="array" aca="1" ref="X87" ca="1">IF(OR((X$85&gt;=$AY$11:$AY$38)*(X$48&lt;=$AZ$11:$AZ$38)&gt;0),$B87,"")</f>
        <v/>
      </c>
      <c r="Y87" s="84" t="str">
        <f t="array" aca="1" ref="Y87" ca="1">IF(OR((Y$85&gt;=$AY$11:$AY$38)*(Y$48&lt;=$AZ$11:$AZ$38)&gt;0),$B87,"")</f>
        <v/>
      </c>
      <c r="Z87" s="84" t="str">
        <f t="array" aca="1" ref="Z87" ca="1">IF(OR((Z$85&gt;=$AY$11:$AY$38)*(Z$48&lt;=$AZ$11:$AZ$38)&gt;0),$B87,"")</f>
        <v/>
      </c>
      <c r="AA87" s="84" t="str">
        <f t="array" aca="1" ref="AA87" ca="1">IF(OR((AA$85&gt;=$AY$11:$AY$38)*(AA$48&lt;=$AZ$11:$AZ$38)&gt;0),$B87,"")</f>
        <v/>
      </c>
      <c r="AB87" s="84" t="str">
        <f t="array" aca="1" ref="AB87" ca="1">IF(OR((AB$85&gt;=$AY$11:$AY$38)*(AB$48&lt;=$AZ$11:$AZ$38)&gt;0),$B87,"")</f>
        <v/>
      </c>
      <c r="AC87" s="84" t="str">
        <f t="array" aca="1" ref="AC87" ca="1">IF(OR((AC$85&gt;=$AY$11:$AY$38)*(AC$48&lt;=$AZ$11:$AZ$38)&gt;0),$B87,"")</f>
        <v/>
      </c>
      <c r="AD87" s="84" t="str">
        <f t="array" aca="1" ref="AD87" ca="1">IF(OR((AD$85&gt;=$AY$11:$AY$38)*(AD$48&lt;=$AZ$11:$AZ$38)&gt;0),$B87,"")</f>
        <v/>
      </c>
      <c r="AE87" s="84" t="str">
        <f t="array" aca="1" ref="AE87" ca="1">IF(OR((AE$85&gt;=$AY$11:$AY$38)*(AE$48&lt;=$AZ$11:$AZ$38)&gt;0),$B87,"")</f>
        <v/>
      </c>
      <c r="AF87" s="84" t="str">
        <f t="array" aca="1" ref="AF87" ca="1">IF(OR((AF$85&gt;=$AY$11:$AY$38)*(AF$48&lt;=$AZ$11:$AZ$38)&gt;0),$B87,"")</f>
        <v/>
      </c>
      <c r="AG87" s="84" t="str">
        <f t="array" aca="1" ref="AG87" ca="1">IF(OR((AG$85&gt;=$AY$11:$AY$38)*(AG$48&lt;=$AZ$11:$AZ$38)&gt;0),$B87,"")</f>
        <v/>
      </c>
      <c r="AH87" s="84" t="str">
        <f t="array" aca="1" ref="AH87" ca="1">IF(OR((AH$85&gt;=$AY$11:$AY$38)*(AH$48&lt;=$AZ$11:$AZ$38)&gt;0),$B87,"")</f>
        <v/>
      </c>
      <c r="AI87" s="84" t="str">
        <f t="array" aca="1" ref="AI87" ca="1">IF(OR((AI$85&gt;=$AY$11:$AY$38)*(AI$48&lt;=$AZ$11:$AZ$38)&gt;0),$B87,"")</f>
        <v/>
      </c>
    </row>
    <row r="88" spans="1:35" hidden="1">
      <c r="A88" s="75" t="s">
        <v>189</v>
      </c>
      <c r="B88" s="16">
        <v>216</v>
      </c>
      <c r="C88" s="84" t="str">
        <f t="array" aca="1" ref="C88" ca="1">IF(OR((C$85&gt;=$AY$11:$AY$38)*(C$48&lt;=$AZ$11:$AZ$38)&gt;0),$B88,"")</f>
        <v/>
      </c>
      <c r="D88" s="84" t="str">
        <f t="array" aca="1" ref="D88" ca="1">IF(OR((D$85&gt;=$AY$11:$AY$38)*(D$48&lt;=$AZ$11:$AZ$38)&gt;0),$B88,"")</f>
        <v/>
      </c>
      <c r="E88" s="84" t="str">
        <f t="array" aca="1" ref="E88" ca="1">IF(OR((E$85&gt;=$AY$11:$AY$38)*(E$48&lt;=$AZ$11:$AZ$38)&gt;0),$B88,"")</f>
        <v/>
      </c>
      <c r="F88" s="84" t="str">
        <f t="array" aca="1" ref="F88" ca="1">IF(OR((F$85&gt;=$AY$11:$AY$38)*(F$48&lt;=$AZ$11:$AZ$38)&gt;0),$B88,"")</f>
        <v/>
      </c>
      <c r="G88" s="84" t="str">
        <f t="array" aca="1" ref="G88" ca="1">IF(OR((G$85&gt;=$AY$11:$AY$38)*(G$48&lt;=$AZ$11:$AZ$38)&gt;0),$B88,"")</f>
        <v/>
      </c>
      <c r="H88" s="84" t="str">
        <f t="array" aca="1" ref="H88" ca="1">IF(OR((H$85&gt;=$AY$11:$AY$38)*(H$48&lt;=$AZ$11:$AZ$38)&gt;0),$B88,"")</f>
        <v/>
      </c>
      <c r="I88" s="84" t="str">
        <f t="array" aca="1" ref="I88" ca="1">IF(OR((I$85&gt;=$AY$11:$AY$38)*(I$48&lt;=$AZ$11:$AZ$38)&gt;0),$B88,"")</f>
        <v/>
      </c>
      <c r="J88" s="84" t="str">
        <f t="array" aca="1" ref="J88" ca="1">IF(OR((J$85&gt;=$AY$11:$AY$38)*(J$48&lt;=$AZ$11:$AZ$38)&gt;0),$B88,"")</f>
        <v/>
      </c>
      <c r="K88" s="84" t="str">
        <f t="array" aca="1" ref="K88" ca="1">IF(OR((K$85&gt;=$AY$11:$AY$38)*(K$48&lt;=$AZ$11:$AZ$38)&gt;0),$B88,"")</f>
        <v/>
      </c>
      <c r="L88" s="84" t="str">
        <f t="array" aca="1" ref="L88" ca="1">IF(OR((L$85&gt;=$AY$11:$AY$38)*(L$48&lt;=$AZ$11:$AZ$38)&gt;0),$B88,"")</f>
        <v/>
      </c>
      <c r="M88" s="84" t="str">
        <f t="array" aca="1" ref="M88" ca="1">IF(OR((M$85&gt;=$AY$11:$AY$38)*(M$48&lt;=$AZ$11:$AZ$38)&gt;0),$B88,"")</f>
        <v/>
      </c>
      <c r="N88" s="84" t="str">
        <f t="array" aca="1" ref="N88" ca="1">IF(OR((N$85&gt;=$AY$11:$AY$38)*(N$48&lt;=$AZ$11:$AZ$38)&gt;0),$B88,"")</f>
        <v/>
      </c>
      <c r="O88" s="84" t="str">
        <f t="array" aca="1" ref="O88" ca="1">IF(OR((O$85&gt;=$AY$11:$AY$38)*(O$48&lt;=$AZ$11:$AZ$38)&gt;0),$B88,"")</f>
        <v/>
      </c>
      <c r="P88" s="84" t="str">
        <f t="array" aca="1" ref="P88" ca="1">IF(OR((P$85&gt;=$AY$11:$AY$38)*(P$48&lt;=$AZ$11:$AZ$38)&gt;0),$B88,"")</f>
        <v/>
      </c>
      <c r="Q88" s="84" t="str">
        <f t="array" aca="1" ref="Q88" ca="1">IF(OR((Q$85&gt;=$AY$11:$AY$38)*(Q$48&lt;=$AZ$11:$AZ$38)&gt;0),$B88,"")</f>
        <v/>
      </c>
      <c r="R88" s="84" t="str">
        <f t="array" aca="1" ref="R88" ca="1">IF(OR((R$85&gt;=$AY$11:$AY$38)*(R$48&lt;=$AZ$11:$AZ$38)&gt;0),$B88,"")</f>
        <v/>
      </c>
      <c r="S88" s="84" t="str">
        <f t="array" aca="1" ref="S88" ca="1">IF(OR((S$85&gt;=$AY$11:$AY$38)*(S$48&lt;=$AZ$11:$AZ$38)&gt;0),$B88,"")</f>
        <v/>
      </c>
      <c r="T88" s="84" t="str">
        <f t="array" aca="1" ref="T88" ca="1">IF(OR((T$85&gt;=$AY$11:$AY$38)*(T$48&lt;=$AZ$11:$AZ$38)&gt;0),$B88,"")</f>
        <v/>
      </c>
      <c r="U88" s="84" t="str">
        <f t="array" aca="1" ref="U88" ca="1">IF(OR((U$85&gt;=$AY$11:$AY$38)*(U$48&lt;=$AZ$11:$AZ$38)&gt;0),$B88,"")</f>
        <v/>
      </c>
      <c r="V88" s="84" t="str">
        <f t="array" aca="1" ref="V88" ca="1">IF(OR((V$85&gt;=$AY$11:$AY$38)*(V$48&lt;=$AZ$11:$AZ$38)&gt;0),$B88,"")</f>
        <v/>
      </c>
      <c r="W88" s="84" t="str">
        <f t="array" aca="1" ref="W88" ca="1">IF(OR((W$85&gt;=$AY$11:$AY$38)*(W$48&lt;=$AZ$11:$AZ$38)&gt;0),$B88,"")</f>
        <v/>
      </c>
      <c r="X88" s="84" t="str">
        <f t="array" aca="1" ref="X88" ca="1">IF(OR((X$85&gt;=$AY$11:$AY$38)*(X$48&lt;=$AZ$11:$AZ$38)&gt;0),$B88,"")</f>
        <v/>
      </c>
      <c r="Y88" s="84" t="str">
        <f t="array" aca="1" ref="Y88" ca="1">IF(OR((Y$85&gt;=$AY$11:$AY$38)*(Y$48&lt;=$AZ$11:$AZ$38)&gt;0),$B88,"")</f>
        <v/>
      </c>
      <c r="Z88" s="84" t="str">
        <f t="array" aca="1" ref="Z88" ca="1">IF(OR((Z$85&gt;=$AY$11:$AY$38)*(Z$48&lt;=$AZ$11:$AZ$38)&gt;0),$B88,"")</f>
        <v/>
      </c>
      <c r="AA88" s="84" t="str">
        <f t="array" aca="1" ref="AA88" ca="1">IF(OR((AA$85&gt;=$AY$11:$AY$38)*(AA$48&lt;=$AZ$11:$AZ$38)&gt;0),$B88,"")</f>
        <v/>
      </c>
      <c r="AB88" s="84" t="str">
        <f t="array" aca="1" ref="AB88" ca="1">IF(OR((AB$85&gt;=$AY$11:$AY$38)*(AB$48&lt;=$AZ$11:$AZ$38)&gt;0),$B88,"")</f>
        <v/>
      </c>
      <c r="AC88" s="84" t="str">
        <f t="array" aca="1" ref="AC88" ca="1">IF(OR((AC$85&gt;=$AY$11:$AY$38)*(AC$48&lt;=$AZ$11:$AZ$38)&gt;0),$B88,"")</f>
        <v/>
      </c>
      <c r="AD88" s="84" t="str">
        <f t="array" aca="1" ref="AD88" ca="1">IF(OR((AD$85&gt;=$AY$11:$AY$38)*(AD$48&lt;=$AZ$11:$AZ$38)&gt;0),$B88,"")</f>
        <v/>
      </c>
      <c r="AE88" s="84" t="str">
        <f t="array" aca="1" ref="AE88" ca="1">IF(OR((AE$85&gt;=$AY$11:$AY$38)*(AE$48&lt;=$AZ$11:$AZ$38)&gt;0),$B88,"")</f>
        <v/>
      </c>
      <c r="AF88" s="84" t="str">
        <f t="array" aca="1" ref="AF88" ca="1">IF(OR((AF$85&gt;=$AY$11:$AY$38)*(AF$48&lt;=$AZ$11:$AZ$38)&gt;0),$B88,"")</f>
        <v/>
      </c>
      <c r="AG88" s="84" t="str">
        <f t="array" aca="1" ref="AG88" ca="1">IF(OR((AG$85&gt;=$AY$11:$AY$38)*(AG$48&lt;=$AZ$11:$AZ$38)&gt;0),$B88,"")</f>
        <v/>
      </c>
      <c r="AH88" s="84" t="str">
        <f t="array" aca="1" ref="AH88" ca="1">IF(OR((AH$85&gt;=$AY$11:$AY$38)*(AH$48&lt;=$AZ$11:$AZ$38)&gt;0),$B88,"")</f>
        <v/>
      </c>
      <c r="AI88" s="84" t="str">
        <f t="array" aca="1" ref="AI88" ca="1">IF(OR((AI$85&gt;=$AY$11:$AY$38)*(AI$48&lt;=$AZ$11:$AZ$38)&gt;0),$B88,"")</f>
        <v/>
      </c>
    </row>
    <row r="89" spans="1:35" hidden="1">
      <c r="A89" s="75" t="s">
        <v>190</v>
      </c>
      <c r="B89" s="16">
        <v>48</v>
      </c>
      <c r="C89" s="84" t="str">
        <f t="array" aca="1" ref="C89" ca="1">IF(OR((C$85&gt;=$AY$11:$AY$38)*(C$48&lt;=$AZ$11:$AZ$38)&gt;0),$B89,"")</f>
        <v/>
      </c>
      <c r="D89" s="84" t="str">
        <f t="array" aca="1" ref="D89" ca="1">IF(OR((D$85&gt;=$AY$11:$AY$38)*(D$48&lt;=$AZ$11:$AZ$38)&gt;0),$B89,"")</f>
        <v/>
      </c>
      <c r="E89" s="84" t="str">
        <f t="array" aca="1" ref="E89" ca="1">IF(OR((E$85&gt;=$AY$11:$AY$38)*(E$48&lt;=$AZ$11:$AZ$38)&gt;0),$B89,"")</f>
        <v/>
      </c>
      <c r="F89" s="84" t="str">
        <f t="array" aca="1" ref="F89" ca="1">IF(OR((F$85&gt;=$AY$11:$AY$38)*(F$48&lt;=$AZ$11:$AZ$38)&gt;0),$B89,"")</f>
        <v/>
      </c>
      <c r="G89" s="84" t="str">
        <f t="array" aca="1" ref="G89" ca="1">IF(OR((G$85&gt;=$AY$11:$AY$38)*(G$48&lt;=$AZ$11:$AZ$38)&gt;0),$B89,"")</f>
        <v/>
      </c>
      <c r="H89" s="84" t="str">
        <f t="array" aca="1" ref="H89" ca="1">IF(OR((H$85&gt;=$AY$11:$AY$38)*(H$48&lt;=$AZ$11:$AZ$38)&gt;0),$B89,"")</f>
        <v/>
      </c>
      <c r="I89" s="84" t="str">
        <f t="array" aca="1" ref="I89" ca="1">IF(OR((I$85&gt;=$AY$11:$AY$38)*(I$48&lt;=$AZ$11:$AZ$38)&gt;0),$B89,"")</f>
        <v/>
      </c>
      <c r="J89" s="84" t="str">
        <f t="array" aca="1" ref="J89" ca="1">IF(OR((J$85&gt;=$AY$11:$AY$38)*(J$48&lt;=$AZ$11:$AZ$38)&gt;0),$B89,"")</f>
        <v/>
      </c>
      <c r="K89" s="84" t="str">
        <f t="array" aca="1" ref="K89" ca="1">IF(OR((K$85&gt;=$AY$11:$AY$38)*(K$48&lt;=$AZ$11:$AZ$38)&gt;0),$B89,"")</f>
        <v/>
      </c>
      <c r="L89" s="84" t="str">
        <f t="array" aca="1" ref="L89" ca="1">IF(OR((L$85&gt;=$AY$11:$AY$38)*(L$48&lt;=$AZ$11:$AZ$38)&gt;0),$B89,"")</f>
        <v/>
      </c>
      <c r="M89" s="84" t="str">
        <f t="array" aca="1" ref="M89" ca="1">IF(OR((M$85&gt;=$AY$11:$AY$38)*(M$48&lt;=$AZ$11:$AZ$38)&gt;0),$B89,"")</f>
        <v/>
      </c>
      <c r="N89" s="84" t="str">
        <f t="array" aca="1" ref="N89" ca="1">IF(OR((N$85&gt;=$AY$11:$AY$38)*(N$48&lt;=$AZ$11:$AZ$38)&gt;0),$B89,"")</f>
        <v/>
      </c>
      <c r="O89" s="84" t="str">
        <f t="array" aca="1" ref="O89" ca="1">IF(OR((O$85&gt;=$AY$11:$AY$38)*(O$48&lt;=$AZ$11:$AZ$38)&gt;0),$B89,"")</f>
        <v/>
      </c>
      <c r="P89" s="84" t="str">
        <f t="array" aca="1" ref="P89" ca="1">IF(OR((P$85&gt;=$AY$11:$AY$38)*(P$48&lt;=$AZ$11:$AZ$38)&gt;0),$B89,"")</f>
        <v/>
      </c>
      <c r="Q89" s="84" t="str">
        <f t="array" aca="1" ref="Q89" ca="1">IF(OR((Q$85&gt;=$AY$11:$AY$38)*(Q$48&lt;=$AZ$11:$AZ$38)&gt;0),$B89,"")</f>
        <v/>
      </c>
      <c r="R89" s="84" t="str">
        <f t="array" aca="1" ref="R89" ca="1">IF(OR((R$85&gt;=$AY$11:$AY$38)*(R$48&lt;=$AZ$11:$AZ$38)&gt;0),$B89,"")</f>
        <v/>
      </c>
      <c r="S89" s="84" t="str">
        <f t="array" aca="1" ref="S89" ca="1">IF(OR((S$85&gt;=$AY$11:$AY$38)*(S$48&lt;=$AZ$11:$AZ$38)&gt;0),$B89,"")</f>
        <v/>
      </c>
      <c r="T89" s="84" t="str">
        <f t="array" aca="1" ref="T89" ca="1">IF(OR((T$85&gt;=$AY$11:$AY$38)*(T$48&lt;=$AZ$11:$AZ$38)&gt;0),$B89,"")</f>
        <v/>
      </c>
      <c r="U89" s="84" t="str">
        <f t="array" aca="1" ref="U89" ca="1">IF(OR((U$85&gt;=$AY$11:$AY$38)*(U$48&lt;=$AZ$11:$AZ$38)&gt;0),$B89,"")</f>
        <v/>
      </c>
      <c r="V89" s="84" t="str">
        <f t="array" aca="1" ref="V89" ca="1">IF(OR((V$85&gt;=$AY$11:$AY$38)*(V$48&lt;=$AZ$11:$AZ$38)&gt;0),$B89,"")</f>
        <v/>
      </c>
      <c r="W89" s="84" t="str">
        <f t="array" aca="1" ref="W89" ca="1">IF(OR((W$85&gt;=$AY$11:$AY$38)*(W$48&lt;=$AZ$11:$AZ$38)&gt;0),$B89,"")</f>
        <v/>
      </c>
      <c r="X89" s="84" t="str">
        <f t="array" aca="1" ref="X89" ca="1">IF(OR((X$85&gt;=$AY$11:$AY$38)*(X$48&lt;=$AZ$11:$AZ$38)&gt;0),$B89,"")</f>
        <v/>
      </c>
      <c r="Y89" s="84" t="str">
        <f t="array" aca="1" ref="Y89" ca="1">IF(OR((Y$85&gt;=$AY$11:$AY$38)*(Y$48&lt;=$AZ$11:$AZ$38)&gt;0),$B89,"")</f>
        <v/>
      </c>
      <c r="Z89" s="84" t="str">
        <f t="array" aca="1" ref="Z89" ca="1">IF(OR((Z$85&gt;=$AY$11:$AY$38)*(Z$48&lt;=$AZ$11:$AZ$38)&gt;0),$B89,"")</f>
        <v/>
      </c>
      <c r="AA89" s="84" t="str">
        <f t="array" aca="1" ref="AA89" ca="1">IF(OR((AA$85&gt;=$AY$11:$AY$38)*(AA$48&lt;=$AZ$11:$AZ$38)&gt;0),$B89,"")</f>
        <v/>
      </c>
      <c r="AB89" s="84" t="str">
        <f t="array" aca="1" ref="AB89" ca="1">IF(OR((AB$85&gt;=$AY$11:$AY$38)*(AB$48&lt;=$AZ$11:$AZ$38)&gt;0),$B89,"")</f>
        <v/>
      </c>
      <c r="AC89" s="84" t="str">
        <f t="array" aca="1" ref="AC89" ca="1">IF(OR((AC$85&gt;=$AY$11:$AY$38)*(AC$48&lt;=$AZ$11:$AZ$38)&gt;0),$B89,"")</f>
        <v/>
      </c>
      <c r="AD89" s="84" t="str">
        <f t="array" aca="1" ref="AD89" ca="1">IF(OR((AD$85&gt;=$AY$11:$AY$38)*(AD$48&lt;=$AZ$11:$AZ$38)&gt;0),$B89,"")</f>
        <v/>
      </c>
      <c r="AE89" s="84" t="str">
        <f t="array" aca="1" ref="AE89" ca="1">IF(OR((AE$85&gt;=$AY$11:$AY$38)*(AE$48&lt;=$AZ$11:$AZ$38)&gt;0),$B89,"")</f>
        <v/>
      </c>
      <c r="AF89" s="84" t="str">
        <f t="array" aca="1" ref="AF89" ca="1">IF(OR((AF$85&gt;=$AY$11:$AY$38)*(AF$48&lt;=$AZ$11:$AZ$38)&gt;0),$B89,"")</f>
        <v/>
      </c>
      <c r="AG89" s="84" t="str">
        <f t="array" aca="1" ref="AG89" ca="1">IF(OR((AG$85&gt;=$AY$11:$AY$38)*(AG$48&lt;=$AZ$11:$AZ$38)&gt;0),$B89,"")</f>
        <v/>
      </c>
      <c r="AH89" s="84" t="str">
        <f t="array" aca="1" ref="AH89" ca="1">IF(OR((AH$85&gt;=$AY$11:$AY$38)*(AH$48&lt;=$AZ$11:$AZ$38)&gt;0),$B89,"")</f>
        <v/>
      </c>
      <c r="AI89" s="84" t="str">
        <f t="array" aca="1" ref="AI89" ca="1">IF(OR((AI$85&gt;=$AY$11:$AY$38)*(AI$48&lt;=$AZ$11:$AZ$38)&gt;0),$B89,"")</f>
        <v/>
      </c>
    </row>
    <row r="90" spans="1:35" hidden="1">
      <c r="A90" s="75" t="s">
        <v>191</v>
      </c>
      <c r="B90" s="16">
        <v>48</v>
      </c>
      <c r="C90" s="84" t="str">
        <f t="array" aca="1" ref="C90" ca="1">IF(OR((C$85&gt;=$AY$11:$AY$38)*(C$48&lt;=$AZ$11:$AZ$38)&gt;0),$B90,"")</f>
        <v/>
      </c>
      <c r="D90" s="84" t="str">
        <f t="array" aca="1" ref="D90" ca="1">IF(OR((D$85&gt;=$AY$11:$AY$38)*(D$48&lt;=$AZ$11:$AZ$38)&gt;0),$B90,"")</f>
        <v/>
      </c>
      <c r="E90" s="84" t="str">
        <f t="array" aca="1" ref="E90" ca="1">IF(OR((E$85&gt;=$AY$11:$AY$38)*(E$48&lt;=$AZ$11:$AZ$38)&gt;0),$B90,"")</f>
        <v/>
      </c>
      <c r="F90" s="84" t="str">
        <f t="array" aca="1" ref="F90" ca="1">IF(OR((F$85&gt;=$AY$11:$AY$38)*(F$48&lt;=$AZ$11:$AZ$38)&gt;0),$B90,"")</f>
        <v/>
      </c>
      <c r="G90" s="84" t="str">
        <f t="array" aca="1" ref="G90" ca="1">IF(OR((G$85&gt;=$AY$11:$AY$38)*(G$48&lt;=$AZ$11:$AZ$38)&gt;0),$B90,"")</f>
        <v/>
      </c>
      <c r="H90" s="84" t="str">
        <f t="array" aca="1" ref="H90" ca="1">IF(OR((H$85&gt;=$AY$11:$AY$38)*(H$48&lt;=$AZ$11:$AZ$38)&gt;0),$B90,"")</f>
        <v/>
      </c>
      <c r="I90" s="84" t="str">
        <f t="array" aca="1" ref="I90" ca="1">IF(OR((I$85&gt;=$AY$11:$AY$38)*(I$48&lt;=$AZ$11:$AZ$38)&gt;0),$B90,"")</f>
        <v/>
      </c>
      <c r="J90" s="84" t="str">
        <f t="array" aca="1" ref="J90" ca="1">IF(OR((J$85&gt;=$AY$11:$AY$38)*(J$48&lt;=$AZ$11:$AZ$38)&gt;0),$B90,"")</f>
        <v/>
      </c>
      <c r="K90" s="84" t="str">
        <f t="array" aca="1" ref="K90" ca="1">IF(OR((K$85&gt;=$AY$11:$AY$38)*(K$48&lt;=$AZ$11:$AZ$38)&gt;0),$B90,"")</f>
        <v/>
      </c>
      <c r="L90" s="84" t="str">
        <f t="array" aca="1" ref="L90" ca="1">IF(OR((L$85&gt;=$AY$11:$AY$38)*(L$48&lt;=$AZ$11:$AZ$38)&gt;0),$B90,"")</f>
        <v/>
      </c>
      <c r="M90" s="84" t="str">
        <f t="array" aca="1" ref="M90" ca="1">IF(OR((M$85&gt;=$AY$11:$AY$38)*(M$48&lt;=$AZ$11:$AZ$38)&gt;0),$B90,"")</f>
        <v/>
      </c>
      <c r="N90" s="84" t="str">
        <f t="array" aca="1" ref="N90" ca="1">IF(OR((N$85&gt;=$AY$11:$AY$38)*(N$48&lt;=$AZ$11:$AZ$38)&gt;0),$B90,"")</f>
        <v/>
      </c>
      <c r="O90" s="84" t="str">
        <f t="array" aca="1" ref="O90" ca="1">IF(OR((O$85&gt;=$AY$11:$AY$38)*(O$48&lt;=$AZ$11:$AZ$38)&gt;0),$B90,"")</f>
        <v/>
      </c>
      <c r="P90" s="84" t="str">
        <f t="array" aca="1" ref="P90" ca="1">IF(OR((P$85&gt;=$AY$11:$AY$38)*(P$48&lt;=$AZ$11:$AZ$38)&gt;0),$B90,"")</f>
        <v/>
      </c>
      <c r="Q90" s="84" t="str">
        <f t="array" aca="1" ref="Q90" ca="1">IF(OR((Q$85&gt;=$AY$11:$AY$38)*(Q$48&lt;=$AZ$11:$AZ$38)&gt;0),$B90,"")</f>
        <v/>
      </c>
      <c r="R90" s="84" t="str">
        <f t="array" aca="1" ref="R90" ca="1">IF(OR((R$85&gt;=$AY$11:$AY$38)*(R$48&lt;=$AZ$11:$AZ$38)&gt;0),$B90,"")</f>
        <v/>
      </c>
      <c r="S90" s="84" t="str">
        <f t="array" aca="1" ref="S90" ca="1">IF(OR((S$85&gt;=$AY$11:$AY$38)*(S$48&lt;=$AZ$11:$AZ$38)&gt;0),$B90,"")</f>
        <v/>
      </c>
      <c r="T90" s="84" t="str">
        <f t="array" aca="1" ref="T90" ca="1">IF(OR((T$85&gt;=$AY$11:$AY$38)*(T$48&lt;=$AZ$11:$AZ$38)&gt;0),$B90,"")</f>
        <v/>
      </c>
      <c r="U90" s="84" t="str">
        <f t="array" aca="1" ref="U90" ca="1">IF(OR((U$85&gt;=$AY$11:$AY$38)*(U$48&lt;=$AZ$11:$AZ$38)&gt;0),$B90,"")</f>
        <v/>
      </c>
      <c r="V90" s="84" t="str">
        <f t="array" aca="1" ref="V90" ca="1">IF(OR((V$85&gt;=$AY$11:$AY$38)*(V$48&lt;=$AZ$11:$AZ$38)&gt;0),$B90,"")</f>
        <v/>
      </c>
      <c r="W90" s="84" t="str">
        <f t="array" aca="1" ref="W90" ca="1">IF(OR((W$85&gt;=$AY$11:$AY$38)*(W$48&lt;=$AZ$11:$AZ$38)&gt;0),$B90,"")</f>
        <v/>
      </c>
      <c r="X90" s="84" t="str">
        <f t="array" aca="1" ref="X90" ca="1">IF(OR((X$85&gt;=$AY$11:$AY$38)*(X$48&lt;=$AZ$11:$AZ$38)&gt;0),$B90,"")</f>
        <v/>
      </c>
      <c r="Y90" s="84" t="str">
        <f t="array" aca="1" ref="Y90" ca="1">IF(OR((Y$85&gt;=$AY$11:$AY$38)*(Y$48&lt;=$AZ$11:$AZ$38)&gt;0),$B90,"")</f>
        <v/>
      </c>
      <c r="Z90" s="84" t="str">
        <f t="array" aca="1" ref="Z90" ca="1">IF(OR((Z$85&gt;=$AY$11:$AY$38)*(Z$48&lt;=$AZ$11:$AZ$38)&gt;0),$B90,"")</f>
        <v/>
      </c>
      <c r="AA90" s="84" t="str">
        <f t="array" aca="1" ref="AA90" ca="1">IF(OR((AA$85&gt;=$AY$11:$AY$38)*(AA$48&lt;=$AZ$11:$AZ$38)&gt;0),$B90,"")</f>
        <v/>
      </c>
      <c r="AB90" s="84" t="str">
        <f t="array" aca="1" ref="AB90" ca="1">IF(OR((AB$85&gt;=$AY$11:$AY$38)*(AB$48&lt;=$AZ$11:$AZ$38)&gt;0),$B90,"")</f>
        <v/>
      </c>
      <c r="AC90" s="84" t="str">
        <f t="array" aca="1" ref="AC90" ca="1">IF(OR((AC$85&gt;=$AY$11:$AY$38)*(AC$48&lt;=$AZ$11:$AZ$38)&gt;0),$B90,"")</f>
        <v/>
      </c>
      <c r="AD90" s="84" t="str">
        <f t="array" aca="1" ref="AD90" ca="1">IF(OR((AD$85&gt;=$AY$11:$AY$38)*(AD$48&lt;=$AZ$11:$AZ$38)&gt;0),$B90,"")</f>
        <v/>
      </c>
      <c r="AE90" s="84" t="str">
        <f t="array" aca="1" ref="AE90" ca="1">IF(OR((AE$85&gt;=$AY$11:$AY$38)*(AE$48&lt;=$AZ$11:$AZ$38)&gt;0),$B90,"")</f>
        <v/>
      </c>
      <c r="AF90" s="84" t="str">
        <f t="array" aca="1" ref="AF90" ca="1">IF(OR((AF$85&gt;=$AY$11:$AY$38)*(AF$48&lt;=$AZ$11:$AZ$38)&gt;0),$B90,"")</f>
        <v/>
      </c>
      <c r="AG90" s="84" t="str">
        <f t="array" aca="1" ref="AG90" ca="1">IF(OR((AG$85&gt;=$AY$11:$AY$38)*(AG$48&lt;=$AZ$11:$AZ$38)&gt;0),$B90,"")</f>
        <v/>
      </c>
      <c r="AH90" s="84" t="str">
        <f t="array" aca="1" ref="AH90" ca="1">IF(OR((AH$85&gt;=$AY$11:$AY$38)*(AH$48&lt;=$AZ$11:$AZ$38)&gt;0),$B90,"")</f>
        <v/>
      </c>
      <c r="AI90" s="84" t="str">
        <f t="array" aca="1" ref="AI90" ca="1">IF(OR((AI$85&gt;=$AY$11:$AY$38)*(AI$48&lt;=$AZ$11:$AZ$38)&gt;0),$B90,"")</f>
        <v/>
      </c>
    </row>
    <row r="91" spans="1:35" hidden="1">
      <c r="A91" s="75" t="s">
        <v>192</v>
      </c>
      <c r="B91" s="16">
        <v>48</v>
      </c>
      <c r="C91" s="84" t="str">
        <f t="array" aca="1" ref="C91" ca="1">IF(OR((C$85&gt;=$AY$11:$AY$38)*(C$48&lt;=$AZ$11:$AZ$38)&gt;0),$B91,"")</f>
        <v/>
      </c>
      <c r="D91" s="84" t="str">
        <f t="array" aca="1" ref="D91" ca="1">IF(OR((D$85&gt;=$AY$11:$AY$38)*(D$48&lt;=$AZ$11:$AZ$38)&gt;0),$B91,"")</f>
        <v/>
      </c>
      <c r="E91" s="84" t="str">
        <f t="array" aca="1" ref="E91" ca="1">IF(OR((E$85&gt;=$AY$11:$AY$38)*(E$48&lt;=$AZ$11:$AZ$38)&gt;0),$B91,"")</f>
        <v/>
      </c>
      <c r="F91" s="84" t="str">
        <f t="array" aca="1" ref="F91" ca="1">IF(OR((F$85&gt;=$AY$11:$AY$38)*(F$48&lt;=$AZ$11:$AZ$38)&gt;0),$B91,"")</f>
        <v/>
      </c>
      <c r="G91" s="84" t="str">
        <f t="array" aca="1" ref="G91" ca="1">IF(OR((G$85&gt;=$AY$11:$AY$38)*(G$48&lt;=$AZ$11:$AZ$38)&gt;0),$B91,"")</f>
        <v/>
      </c>
      <c r="H91" s="84" t="str">
        <f t="array" aca="1" ref="H91" ca="1">IF(OR((H$85&gt;=$AY$11:$AY$38)*(H$48&lt;=$AZ$11:$AZ$38)&gt;0),$B91,"")</f>
        <v/>
      </c>
      <c r="I91" s="84" t="str">
        <f t="array" aca="1" ref="I91" ca="1">IF(OR((I$85&gt;=$AY$11:$AY$38)*(I$48&lt;=$AZ$11:$AZ$38)&gt;0),$B91,"")</f>
        <v/>
      </c>
      <c r="J91" s="84" t="str">
        <f t="array" aca="1" ref="J91" ca="1">IF(OR((J$85&gt;=$AY$11:$AY$38)*(J$48&lt;=$AZ$11:$AZ$38)&gt;0),$B91,"")</f>
        <v/>
      </c>
      <c r="K91" s="84" t="str">
        <f t="array" aca="1" ref="K91" ca="1">IF(OR((K$85&gt;=$AY$11:$AY$38)*(K$48&lt;=$AZ$11:$AZ$38)&gt;0),$B91,"")</f>
        <v/>
      </c>
      <c r="L91" s="84" t="str">
        <f t="array" aca="1" ref="L91" ca="1">IF(OR((L$85&gt;=$AY$11:$AY$38)*(L$48&lt;=$AZ$11:$AZ$38)&gt;0),$B91,"")</f>
        <v/>
      </c>
      <c r="M91" s="84" t="str">
        <f t="array" aca="1" ref="M91" ca="1">IF(OR((M$85&gt;=$AY$11:$AY$38)*(M$48&lt;=$AZ$11:$AZ$38)&gt;0),$B91,"")</f>
        <v/>
      </c>
      <c r="N91" s="84" t="str">
        <f t="array" aca="1" ref="N91" ca="1">IF(OR((N$85&gt;=$AY$11:$AY$38)*(N$48&lt;=$AZ$11:$AZ$38)&gt;0),$B91,"")</f>
        <v/>
      </c>
      <c r="O91" s="84" t="str">
        <f t="array" aca="1" ref="O91" ca="1">IF(OR((O$85&gt;=$AY$11:$AY$38)*(O$48&lt;=$AZ$11:$AZ$38)&gt;0),$B91,"")</f>
        <v/>
      </c>
      <c r="P91" s="84" t="str">
        <f t="array" aca="1" ref="P91" ca="1">IF(OR((P$85&gt;=$AY$11:$AY$38)*(P$48&lt;=$AZ$11:$AZ$38)&gt;0),$B91,"")</f>
        <v/>
      </c>
      <c r="Q91" s="84" t="str">
        <f t="array" aca="1" ref="Q91" ca="1">IF(OR((Q$85&gt;=$AY$11:$AY$38)*(Q$48&lt;=$AZ$11:$AZ$38)&gt;0),$B91,"")</f>
        <v/>
      </c>
      <c r="R91" s="84" t="str">
        <f t="array" aca="1" ref="R91" ca="1">IF(OR((R$85&gt;=$AY$11:$AY$38)*(R$48&lt;=$AZ$11:$AZ$38)&gt;0),$B91,"")</f>
        <v/>
      </c>
      <c r="S91" s="84" t="str">
        <f t="array" aca="1" ref="S91" ca="1">IF(OR((S$85&gt;=$AY$11:$AY$38)*(S$48&lt;=$AZ$11:$AZ$38)&gt;0),$B91,"")</f>
        <v/>
      </c>
      <c r="T91" s="84" t="str">
        <f t="array" aca="1" ref="T91" ca="1">IF(OR((T$85&gt;=$AY$11:$AY$38)*(T$48&lt;=$AZ$11:$AZ$38)&gt;0),$B91,"")</f>
        <v/>
      </c>
      <c r="U91" s="84" t="str">
        <f t="array" aca="1" ref="U91" ca="1">IF(OR((U$85&gt;=$AY$11:$AY$38)*(U$48&lt;=$AZ$11:$AZ$38)&gt;0),$B91,"")</f>
        <v/>
      </c>
      <c r="V91" s="84" t="str">
        <f t="array" aca="1" ref="V91" ca="1">IF(OR((V$85&gt;=$AY$11:$AY$38)*(V$48&lt;=$AZ$11:$AZ$38)&gt;0),$B91,"")</f>
        <v/>
      </c>
      <c r="W91" s="84" t="str">
        <f t="array" aca="1" ref="W91" ca="1">IF(OR((W$85&gt;=$AY$11:$AY$38)*(W$48&lt;=$AZ$11:$AZ$38)&gt;0),$B91,"")</f>
        <v/>
      </c>
      <c r="X91" s="84" t="str">
        <f t="array" aca="1" ref="X91" ca="1">IF(OR((X$85&gt;=$AY$11:$AY$38)*(X$48&lt;=$AZ$11:$AZ$38)&gt;0),$B91,"")</f>
        <v/>
      </c>
      <c r="Y91" s="84" t="str">
        <f t="array" aca="1" ref="Y91" ca="1">IF(OR((Y$85&gt;=$AY$11:$AY$38)*(Y$48&lt;=$AZ$11:$AZ$38)&gt;0),$B91,"")</f>
        <v/>
      </c>
      <c r="Z91" s="84" t="str">
        <f t="array" aca="1" ref="Z91" ca="1">IF(OR((Z$85&gt;=$AY$11:$AY$38)*(Z$48&lt;=$AZ$11:$AZ$38)&gt;0),$B91,"")</f>
        <v/>
      </c>
      <c r="AA91" s="84" t="str">
        <f t="array" aca="1" ref="AA91" ca="1">IF(OR((AA$85&gt;=$AY$11:$AY$38)*(AA$48&lt;=$AZ$11:$AZ$38)&gt;0),$B91,"")</f>
        <v/>
      </c>
      <c r="AB91" s="84" t="str">
        <f t="array" aca="1" ref="AB91" ca="1">IF(OR((AB$85&gt;=$AY$11:$AY$38)*(AB$48&lt;=$AZ$11:$AZ$38)&gt;0),$B91,"")</f>
        <v/>
      </c>
      <c r="AC91" s="84" t="str">
        <f t="array" aca="1" ref="AC91" ca="1">IF(OR((AC$85&gt;=$AY$11:$AY$38)*(AC$48&lt;=$AZ$11:$AZ$38)&gt;0),$B91,"")</f>
        <v/>
      </c>
      <c r="AD91" s="84" t="str">
        <f t="array" aca="1" ref="AD91" ca="1">IF(OR((AD$85&gt;=$AY$11:$AY$38)*(AD$48&lt;=$AZ$11:$AZ$38)&gt;0),$B91,"")</f>
        <v/>
      </c>
      <c r="AE91" s="84" t="str">
        <f t="array" aca="1" ref="AE91" ca="1">IF(OR((AE$85&gt;=$AY$11:$AY$38)*(AE$48&lt;=$AZ$11:$AZ$38)&gt;0),$B91,"")</f>
        <v/>
      </c>
      <c r="AF91" s="84" t="str">
        <f t="array" aca="1" ref="AF91" ca="1">IF(OR((AF$85&gt;=$AY$11:$AY$38)*(AF$48&lt;=$AZ$11:$AZ$38)&gt;0),$B91,"")</f>
        <v/>
      </c>
      <c r="AG91" s="84" t="str">
        <f t="array" aca="1" ref="AG91" ca="1">IF(OR((AG$85&gt;=$AY$11:$AY$38)*(AG$48&lt;=$AZ$11:$AZ$38)&gt;0),$B91,"")</f>
        <v/>
      </c>
      <c r="AH91" s="84" t="str">
        <f t="array" aca="1" ref="AH91" ca="1">IF(OR((AH$85&gt;=$AY$11:$AY$38)*(AH$48&lt;=$AZ$11:$AZ$38)&gt;0),$B91,"")</f>
        <v/>
      </c>
      <c r="AI91" s="84" t="str">
        <f t="array" aca="1" ref="AI91" ca="1">IF(OR((AI$85&gt;=$AY$11:$AY$38)*(AI$48&lt;=$AZ$11:$AZ$38)&gt;0),$B91,"")</f>
        <v/>
      </c>
    </row>
    <row r="92" spans="1:35" hidden="1">
      <c r="A92" s="75" t="s">
        <v>193</v>
      </c>
      <c r="B92" s="16">
        <v>16</v>
      </c>
      <c r="C92" s="84" t="str">
        <f t="array" aca="1" ref="C92" ca="1">IF(OR((C$85&gt;=$AY$11:$AY$38)*(C$48&lt;=$AZ$11:$AZ$38)&gt;0),$B92,"")</f>
        <v/>
      </c>
      <c r="D92" s="84" t="str">
        <f t="array" aca="1" ref="D92" ca="1">IF(OR((D$85&gt;=$AY$11:$AY$38)*(D$48&lt;=$AZ$11:$AZ$38)&gt;0),$B92,"")</f>
        <v/>
      </c>
      <c r="E92" s="84" t="str">
        <f t="array" aca="1" ref="E92" ca="1">IF(OR((E$85&gt;=$AY$11:$AY$38)*(E$48&lt;=$AZ$11:$AZ$38)&gt;0),$B92,"")</f>
        <v/>
      </c>
      <c r="F92" s="84" t="str">
        <f t="array" aca="1" ref="F92" ca="1">IF(OR((F$85&gt;=$AY$11:$AY$38)*(F$48&lt;=$AZ$11:$AZ$38)&gt;0),$B92,"")</f>
        <v/>
      </c>
      <c r="G92" s="84" t="str">
        <f t="array" aca="1" ref="G92" ca="1">IF(OR((G$85&gt;=$AY$11:$AY$38)*(G$48&lt;=$AZ$11:$AZ$38)&gt;0),$B92,"")</f>
        <v/>
      </c>
      <c r="H92" s="84" t="str">
        <f t="array" aca="1" ref="H92" ca="1">IF(OR((H$85&gt;=$AY$11:$AY$38)*(H$48&lt;=$AZ$11:$AZ$38)&gt;0),$B92,"")</f>
        <v/>
      </c>
      <c r="I92" s="84" t="str">
        <f t="array" aca="1" ref="I92" ca="1">IF(OR((I$85&gt;=$AY$11:$AY$38)*(I$48&lt;=$AZ$11:$AZ$38)&gt;0),$B92,"")</f>
        <v/>
      </c>
      <c r="J92" s="84" t="str">
        <f t="array" aca="1" ref="J92" ca="1">IF(OR((J$85&gt;=$AY$11:$AY$38)*(J$48&lt;=$AZ$11:$AZ$38)&gt;0),$B92,"")</f>
        <v/>
      </c>
      <c r="K92" s="84" t="str">
        <f t="array" aca="1" ref="K92" ca="1">IF(OR((K$85&gt;=$AY$11:$AY$38)*(K$48&lt;=$AZ$11:$AZ$38)&gt;0),$B92,"")</f>
        <v/>
      </c>
      <c r="L92" s="84" t="str">
        <f t="array" aca="1" ref="L92" ca="1">IF(OR((L$85&gt;=$AY$11:$AY$38)*(L$48&lt;=$AZ$11:$AZ$38)&gt;0),$B92,"")</f>
        <v/>
      </c>
      <c r="M92" s="84" t="str">
        <f t="array" aca="1" ref="M92" ca="1">IF(OR((M$85&gt;=$AY$11:$AY$38)*(M$48&lt;=$AZ$11:$AZ$38)&gt;0),$B92,"")</f>
        <v/>
      </c>
      <c r="N92" s="84" t="str">
        <f t="array" aca="1" ref="N92" ca="1">IF(OR((N$85&gt;=$AY$11:$AY$38)*(N$48&lt;=$AZ$11:$AZ$38)&gt;0),$B92,"")</f>
        <v/>
      </c>
      <c r="O92" s="84" t="str">
        <f t="array" aca="1" ref="O92" ca="1">IF(OR((O$85&gt;=$AY$11:$AY$38)*(O$48&lt;=$AZ$11:$AZ$38)&gt;0),$B92,"")</f>
        <v/>
      </c>
      <c r="P92" s="84" t="str">
        <f t="array" aca="1" ref="P92" ca="1">IF(OR((P$85&gt;=$AY$11:$AY$38)*(P$48&lt;=$AZ$11:$AZ$38)&gt;0),$B92,"")</f>
        <v/>
      </c>
      <c r="Q92" s="84" t="str">
        <f t="array" aca="1" ref="Q92" ca="1">IF(OR((Q$85&gt;=$AY$11:$AY$38)*(Q$48&lt;=$AZ$11:$AZ$38)&gt;0),$B92,"")</f>
        <v/>
      </c>
      <c r="R92" s="84" t="str">
        <f t="array" aca="1" ref="R92" ca="1">IF(OR((R$85&gt;=$AY$11:$AY$38)*(R$48&lt;=$AZ$11:$AZ$38)&gt;0),$B92,"")</f>
        <v/>
      </c>
      <c r="S92" s="84" t="str">
        <f t="array" aca="1" ref="S92" ca="1">IF(OR((S$85&gt;=$AY$11:$AY$38)*(S$48&lt;=$AZ$11:$AZ$38)&gt;0),$B92,"")</f>
        <v/>
      </c>
      <c r="T92" s="84" t="str">
        <f t="array" aca="1" ref="T92" ca="1">IF(OR((T$85&gt;=$AY$11:$AY$38)*(T$48&lt;=$AZ$11:$AZ$38)&gt;0),$B92,"")</f>
        <v/>
      </c>
      <c r="U92" s="84" t="str">
        <f t="array" aca="1" ref="U92" ca="1">IF(OR((U$85&gt;=$AY$11:$AY$38)*(U$48&lt;=$AZ$11:$AZ$38)&gt;0),$B92,"")</f>
        <v/>
      </c>
      <c r="V92" s="84" t="str">
        <f t="array" aca="1" ref="V92" ca="1">IF(OR((V$85&gt;=$AY$11:$AY$38)*(V$48&lt;=$AZ$11:$AZ$38)&gt;0),$B92,"")</f>
        <v/>
      </c>
      <c r="W92" s="84" t="str">
        <f t="array" aca="1" ref="W92" ca="1">IF(OR((W$85&gt;=$AY$11:$AY$38)*(W$48&lt;=$AZ$11:$AZ$38)&gt;0),$B92,"")</f>
        <v/>
      </c>
      <c r="X92" s="84" t="str">
        <f t="array" aca="1" ref="X92" ca="1">IF(OR((X$85&gt;=$AY$11:$AY$38)*(X$48&lt;=$AZ$11:$AZ$38)&gt;0),$B92,"")</f>
        <v/>
      </c>
      <c r="Y92" s="84" t="str">
        <f t="array" aca="1" ref="Y92" ca="1">IF(OR((Y$85&gt;=$AY$11:$AY$38)*(Y$48&lt;=$AZ$11:$AZ$38)&gt;0),$B92,"")</f>
        <v/>
      </c>
      <c r="Z92" s="84" t="str">
        <f t="array" aca="1" ref="Z92" ca="1">IF(OR((Z$85&gt;=$AY$11:$AY$38)*(Z$48&lt;=$AZ$11:$AZ$38)&gt;0),$B92,"")</f>
        <v/>
      </c>
      <c r="AA92" s="84" t="str">
        <f t="array" aca="1" ref="AA92" ca="1">IF(OR((AA$85&gt;=$AY$11:$AY$38)*(AA$48&lt;=$AZ$11:$AZ$38)&gt;0),$B92,"")</f>
        <v/>
      </c>
      <c r="AB92" s="84" t="str">
        <f t="array" aca="1" ref="AB92" ca="1">IF(OR((AB$85&gt;=$AY$11:$AY$38)*(AB$48&lt;=$AZ$11:$AZ$38)&gt;0),$B92,"")</f>
        <v/>
      </c>
      <c r="AC92" s="84" t="str">
        <f t="array" aca="1" ref="AC92" ca="1">IF(OR((AC$85&gt;=$AY$11:$AY$38)*(AC$48&lt;=$AZ$11:$AZ$38)&gt;0),$B92,"")</f>
        <v/>
      </c>
      <c r="AD92" s="84" t="str">
        <f t="array" aca="1" ref="AD92" ca="1">IF(OR((AD$85&gt;=$AY$11:$AY$38)*(AD$48&lt;=$AZ$11:$AZ$38)&gt;0),$B92,"")</f>
        <v/>
      </c>
      <c r="AE92" s="84" t="str">
        <f t="array" aca="1" ref="AE92" ca="1">IF(OR((AE$85&gt;=$AY$11:$AY$38)*(AE$48&lt;=$AZ$11:$AZ$38)&gt;0),$B92,"")</f>
        <v/>
      </c>
      <c r="AF92" s="84" t="str">
        <f t="array" aca="1" ref="AF92" ca="1">IF(OR((AF$85&gt;=$AY$11:$AY$38)*(AF$48&lt;=$AZ$11:$AZ$38)&gt;0),$B92,"")</f>
        <v/>
      </c>
      <c r="AG92" s="84" t="str">
        <f t="array" aca="1" ref="AG92" ca="1">IF(OR((AG$85&gt;=$AY$11:$AY$38)*(AG$48&lt;=$AZ$11:$AZ$38)&gt;0),$B92,"")</f>
        <v/>
      </c>
      <c r="AH92" s="84" t="str">
        <f t="array" aca="1" ref="AH92" ca="1">IF(OR((AH$85&gt;=$AY$11:$AY$38)*(AH$48&lt;=$AZ$11:$AZ$38)&gt;0),$B92,"")</f>
        <v/>
      </c>
      <c r="AI92" s="84" t="str">
        <f t="array" aca="1" ref="AI92" ca="1">IF(OR((AI$85&gt;=$AY$11:$AY$38)*(AI$48&lt;=$AZ$11:$AZ$38)&gt;0),$B92,"")</f>
        <v/>
      </c>
    </row>
    <row r="93" spans="1:35" hidden="1">
      <c r="A93" s="75" t="s">
        <v>194</v>
      </c>
      <c r="B93" s="16">
        <v>32</v>
      </c>
      <c r="C93" s="84" t="str">
        <f t="array" aca="1" ref="C93" ca="1">IF(OR((C$85&gt;=$AY$11:$AY$38)*(C$48&lt;=$AZ$11:$AZ$38)&gt;0),$B93,"")</f>
        <v/>
      </c>
      <c r="D93" s="84" t="str">
        <f t="array" aca="1" ref="D93" ca="1">IF(OR((D$85&gt;=$AY$11:$AY$38)*(D$48&lt;=$AZ$11:$AZ$38)&gt;0),$B93,"")</f>
        <v/>
      </c>
      <c r="E93" s="84" t="str">
        <f t="array" aca="1" ref="E93" ca="1">IF(OR((E$85&gt;=$AY$11:$AY$38)*(E$48&lt;=$AZ$11:$AZ$38)&gt;0),$B93,"")</f>
        <v/>
      </c>
      <c r="F93" s="84" t="str">
        <f t="array" aca="1" ref="F93" ca="1">IF(OR((F$85&gt;=$AY$11:$AY$38)*(F$48&lt;=$AZ$11:$AZ$38)&gt;0),$B93,"")</f>
        <v/>
      </c>
      <c r="G93" s="84" t="str">
        <f t="array" aca="1" ref="G93" ca="1">IF(OR((G$85&gt;=$AY$11:$AY$38)*(G$48&lt;=$AZ$11:$AZ$38)&gt;0),$B93,"")</f>
        <v/>
      </c>
      <c r="H93" s="84" t="str">
        <f t="array" aca="1" ref="H93" ca="1">IF(OR((H$85&gt;=$AY$11:$AY$38)*(H$48&lt;=$AZ$11:$AZ$38)&gt;0),$B93,"")</f>
        <v/>
      </c>
      <c r="I93" s="84" t="str">
        <f t="array" aca="1" ref="I93" ca="1">IF(OR((I$85&gt;=$AY$11:$AY$38)*(I$48&lt;=$AZ$11:$AZ$38)&gt;0),$B93,"")</f>
        <v/>
      </c>
      <c r="J93" s="84" t="str">
        <f t="array" aca="1" ref="J93" ca="1">IF(OR((J$85&gt;=$AY$11:$AY$38)*(J$48&lt;=$AZ$11:$AZ$38)&gt;0),$B93,"")</f>
        <v/>
      </c>
      <c r="K93" s="84" t="str">
        <f t="array" aca="1" ref="K93" ca="1">IF(OR((K$85&gt;=$AY$11:$AY$38)*(K$48&lt;=$AZ$11:$AZ$38)&gt;0),$B93,"")</f>
        <v/>
      </c>
      <c r="L93" s="84" t="str">
        <f t="array" aca="1" ref="L93" ca="1">IF(OR((L$85&gt;=$AY$11:$AY$38)*(L$48&lt;=$AZ$11:$AZ$38)&gt;0),$B93,"")</f>
        <v/>
      </c>
      <c r="M93" s="84" t="str">
        <f t="array" aca="1" ref="M93" ca="1">IF(OR((M$85&gt;=$AY$11:$AY$38)*(M$48&lt;=$AZ$11:$AZ$38)&gt;0),$B93,"")</f>
        <v/>
      </c>
      <c r="N93" s="84" t="str">
        <f t="array" aca="1" ref="N93" ca="1">IF(OR((N$85&gt;=$AY$11:$AY$38)*(N$48&lt;=$AZ$11:$AZ$38)&gt;0),$B93,"")</f>
        <v/>
      </c>
      <c r="O93" s="84" t="str">
        <f t="array" aca="1" ref="O93" ca="1">IF(OR((O$85&gt;=$AY$11:$AY$38)*(O$48&lt;=$AZ$11:$AZ$38)&gt;0),$B93,"")</f>
        <v/>
      </c>
      <c r="P93" s="84" t="str">
        <f t="array" aca="1" ref="P93" ca="1">IF(OR((P$85&gt;=$AY$11:$AY$38)*(P$48&lt;=$AZ$11:$AZ$38)&gt;0),$B93,"")</f>
        <v/>
      </c>
      <c r="Q93" s="84" t="str">
        <f t="array" aca="1" ref="Q93" ca="1">IF(OR((Q$85&gt;=$AY$11:$AY$38)*(Q$48&lt;=$AZ$11:$AZ$38)&gt;0),$B93,"")</f>
        <v/>
      </c>
      <c r="R93" s="84" t="str">
        <f t="array" aca="1" ref="R93" ca="1">IF(OR((R$85&gt;=$AY$11:$AY$38)*(R$48&lt;=$AZ$11:$AZ$38)&gt;0),$B93,"")</f>
        <v/>
      </c>
      <c r="S93" s="84" t="str">
        <f t="array" aca="1" ref="S93" ca="1">IF(OR((S$85&gt;=$AY$11:$AY$38)*(S$48&lt;=$AZ$11:$AZ$38)&gt;0),$B93,"")</f>
        <v/>
      </c>
      <c r="T93" s="84" t="str">
        <f t="array" aca="1" ref="T93" ca="1">IF(OR((T$85&gt;=$AY$11:$AY$38)*(T$48&lt;=$AZ$11:$AZ$38)&gt;0),$B93,"")</f>
        <v/>
      </c>
      <c r="U93" s="84" t="str">
        <f t="array" aca="1" ref="U93" ca="1">IF(OR((U$85&gt;=$AY$11:$AY$38)*(U$48&lt;=$AZ$11:$AZ$38)&gt;0),$B93,"")</f>
        <v/>
      </c>
      <c r="V93" s="84" t="str">
        <f t="array" aca="1" ref="V93" ca="1">IF(OR((V$85&gt;=$AY$11:$AY$38)*(V$48&lt;=$AZ$11:$AZ$38)&gt;0),$B93,"")</f>
        <v/>
      </c>
      <c r="W93" s="84" t="str">
        <f t="array" aca="1" ref="W93" ca="1">IF(OR((W$85&gt;=$AY$11:$AY$38)*(W$48&lt;=$AZ$11:$AZ$38)&gt;0),$B93,"")</f>
        <v/>
      </c>
      <c r="X93" s="84" t="str">
        <f t="array" aca="1" ref="X93" ca="1">IF(OR((X$85&gt;=$AY$11:$AY$38)*(X$48&lt;=$AZ$11:$AZ$38)&gt;0),$B93,"")</f>
        <v/>
      </c>
      <c r="Y93" s="84" t="str">
        <f t="array" aca="1" ref="Y93" ca="1">IF(OR((Y$85&gt;=$AY$11:$AY$38)*(Y$48&lt;=$AZ$11:$AZ$38)&gt;0),$B93,"")</f>
        <v/>
      </c>
      <c r="Z93" s="84" t="str">
        <f t="array" aca="1" ref="Z93" ca="1">IF(OR((Z$85&gt;=$AY$11:$AY$38)*(Z$48&lt;=$AZ$11:$AZ$38)&gt;0),$B93,"")</f>
        <v/>
      </c>
      <c r="AA93" s="84" t="str">
        <f t="array" aca="1" ref="AA93" ca="1">IF(OR((AA$85&gt;=$AY$11:$AY$38)*(AA$48&lt;=$AZ$11:$AZ$38)&gt;0),$B93,"")</f>
        <v/>
      </c>
      <c r="AB93" s="84" t="str">
        <f t="array" aca="1" ref="AB93" ca="1">IF(OR((AB$85&gt;=$AY$11:$AY$38)*(AB$48&lt;=$AZ$11:$AZ$38)&gt;0),$B93,"")</f>
        <v/>
      </c>
      <c r="AC93" s="84" t="str">
        <f t="array" aca="1" ref="AC93" ca="1">IF(OR((AC$85&gt;=$AY$11:$AY$38)*(AC$48&lt;=$AZ$11:$AZ$38)&gt;0),$B93,"")</f>
        <v/>
      </c>
      <c r="AD93" s="84" t="str">
        <f t="array" aca="1" ref="AD93" ca="1">IF(OR((AD$85&gt;=$AY$11:$AY$38)*(AD$48&lt;=$AZ$11:$AZ$38)&gt;0),$B93,"")</f>
        <v/>
      </c>
      <c r="AE93" s="84" t="str">
        <f t="array" aca="1" ref="AE93" ca="1">IF(OR((AE$85&gt;=$AY$11:$AY$38)*(AE$48&lt;=$AZ$11:$AZ$38)&gt;0),$B93,"")</f>
        <v/>
      </c>
      <c r="AF93" s="84" t="str">
        <f t="array" aca="1" ref="AF93" ca="1">IF(OR((AF$85&gt;=$AY$11:$AY$38)*(AF$48&lt;=$AZ$11:$AZ$38)&gt;0),$B93,"")</f>
        <v/>
      </c>
      <c r="AG93" s="84" t="str">
        <f t="array" aca="1" ref="AG93" ca="1">IF(OR((AG$85&gt;=$AY$11:$AY$38)*(AG$48&lt;=$AZ$11:$AZ$38)&gt;0),$B93,"")</f>
        <v/>
      </c>
      <c r="AH93" s="84" t="str">
        <f t="array" aca="1" ref="AH93" ca="1">IF(OR((AH$85&gt;=$AY$11:$AY$38)*(AH$48&lt;=$AZ$11:$AZ$38)&gt;0),$B93,"")</f>
        <v/>
      </c>
      <c r="AI93" s="84" t="str">
        <f t="array" aca="1" ref="AI93" ca="1">IF(OR((AI$85&gt;=$AY$11:$AY$38)*(AI$48&lt;=$AZ$11:$AZ$38)&gt;0),$B93,"")</f>
        <v/>
      </c>
    </row>
    <row r="94" spans="1:35" hidden="1">
      <c r="A94" s="75" t="s">
        <v>195</v>
      </c>
      <c r="B94" s="16">
        <v>1</v>
      </c>
      <c r="C94" s="84" t="str">
        <f t="array" aca="1" ref="C94" ca="1">IF(OR((C$85&gt;=$AY$11:$AY$38)*(C$48&lt;=$AZ$11:$AZ$38)&gt;0),$B94,"")</f>
        <v/>
      </c>
      <c r="D94" s="84" t="str">
        <f t="array" aca="1" ref="D94" ca="1">IF(OR((D$85&gt;=$AY$11:$AY$38)*(D$48&lt;=$AZ$11:$AZ$38)&gt;0),$B94,"")</f>
        <v/>
      </c>
      <c r="E94" s="84" t="str">
        <f t="array" aca="1" ref="E94" ca="1">IF(OR((E$85&gt;=$AY$11:$AY$38)*(E$48&lt;=$AZ$11:$AZ$38)&gt;0),$B94,"")</f>
        <v/>
      </c>
      <c r="F94" s="84" t="str">
        <f t="array" aca="1" ref="F94" ca="1">IF(OR((F$85&gt;=$AY$11:$AY$38)*(F$48&lt;=$AZ$11:$AZ$38)&gt;0),$B94,"")</f>
        <v/>
      </c>
      <c r="G94" s="84" t="str">
        <f t="array" aca="1" ref="G94" ca="1">IF(OR((G$85&gt;=$AY$11:$AY$38)*(G$48&lt;=$AZ$11:$AZ$38)&gt;0),$B94,"")</f>
        <v/>
      </c>
      <c r="H94" s="84" t="str">
        <f t="array" aca="1" ref="H94" ca="1">IF(OR((H$85&gt;=$AY$11:$AY$38)*(H$48&lt;=$AZ$11:$AZ$38)&gt;0),$B94,"")</f>
        <v/>
      </c>
      <c r="I94" s="84" t="str">
        <f t="array" aca="1" ref="I94" ca="1">IF(OR((I$85&gt;=$AY$11:$AY$38)*(I$48&lt;=$AZ$11:$AZ$38)&gt;0),$B94,"")</f>
        <v/>
      </c>
      <c r="J94" s="84" t="str">
        <f t="array" aca="1" ref="J94" ca="1">IF(OR((J$85&gt;=$AY$11:$AY$38)*(J$48&lt;=$AZ$11:$AZ$38)&gt;0),$B94,"")</f>
        <v/>
      </c>
      <c r="K94" s="84" t="str">
        <f t="array" aca="1" ref="K94" ca="1">IF(OR((K$85&gt;=$AY$11:$AY$38)*(K$48&lt;=$AZ$11:$AZ$38)&gt;0),$B94,"")</f>
        <v/>
      </c>
      <c r="L94" s="84" t="str">
        <f t="array" aca="1" ref="L94" ca="1">IF(OR((L$85&gt;=$AY$11:$AY$38)*(L$48&lt;=$AZ$11:$AZ$38)&gt;0),$B94,"")</f>
        <v/>
      </c>
      <c r="M94" s="84" t="str">
        <f t="array" aca="1" ref="M94" ca="1">IF(OR((M$85&gt;=$AY$11:$AY$38)*(M$48&lt;=$AZ$11:$AZ$38)&gt;0),$B94,"")</f>
        <v/>
      </c>
      <c r="N94" s="84" t="str">
        <f t="array" aca="1" ref="N94" ca="1">IF(OR((N$85&gt;=$AY$11:$AY$38)*(N$48&lt;=$AZ$11:$AZ$38)&gt;0),$B94,"")</f>
        <v/>
      </c>
      <c r="O94" s="84" t="str">
        <f t="array" aca="1" ref="O94" ca="1">IF(OR((O$85&gt;=$AY$11:$AY$38)*(O$48&lt;=$AZ$11:$AZ$38)&gt;0),$B94,"")</f>
        <v/>
      </c>
      <c r="P94" s="84" t="str">
        <f t="array" aca="1" ref="P94" ca="1">IF(OR((P$85&gt;=$AY$11:$AY$38)*(P$48&lt;=$AZ$11:$AZ$38)&gt;0),$B94,"")</f>
        <v/>
      </c>
      <c r="Q94" s="84" t="str">
        <f t="array" aca="1" ref="Q94" ca="1">IF(OR((Q$85&gt;=$AY$11:$AY$38)*(Q$48&lt;=$AZ$11:$AZ$38)&gt;0),$B94,"")</f>
        <v/>
      </c>
      <c r="R94" s="84" t="str">
        <f t="array" aca="1" ref="R94" ca="1">IF(OR((R$85&gt;=$AY$11:$AY$38)*(R$48&lt;=$AZ$11:$AZ$38)&gt;0),$B94,"")</f>
        <v/>
      </c>
      <c r="S94" s="84" t="str">
        <f t="array" aca="1" ref="S94" ca="1">IF(OR((S$85&gt;=$AY$11:$AY$38)*(S$48&lt;=$AZ$11:$AZ$38)&gt;0),$B94,"")</f>
        <v/>
      </c>
      <c r="T94" s="84" t="str">
        <f t="array" aca="1" ref="T94" ca="1">IF(OR((T$85&gt;=$AY$11:$AY$38)*(T$48&lt;=$AZ$11:$AZ$38)&gt;0),$B94,"")</f>
        <v/>
      </c>
      <c r="U94" s="84" t="str">
        <f t="array" aca="1" ref="U94" ca="1">IF(OR((U$85&gt;=$AY$11:$AY$38)*(U$48&lt;=$AZ$11:$AZ$38)&gt;0),$B94,"")</f>
        <v/>
      </c>
      <c r="V94" s="84" t="str">
        <f t="array" aca="1" ref="V94" ca="1">IF(OR((V$85&gt;=$AY$11:$AY$38)*(V$48&lt;=$AZ$11:$AZ$38)&gt;0),$B94,"")</f>
        <v/>
      </c>
      <c r="W94" s="84" t="str">
        <f t="array" aca="1" ref="W94" ca="1">IF(OR((W$85&gt;=$AY$11:$AY$38)*(W$48&lt;=$AZ$11:$AZ$38)&gt;0),$B94,"")</f>
        <v/>
      </c>
      <c r="X94" s="84" t="str">
        <f t="array" aca="1" ref="X94" ca="1">IF(OR((X$85&gt;=$AY$11:$AY$38)*(X$48&lt;=$AZ$11:$AZ$38)&gt;0),$B94,"")</f>
        <v/>
      </c>
      <c r="Y94" s="84" t="str">
        <f t="array" aca="1" ref="Y94" ca="1">IF(OR((Y$85&gt;=$AY$11:$AY$38)*(Y$48&lt;=$AZ$11:$AZ$38)&gt;0),$B94,"")</f>
        <v/>
      </c>
      <c r="Z94" s="84" t="str">
        <f t="array" aca="1" ref="Z94" ca="1">IF(OR((Z$85&gt;=$AY$11:$AY$38)*(Z$48&lt;=$AZ$11:$AZ$38)&gt;0),$B94,"")</f>
        <v/>
      </c>
      <c r="AA94" s="84" t="str">
        <f t="array" aca="1" ref="AA94" ca="1">IF(OR((AA$85&gt;=$AY$11:$AY$38)*(AA$48&lt;=$AZ$11:$AZ$38)&gt;0),$B94,"")</f>
        <v/>
      </c>
      <c r="AB94" s="84" t="str">
        <f t="array" aca="1" ref="AB94" ca="1">IF(OR((AB$85&gt;=$AY$11:$AY$38)*(AB$48&lt;=$AZ$11:$AZ$38)&gt;0),$B94,"")</f>
        <v/>
      </c>
      <c r="AC94" s="84" t="str">
        <f t="array" aca="1" ref="AC94" ca="1">IF(OR((AC$85&gt;=$AY$11:$AY$38)*(AC$48&lt;=$AZ$11:$AZ$38)&gt;0),$B94,"")</f>
        <v/>
      </c>
      <c r="AD94" s="84" t="str">
        <f t="array" aca="1" ref="AD94" ca="1">IF(OR((AD$85&gt;=$AY$11:$AY$38)*(AD$48&lt;=$AZ$11:$AZ$38)&gt;0),$B94,"")</f>
        <v/>
      </c>
      <c r="AE94" s="84" t="str">
        <f t="array" aca="1" ref="AE94" ca="1">IF(OR((AE$85&gt;=$AY$11:$AY$38)*(AE$48&lt;=$AZ$11:$AZ$38)&gt;0),$B94,"")</f>
        <v/>
      </c>
      <c r="AF94" s="84" t="str">
        <f t="array" aca="1" ref="AF94" ca="1">IF(OR((AF$85&gt;=$AY$11:$AY$38)*(AF$48&lt;=$AZ$11:$AZ$38)&gt;0),$B94,"")</f>
        <v/>
      </c>
      <c r="AG94" s="84" t="str">
        <f t="array" aca="1" ref="AG94" ca="1">IF(OR((AG$85&gt;=$AY$11:$AY$38)*(AG$48&lt;=$AZ$11:$AZ$38)&gt;0),$B94,"")</f>
        <v/>
      </c>
      <c r="AH94" s="84" t="str">
        <f t="array" aca="1" ref="AH94" ca="1">IF(OR((AH$85&gt;=$AY$11:$AY$38)*(AH$48&lt;=$AZ$11:$AZ$38)&gt;0),$B94,"")</f>
        <v/>
      </c>
      <c r="AI94" s="84" t="str">
        <f t="array" aca="1" ref="AI94" ca="1">IF(OR((AI$85&gt;=$AY$11:$AY$38)*(AI$48&lt;=$AZ$11:$AZ$38)&gt;0),$B94,"")</f>
        <v/>
      </c>
    </row>
    <row r="95" spans="1:35" hidden="1">
      <c r="A95" s="75" t="s">
        <v>196</v>
      </c>
      <c r="B95" s="16">
        <v>1</v>
      </c>
      <c r="C95" s="84" t="str">
        <f t="array" aca="1" ref="C95" ca="1">IF(OR((C$85&gt;=$AY$11:$AY$38)*(C$48&lt;=$AZ$11:$AZ$38)&gt;0),$B95,"")</f>
        <v/>
      </c>
      <c r="D95" s="84" t="str">
        <f t="array" aca="1" ref="D95" ca="1">IF(OR((D$85&gt;=$AY$11:$AY$38)*(D$48&lt;=$AZ$11:$AZ$38)&gt;0),$B95,"")</f>
        <v/>
      </c>
      <c r="E95" s="84" t="str">
        <f t="array" aca="1" ref="E95" ca="1">IF(OR((E$85&gt;=$AY$11:$AY$38)*(E$48&lt;=$AZ$11:$AZ$38)&gt;0),$B95,"")</f>
        <v/>
      </c>
      <c r="F95" s="84" t="str">
        <f t="array" aca="1" ref="F95" ca="1">IF(OR((F$85&gt;=$AY$11:$AY$38)*(F$48&lt;=$AZ$11:$AZ$38)&gt;0),$B95,"")</f>
        <v/>
      </c>
      <c r="G95" s="84" t="str">
        <f t="array" aca="1" ref="G95" ca="1">IF(OR((G$85&gt;=$AY$11:$AY$38)*(G$48&lt;=$AZ$11:$AZ$38)&gt;0),$B95,"")</f>
        <v/>
      </c>
      <c r="H95" s="84" t="str">
        <f t="array" aca="1" ref="H95" ca="1">IF(OR((H$85&gt;=$AY$11:$AY$38)*(H$48&lt;=$AZ$11:$AZ$38)&gt;0),$B95,"")</f>
        <v/>
      </c>
      <c r="I95" s="84" t="str">
        <f t="array" aca="1" ref="I95" ca="1">IF(OR((I$85&gt;=$AY$11:$AY$38)*(I$48&lt;=$AZ$11:$AZ$38)&gt;0),$B95,"")</f>
        <v/>
      </c>
      <c r="J95" s="84" t="str">
        <f t="array" aca="1" ref="J95" ca="1">IF(OR((J$85&gt;=$AY$11:$AY$38)*(J$48&lt;=$AZ$11:$AZ$38)&gt;0),$B95,"")</f>
        <v/>
      </c>
      <c r="K95" s="84" t="str">
        <f t="array" aca="1" ref="K95" ca="1">IF(OR((K$85&gt;=$AY$11:$AY$38)*(K$48&lt;=$AZ$11:$AZ$38)&gt;0),$B95,"")</f>
        <v/>
      </c>
      <c r="L95" s="84" t="str">
        <f t="array" aca="1" ref="L95" ca="1">IF(OR((L$85&gt;=$AY$11:$AY$38)*(L$48&lt;=$AZ$11:$AZ$38)&gt;0),$B95,"")</f>
        <v/>
      </c>
      <c r="M95" s="84" t="str">
        <f t="array" aca="1" ref="M95" ca="1">IF(OR((M$85&gt;=$AY$11:$AY$38)*(M$48&lt;=$AZ$11:$AZ$38)&gt;0),$B95,"")</f>
        <v/>
      </c>
      <c r="N95" s="84" t="str">
        <f t="array" aca="1" ref="N95" ca="1">IF(OR((N$85&gt;=$AY$11:$AY$38)*(N$48&lt;=$AZ$11:$AZ$38)&gt;0),$B95,"")</f>
        <v/>
      </c>
      <c r="O95" s="84" t="str">
        <f t="array" aca="1" ref="O95" ca="1">IF(OR((O$85&gt;=$AY$11:$AY$38)*(O$48&lt;=$AZ$11:$AZ$38)&gt;0),$B95,"")</f>
        <v/>
      </c>
      <c r="P95" s="84" t="str">
        <f t="array" aca="1" ref="P95" ca="1">IF(OR((P$85&gt;=$AY$11:$AY$38)*(P$48&lt;=$AZ$11:$AZ$38)&gt;0),$B95,"")</f>
        <v/>
      </c>
      <c r="Q95" s="84" t="str">
        <f t="array" aca="1" ref="Q95" ca="1">IF(OR((Q$85&gt;=$AY$11:$AY$38)*(Q$48&lt;=$AZ$11:$AZ$38)&gt;0),$B95,"")</f>
        <v/>
      </c>
      <c r="R95" s="84" t="str">
        <f t="array" aca="1" ref="R95" ca="1">IF(OR((R$85&gt;=$AY$11:$AY$38)*(R$48&lt;=$AZ$11:$AZ$38)&gt;0),$B95,"")</f>
        <v/>
      </c>
      <c r="S95" s="84" t="str">
        <f t="array" aca="1" ref="S95" ca="1">IF(OR((S$85&gt;=$AY$11:$AY$38)*(S$48&lt;=$AZ$11:$AZ$38)&gt;0),$B95,"")</f>
        <v/>
      </c>
      <c r="T95" s="84" t="str">
        <f t="array" aca="1" ref="T95" ca="1">IF(OR((T$85&gt;=$AY$11:$AY$38)*(T$48&lt;=$AZ$11:$AZ$38)&gt;0),$B95,"")</f>
        <v/>
      </c>
      <c r="U95" s="84" t="str">
        <f t="array" aca="1" ref="U95" ca="1">IF(OR((U$85&gt;=$AY$11:$AY$38)*(U$48&lt;=$AZ$11:$AZ$38)&gt;0),$B95,"")</f>
        <v/>
      </c>
      <c r="V95" s="84" t="str">
        <f t="array" aca="1" ref="V95" ca="1">IF(OR((V$85&gt;=$AY$11:$AY$38)*(V$48&lt;=$AZ$11:$AZ$38)&gt;0),$B95,"")</f>
        <v/>
      </c>
      <c r="W95" s="84" t="str">
        <f t="array" aca="1" ref="W95" ca="1">IF(OR((W$85&gt;=$AY$11:$AY$38)*(W$48&lt;=$AZ$11:$AZ$38)&gt;0),$B95,"")</f>
        <v/>
      </c>
      <c r="X95" s="84" t="str">
        <f t="array" aca="1" ref="X95" ca="1">IF(OR((X$85&gt;=$AY$11:$AY$38)*(X$48&lt;=$AZ$11:$AZ$38)&gt;0),$B95,"")</f>
        <v/>
      </c>
      <c r="Y95" s="84" t="str">
        <f t="array" aca="1" ref="Y95" ca="1">IF(OR((Y$85&gt;=$AY$11:$AY$38)*(Y$48&lt;=$AZ$11:$AZ$38)&gt;0),$B95,"")</f>
        <v/>
      </c>
      <c r="Z95" s="84" t="str">
        <f t="array" aca="1" ref="Z95" ca="1">IF(OR((Z$85&gt;=$AY$11:$AY$38)*(Z$48&lt;=$AZ$11:$AZ$38)&gt;0),$B95,"")</f>
        <v/>
      </c>
      <c r="AA95" s="84" t="str">
        <f t="array" aca="1" ref="AA95" ca="1">IF(OR((AA$85&gt;=$AY$11:$AY$38)*(AA$48&lt;=$AZ$11:$AZ$38)&gt;0),$B95,"")</f>
        <v/>
      </c>
      <c r="AB95" s="84" t="str">
        <f t="array" aca="1" ref="AB95" ca="1">IF(OR((AB$85&gt;=$AY$11:$AY$38)*(AB$48&lt;=$AZ$11:$AZ$38)&gt;0),$B95,"")</f>
        <v/>
      </c>
      <c r="AC95" s="84" t="str">
        <f t="array" aca="1" ref="AC95" ca="1">IF(OR((AC$85&gt;=$AY$11:$AY$38)*(AC$48&lt;=$AZ$11:$AZ$38)&gt;0),$B95,"")</f>
        <v/>
      </c>
      <c r="AD95" s="84" t="str">
        <f t="array" aca="1" ref="AD95" ca="1">IF(OR((AD$85&gt;=$AY$11:$AY$38)*(AD$48&lt;=$AZ$11:$AZ$38)&gt;0),$B95,"")</f>
        <v/>
      </c>
      <c r="AE95" s="84" t="str">
        <f t="array" aca="1" ref="AE95" ca="1">IF(OR((AE$85&gt;=$AY$11:$AY$38)*(AE$48&lt;=$AZ$11:$AZ$38)&gt;0),$B95,"")</f>
        <v/>
      </c>
      <c r="AF95" s="84" t="str">
        <f t="array" aca="1" ref="AF95" ca="1">IF(OR((AF$85&gt;=$AY$11:$AY$38)*(AF$48&lt;=$AZ$11:$AZ$38)&gt;0),$B95,"")</f>
        <v/>
      </c>
      <c r="AG95" s="84" t="str">
        <f t="array" aca="1" ref="AG95" ca="1">IF(OR((AG$85&gt;=$AY$11:$AY$38)*(AG$48&lt;=$AZ$11:$AZ$38)&gt;0),$B95,"")</f>
        <v/>
      </c>
      <c r="AH95" s="84" t="str">
        <f t="array" aca="1" ref="AH95" ca="1">IF(OR((AH$85&gt;=$AY$11:$AY$38)*(AH$48&lt;=$AZ$11:$AZ$38)&gt;0),$B95,"")</f>
        <v/>
      </c>
      <c r="AI95" s="84" t="str">
        <f t="array" aca="1" ref="AI95" ca="1">IF(OR((AI$85&gt;=$AY$11:$AY$38)*(AI$48&lt;=$AZ$11:$AZ$38)&gt;0),$B95,"")</f>
        <v/>
      </c>
    </row>
    <row r="96" spans="1:35" hidden="1">
      <c r="A96" s="183" t="s">
        <v>197</v>
      </c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  <c r="AA96" s="184"/>
      <c r="AB96" s="184"/>
      <c r="AC96" s="184"/>
      <c r="AD96" s="184"/>
      <c r="AE96" s="184"/>
      <c r="AF96" s="184"/>
      <c r="AG96" s="184"/>
      <c r="AH96" s="184"/>
      <c r="AI96" s="185"/>
    </row>
    <row r="97" spans="1:35" hidden="1">
      <c r="A97" s="75" t="s">
        <v>198</v>
      </c>
      <c r="B97" s="16">
        <v>8</v>
      </c>
      <c r="C97" s="84" t="str">
        <f t="array" aca="1" ref="C97" ca="1">IF(OR((C$85&gt;=$AY$11:$AY$38)*(C$48&lt;=$AZ$11:$AZ$38)&gt;0),$B97,"")</f>
        <v/>
      </c>
      <c r="D97" s="84" t="str">
        <f t="array" aca="1" ref="D97" ca="1">IF(OR((D$85&gt;=$AY$11:$AY$38)*(D$48&lt;=$AZ$11:$AZ$38)&gt;0),$B97,"")</f>
        <v/>
      </c>
      <c r="E97" s="84" t="str">
        <f t="array" aca="1" ref="E97" ca="1">IF(OR((E$85&gt;=$AY$11:$AY$38)*(E$48&lt;=$AZ$11:$AZ$38)&gt;0),$B97,"")</f>
        <v/>
      </c>
      <c r="F97" s="84" t="str">
        <f t="array" aca="1" ref="F97" ca="1">IF(OR((F$85&gt;=$AY$11:$AY$38)*(F$48&lt;=$AZ$11:$AZ$38)&gt;0),$B97,"")</f>
        <v/>
      </c>
      <c r="G97" s="84" t="str">
        <f t="array" aca="1" ref="G97" ca="1">IF(OR((G$85&gt;=$AY$11:$AY$38)*(G$48&lt;=$AZ$11:$AZ$38)&gt;0),$B97,"")</f>
        <v/>
      </c>
      <c r="H97" s="84" t="str">
        <f t="array" aca="1" ref="H97" ca="1">IF(OR((H$85&gt;=$AY$11:$AY$38)*(H$48&lt;=$AZ$11:$AZ$38)&gt;0),$B97,"")</f>
        <v/>
      </c>
      <c r="I97" s="84" t="str">
        <f t="array" aca="1" ref="I97" ca="1">IF(OR((I$85&gt;=$AY$11:$AY$38)*(I$48&lt;=$AZ$11:$AZ$38)&gt;0),$B97,"")</f>
        <v/>
      </c>
      <c r="J97" s="84" t="str">
        <f t="array" aca="1" ref="J97" ca="1">IF(OR((J$85&gt;=$AY$11:$AY$38)*(J$48&lt;=$AZ$11:$AZ$38)&gt;0),$B97,"")</f>
        <v/>
      </c>
      <c r="K97" s="84" t="str">
        <f t="array" aca="1" ref="K97" ca="1">IF(OR((K$85&gt;=$AY$11:$AY$38)*(K$48&lt;=$AZ$11:$AZ$38)&gt;0),$B97,"")</f>
        <v/>
      </c>
      <c r="L97" s="84" t="str">
        <f t="array" aca="1" ref="L97" ca="1">IF(OR((L$85&gt;=$AY$11:$AY$38)*(L$48&lt;=$AZ$11:$AZ$38)&gt;0),$B97,"")</f>
        <v/>
      </c>
      <c r="M97" s="84" t="str">
        <f t="array" aca="1" ref="M97" ca="1">IF(OR((M$85&gt;=$AY$11:$AY$38)*(M$48&lt;=$AZ$11:$AZ$38)&gt;0),$B97,"")</f>
        <v/>
      </c>
      <c r="N97" s="84" t="str">
        <f t="array" aca="1" ref="N97" ca="1">IF(OR((N$85&gt;=$AY$11:$AY$38)*(N$48&lt;=$AZ$11:$AZ$38)&gt;0),$B97,"")</f>
        <v/>
      </c>
      <c r="O97" s="84" t="str">
        <f t="array" aca="1" ref="O97" ca="1">IF(OR((O$85&gt;=$AY$11:$AY$38)*(O$48&lt;=$AZ$11:$AZ$38)&gt;0),$B97,"")</f>
        <v/>
      </c>
      <c r="P97" s="84" t="str">
        <f t="array" aca="1" ref="P97" ca="1">IF(OR((P$85&gt;=$AY$11:$AY$38)*(P$48&lt;=$AZ$11:$AZ$38)&gt;0),$B97,"")</f>
        <v/>
      </c>
      <c r="Q97" s="84" t="str">
        <f t="array" aca="1" ref="Q97" ca="1">IF(OR((Q$85&gt;=$AY$11:$AY$38)*(Q$48&lt;=$AZ$11:$AZ$38)&gt;0),$B97,"")</f>
        <v/>
      </c>
      <c r="R97" s="84" t="str">
        <f t="array" aca="1" ref="R97" ca="1">IF(OR((R$85&gt;=$AY$11:$AY$38)*(R$48&lt;=$AZ$11:$AZ$38)&gt;0),$B97,"")</f>
        <v/>
      </c>
      <c r="S97" s="84" t="str">
        <f t="array" aca="1" ref="S97" ca="1">IF(OR((S$85&gt;=$AY$11:$AY$38)*(S$48&lt;=$AZ$11:$AZ$38)&gt;0),$B97,"")</f>
        <v/>
      </c>
      <c r="T97" s="84" t="str">
        <f t="array" aca="1" ref="T97" ca="1">IF(OR((T$85&gt;=$AY$11:$AY$38)*(T$48&lt;=$AZ$11:$AZ$38)&gt;0),$B97,"")</f>
        <v/>
      </c>
      <c r="U97" s="84" t="str">
        <f t="array" aca="1" ref="U97" ca="1">IF(OR((U$85&gt;=$AY$11:$AY$38)*(U$48&lt;=$AZ$11:$AZ$38)&gt;0),$B97,"")</f>
        <v/>
      </c>
      <c r="V97" s="84" t="str">
        <f t="array" aca="1" ref="V97" ca="1">IF(OR((V$85&gt;=$AY$11:$AY$38)*(V$48&lt;=$AZ$11:$AZ$38)&gt;0),$B97,"")</f>
        <v/>
      </c>
      <c r="W97" s="84" t="str">
        <f t="array" aca="1" ref="W97" ca="1">IF(OR((W$85&gt;=$AY$11:$AY$38)*(W$48&lt;=$AZ$11:$AZ$38)&gt;0),$B97,"")</f>
        <v/>
      </c>
      <c r="X97" s="84" t="str">
        <f t="array" aca="1" ref="X97" ca="1">IF(OR((X$85&gt;=$AY$11:$AY$38)*(X$48&lt;=$AZ$11:$AZ$38)&gt;0),$B97,"")</f>
        <v/>
      </c>
      <c r="Y97" s="84" t="str">
        <f t="array" aca="1" ref="Y97" ca="1">IF(OR((Y$85&gt;=$AY$11:$AY$38)*(Y$48&lt;=$AZ$11:$AZ$38)&gt;0),$B97,"")</f>
        <v/>
      </c>
      <c r="Z97" s="84" t="str">
        <f t="array" aca="1" ref="Z97" ca="1">IF(OR((Z$85&gt;=$AY$11:$AY$38)*(Z$48&lt;=$AZ$11:$AZ$38)&gt;0),$B97,"")</f>
        <v/>
      </c>
      <c r="AA97" s="84" t="str">
        <f t="array" aca="1" ref="AA97" ca="1">IF(OR((AA$85&gt;=$AY$11:$AY$38)*(AA$48&lt;=$AZ$11:$AZ$38)&gt;0),$B97,"")</f>
        <v/>
      </c>
      <c r="AB97" s="84" t="str">
        <f t="array" aca="1" ref="AB97" ca="1">IF(OR((AB$85&gt;=$AY$11:$AY$38)*(AB$48&lt;=$AZ$11:$AZ$38)&gt;0),$B97,"")</f>
        <v/>
      </c>
      <c r="AC97" s="84" t="str">
        <f t="array" aca="1" ref="AC97" ca="1">IF(OR((AC$85&gt;=$AY$11:$AY$38)*(AC$48&lt;=$AZ$11:$AZ$38)&gt;0),$B97,"")</f>
        <v/>
      </c>
      <c r="AD97" s="84" t="str">
        <f t="array" aca="1" ref="AD97" ca="1">IF(OR((AD$85&gt;=$AY$11:$AY$38)*(AD$48&lt;=$AZ$11:$AZ$38)&gt;0),$B97,"")</f>
        <v/>
      </c>
      <c r="AE97" s="84" t="str">
        <f t="array" aca="1" ref="AE97" ca="1">IF(OR((AE$85&gt;=$AY$11:$AY$38)*(AE$48&lt;=$AZ$11:$AZ$38)&gt;0),$B97,"")</f>
        <v/>
      </c>
      <c r="AF97" s="84" t="str">
        <f t="array" aca="1" ref="AF97" ca="1">IF(OR((AF$85&gt;=$AY$11:$AY$38)*(AF$48&lt;=$AZ$11:$AZ$38)&gt;0),$B97,"")</f>
        <v/>
      </c>
      <c r="AG97" s="84" t="str">
        <f t="array" aca="1" ref="AG97" ca="1">IF(OR((AG$85&gt;=$AY$11:$AY$38)*(AG$48&lt;=$AZ$11:$AZ$38)&gt;0),$B97,"")</f>
        <v/>
      </c>
      <c r="AH97" s="84" t="str">
        <f t="array" aca="1" ref="AH97" ca="1">IF(OR((AH$85&gt;=$AY$11:$AY$38)*(AH$48&lt;=$AZ$11:$AZ$38)&gt;0),$B97,"")</f>
        <v/>
      </c>
      <c r="AI97" s="84" t="str">
        <f t="array" aca="1" ref="AI97" ca="1">IF(OR((AI$85&gt;=$AY$11:$AY$38)*(AI$48&lt;=$AZ$11:$AZ$38)&gt;0),$B97,"")</f>
        <v/>
      </c>
    </row>
    <row r="98" spans="1:35" hidden="1">
      <c r="A98" s="75" t="s">
        <v>199</v>
      </c>
      <c r="B98" s="16">
        <v>8</v>
      </c>
      <c r="C98" s="84" t="str">
        <f t="array" aca="1" ref="C98" ca="1">IF(OR((C$85&gt;=$AY$11:$AY$38)*(C$48&lt;=$AZ$11:$AZ$38)&gt;0),$B98,"")</f>
        <v/>
      </c>
      <c r="D98" s="84" t="str">
        <f t="array" aca="1" ref="D98" ca="1">IF(OR((D$85&gt;=$AY$11:$AY$38)*(D$48&lt;=$AZ$11:$AZ$38)&gt;0),$B98,"")</f>
        <v/>
      </c>
      <c r="E98" s="84" t="str">
        <f t="array" aca="1" ref="E98" ca="1">IF(OR((E$85&gt;=$AY$11:$AY$38)*(E$48&lt;=$AZ$11:$AZ$38)&gt;0),$B98,"")</f>
        <v/>
      </c>
      <c r="F98" s="84" t="str">
        <f t="array" aca="1" ref="F98" ca="1">IF(OR((F$85&gt;=$AY$11:$AY$38)*(F$48&lt;=$AZ$11:$AZ$38)&gt;0),$B98,"")</f>
        <v/>
      </c>
      <c r="G98" s="84" t="str">
        <f t="array" aca="1" ref="G98" ca="1">IF(OR((G$85&gt;=$AY$11:$AY$38)*(G$48&lt;=$AZ$11:$AZ$38)&gt;0),$B98,"")</f>
        <v/>
      </c>
      <c r="H98" s="84" t="str">
        <f t="array" aca="1" ref="H98" ca="1">IF(OR((H$85&gt;=$AY$11:$AY$38)*(H$48&lt;=$AZ$11:$AZ$38)&gt;0),$B98,"")</f>
        <v/>
      </c>
      <c r="I98" s="84" t="str">
        <f t="array" aca="1" ref="I98" ca="1">IF(OR((I$85&gt;=$AY$11:$AY$38)*(I$48&lt;=$AZ$11:$AZ$38)&gt;0),$B98,"")</f>
        <v/>
      </c>
      <c r="J98" s="84" t="str">
        <f t="array" aca="1" ref="J98" ca="1">IF(OR((J$85&gt;=$AY$11:$AY$38)*(J$48&lt;=$AZ$11:$AZ$38)&gt;0),$B98,"")</f>
        <v/>
      </c>
      <c r="K98" s="84" t="str">
        <f t="array" aca="1" ref="K98" ca="1">IF(OR((K$85&gt;=$AY$11:$AY$38)*(K$48&lt;=$AZ$11:$AZ$38)&gt;0),$B98,"")</f>
        <v/>
      </c>
      <c r="L98" s="84" t="str">
        <f t="array" aca="1" ref="L98" ca="1">IF(OR((L$85&gt;=$AY$11:$AY$38)*(L$48&lt;=$AZ$11:$AZ$38)&gt;0),$B98,"")</f>
        <v/>
      </c>
      <c r="M98" s="84" t="str">
        <f t="array" aca="1" ref="M98" ca="1">IF(OR((M$85&gt;=$AY$11:$AY$38)*(M$48&lt;=$AZ$11:$AZ$38)&gt;0),$B98,"")</f>
        <v/>
      </c>
      <c r="N98" s="84" t="str">
        <f t="array" aca="1" ref="N98" ca="1">IF(OR((N$85&gt;=$AY$11:$AY$38)*(N$48&lt;=$AZ$11:$AZ$38)&gt;0),$B98,"")</f>
        <v/>
      </c>
      <c r="O98" s="84" t="str">
        <f t="array" aca="1" ref="O98" ca="1">IF(OR((O$85&gt;=$AY$11:$AY$38)*(O$48&lt;=$AZ$11:$AZ$38)&gt;0),$B98,"")</f>
        <v/>
      </c>
      <c r="P98" s="84" t="str">
        <f t="array" aca="1" ref="P98" ca="1">IF(OR((P$85&gt;=$AY$11:$AY$38)*(P$48&lt;=$AZ$11:$AZ$38)&gt;0),$B98,"")</f>
        <v/>
      </c>
      <c r="Q98" s="84" t="str">
        <f t="array" aca="1" ref="Q98" ca="1">IF(OR((Q$85&gt;=$AY$11:$AY$38)*(Q$48&lt;=$AZ$11:$AZ$38)&gt;0),$B98,"")</f>
        <v/>
      </c>
      <c r="R98" s="84" t="str">
        <f t="array" aca="1" ref="R98" ca="1">IF(OR((R$85&gt;=$AY$11:$AY$38)*(R$48&lt;=$AZ$11:$AZ$38)&gt;0),$B98,"")</f>
        <v/>
      </c>
      <c r="S98" s="84" t="str">
        <f t="array" aca="1" ref="S98" ca="1">IF(OR((S$85&gt;=$AY$11:$AY$38)*(S$48&lt;=$AZ$11:$AZ$38)&gt;0),$B98,"")</f>
        <v/>
      </c>
      <c r="T98" s="84" t="str">
        <f t="array" aca="1" ref="T98" ca="1">IF(OR((T$85&gt;=$AY$11:$AY$38)*(T$48&lt;=$AZ$11:$AZ$38)&gt;0),$B98,"")</f>
        <v/>
      </c>
      <c r="U98" s="84" t="str">
        <f t="array" aca="1" ref="U98" ca="1">IF(OR((U$85&gt;=$AY$11:$AY$38)*(U$48&lt;=$AZ$11:$AZ$38)&gt;0),$B98,"")</f>
        <v/>
      </c>
      <c r="V98" s="84" t="str">
        <f t="array" aca="1" ref="V98" ca="1">IF(OR((V$85&gt;=$AY$11:$AY$38)*(V$48&lt;=$AZ$11:$AZ$38)&gt;0),$B98,"")</f>
        <v/>
      </c>
      <c r="W98" s="84" t="str">
        <f t="array" aca="1" ref="W98" ca="1">IF(OR((W$85&gt;=$AY$11:$AY$38)*(W$48&lt;=$AZ$11:$AZ$38)&gt;0),$B98,"")</f>
        <v/>
      </c>
      <c r="X98" s="84" t="str">
        <f t="array" aca="1" ref="X98" ca="1">IF(OR((X$85&gt;=$AY$11:$AY$38)*(X$48&lt;=$AZ$11:$AZ$38)&gt;0),$B98,"")</f>
        <v/>
      </c>
      <c r="Y98" s="84" t="str">
        <f t="array" aca="1" ref="Y98" ca="1">IF(OR((Y$85&gt;=$AY$11:$AY$38)*(Y$48&lt;=$AZ$11:$AZ$38)&gt;0),$B98,"")</f>
        <v/>
      </c>
      <c r="Z98" s="84" t="str">
        <f t="array" aca="1" ref="Z98" ca="1">IF(OR((Z$85&gt;=$AY$11:$AY$38)*(Z$48&lt;=$AZ$11:$AZ$38)&gt;0),$B98,"")</f>
        <v/>
      </c>
      <c r="AA98" s="84" t="str">
        <f t="array" aca="1" ref="AA98" ca="1">IF(OR((AA$85&gt;=$AY$11:$AY$38)*(AA$48&lt;=$AZ$11:$AZ$38)&gt;0),$B98,"")</f>
        <v/>
      </c>
      <c r="AB98" s="84" t="str">
        <f t="array" aca="1" ref="AB98" ca="1">IF(OR((AB$85&gt;=$AY$11:$AY$38)*(AB$48&lt;=$AZ$11:$AZ$38)&gt;0),$B98,"")</f>
        <v/>
      </c>
      <c r="AC98" s="84" t="str">
        <f t="array" aca="1" ref="AC98" ca="1">IF(OR((AC$85&gt;=$AY$11:$AY$38)*(AC$48&lt;=$AZ$11:$AZ$38)&gt;0),$B98,"")</f>
        <v/>
      </c>
      <c r="AD98" s="84" t="str">
        <f t="array" aca="1" ref="AD98" ca="1">IF(OR((AD$85&gt;=$AY$11:$AY$38)*(AD$48&lt;=$AZ$11:$AZ$38)&gt;0),$B98,"")</f>
        <v/>
      </c>
      <c r="AE98" s="84" t="str">
        <f t="array" aca="1" ref="AE98" ca="1">IF(OR((AE$85&gt;=$AY$11:$AY$38)*(AE$48&lt;=$AZ$11:$AZ$38)&gt;0),$B98,"")</f>
        <v/>
      </c>
      <c r="AF98" s="84" t="str">
        <f t="array" aca="1" ref="AF98" ca="1">IF(OR((AF$85&gt;=$AY$11:$AY$38)*(AF$48&lt;=$AZ$11:$AZ$38)&gt;0),$B98,"")</f>
        <v/>
      </c>
      <c r="AG98" s="84" t="str">
        <f t="array" aca="1" ref="AG98" ca="1">IF(OR((AG$85&gt;=$AY$11:$AY$38)*(AG$48&lt;=$AZ$11:$AZ$38)&gt;0),$B98,"")</f>
        <v/>
      </c>
      <c r="AH98" s="84" t="str">
        <f t="array" aca="1" ref="AH98" ca="1">IF(OR((AH$85&gt;=$AY$11:$AY$38)*(AH$48&lt;=$AZ$11:$AZ$38)&gt;0),$B98,"")</f>
        <v/>
      </c>
      <c r="AI98" s="84" t="str">
        <f t="array" aca="1" ref="AI98" ca="1">IF(OR((AI$85&gt;=$AY$11:$AY$38)*(AI$48&lt;=$AZ$11:$AZ$38)&gt;0),$B98,"")</f>
        <v/>
      </c>
    </row>
    <row r="99" spans="1:35" hidden="1">
      <c r="A99" s="75" t="s">
        <v>200</v>
      </c>
      <c r="B99" s="16">
        <v>8</v>
      </c>
      <c r="C99" s="84" t="str">
        <f t="array" aca="1" ref="C99" ca="1">IF(OR((C$85&gt;=$AY$11:$AY$38)*(C$48&lt;=$AZ$11:$AZ$38)&gt;0),$B99,"")</f>
        <v/>
      </c>
      <c r="D99" s="84" t="str">
        <f t="array" aca="1" ref="D99" ca="1">IF(OR((D$85&gt;=$AY$11:$AY$38)*(D$48&lt;=$AZ$11:$AZ$38)&gt;0),$B99,"")</f>
        <v/>
      </c>
      <c r="E99" s="84" t="str">
        <f t="array" aca="1" ref="E99" ca="1">IF(OR((E$85&gt;=$AY$11:$AY$38)*(E$48&lt;=$AZ$11:$AZ$38)&gt;0),$B99,"")</f>
        <v/>
      </c>
      <c r="F99" s="84" t="str">
        <f t="array" aca="1" ref="F99" ca="1">IF(OR((F$85&gt;=$AY$11:$AY$38)*(F$48&lt;=$AZ$11:$AZ$38)&gt;0),$B99,"")</f>
        <v/>
      </c>
      <c r="G99" s="84" t="str">
        <f t="array" aca="1" ref="G99" ca="1">IF(OR((G$85&gt;=$AY$11:$AY$38)*(G$48&lt;=$AZ$11:$AZ$38)&gt;0),$B99,"")</f>
        <v/>
      </c>
      <c r="H99" s="84" t="str">
        <f t="array" aca="1" ref="H99" ca="1">IF(OR((H$85&gt;=$AY$11:$AY$38)*(H$48&lt;=$AZ$11:$AZ$38)&gt;0),$B99,"")</f>
        <v/>
      </c>
      <c r="I99" s="84" t="str">
        <f t="array" aca="1" ref="I99" ca="1">IF(OR((I$85&gt;=$AY$11:$AY$38)*(I$48&lt;=$AZ$11:$AZ$38)&gt;0),$B99,"")</f>
        <v/>
      </c>
      <c r="J99" s="84" t="str">
        <f t="array" aca="1" ref="J99" ca="1">IF(OR((J$85&gt;=$AY$11:$AY$38)*(J$48&lt;=$AZ$11:$AZ$38)&gt;0),$B99,"")</f>
        <v/>
      </c>
      <c r="K99" s="84" t="str">
        <f t="array" aca="1" ref="K99" ca="1">IF(OR((K$85&gt;=$AY$11:$AY$38)*(K$48&lt;=$AZ$11:$AZ$38)&gt;0),$B99,"")</f>
        <v/>
      </c>
      <c r="L99" s="84" t="str">
        <f t="array" aca="1" ref="L99" ca="1">IF(OR((L$85&gt;=$AY$11:$AY$38)*(L$48&lt;=$AZ$11:$AZ$38)&gt;0),$B99,"")</f>
        <v/>
      </c>
      <c r="M99" s="84" t="str">
        <f t="array" aca="1" ref="M99" ca="1">IF(OR((M$85&gt;=$AY$11:$AY$38)*(M$48&lt;=$AZ$11:$AZ$38)&gt;0),$B99,"")</f>
        <v/>
      </c>
      <c r="N99" s="84" t="str">
        <f t="array" aca="1" ref="N99" ca="1">IF(OR((N$85&gt;=$AY$11:$AY$38)*(N$48&lt;=$AZ$11:$AZ$38)&gt;0),$B99,"")</f>
        <v/>
      </c>
      <c r="O99" s="84" t="str">
        <f t="array" aca="1" ref="O99" ca="1">IF(OR((O$85&gt;=$AY$11:$AY$38)*(O$48&lt;=$AZ$11:$AZ$38)&gt;0),$B99,"")</f>
        <v/>
      </c>
      <c r="P99" s="84" t="str">
        <f t="array" aca="1" ref="P99" ca="1">IF(OR((P$85&gt;=$AY$11:$AY$38)*(P$48&lt;=$AZ$11:$AZ$38)&gt;0),$B99,"")</f>
        <v/>
      </c>
      <c r="Q99" s="84" t="str">
        <f t="array" aca="1" ref="Q99" ca="1">IF(OR((Q$85&gt;=$AY$11:$AY$38)*(Q$48&lt;=$AZ$11:$AZ$38)&gt;0),$B99,"")</f>
        <v/>
      </c>
      <c r="R99" s="84" t="str">
        <f t="array" aca="1" ref="R99" ca="1">IF(OR((R$85&gt;=$AY$11:$AY$38)*(R$48&lt;=$AZ$11:$AZ$38)&gt;0),$B99,"")</f>
        <v/>
      </c>
      <c r="S99" s="84" t="str">
        <f t="array" aca="1" ref="S99" ca="1">IF(OR((S$85&gt;=$AY$11:$AY$38)*(S$48&lt;=$AZ$11:$AZ$38)&gt;0),$B99,"")</f>
        <v/>
      </c>
      <c r="T99" s="84" t="str">
        <f t="array" aca="1" ref="T99" ca="1">IF(OR((T$85&gt;=$AY$11:$AY$38)*(T$48&lt;=$AZ$11:$AZ$38)&gt;0),$B99,"")</f>
        <v/>
      </c>
      <c r="U99" s="84" t="str">
        <f t="array" aca="1" ref="U99" ca="1">IF(OR((U$85&gt;=$AY$11:$AY$38)*(U$48&lt;=$AZ$11:$AZ$38)&gt;0),$B99,"")</f>
        <v/>
      </c>
      <c r="V99" s="84" t="str">
        <f t="array" aca="1" ref="V99" ca="1">IF(OR((V$85&gt;=$AY$11:$AY$38)*(V$48&lt;=$AZ$11:$AZ$38)&gt;0),$B99,"")</f>
        <v/>
      </c>
      <c r="W99" s="84" t="str">
        <f t="array" aca="1" ref="W99" ca="1">IF(OR((W$85&gt;=$AY$11:$AY$38)*(W$48&lt;=$AZ$11:$AZ$38)&gt;0),$B99,"")</f>
        <v/>
      </c>
      <c r="X99" s="84" t="str">
        <f t="array" aca="1" ref="X99" ca="1">IF(OR((X$85&gt;=$AY$11:$AY$38)*(X$48&lt;=$AZ$11:$AZ$38)&gt;0),$B99,"")</f>
        <v/>
      </c>
      <c r="Y99" s="84" t="str">
        <f t="array" aca="1" ref="Y99" ca="1">IF(OR((Y$85&gt;=$AY$11:$AY$38)*(Y$48&lt;=$AZ$11:$AZ$38)&gt;0),$B99,"")</f>
        <v/>
      </c>
      <c r="Z99" s="84" t="str">
        <f t="array" aca="1" ref="Z99" ca="1">IF(OR((Z$85&gt;=$AY$11:$AY$38)*(Z$48&lt;=$AZ$11:$AZ$38)&gt;0),$B99,"")</f>
        <v/>
      </c>
      <c r="AA99" s="84" t="str">
        <f t="array" aca="1" ref="AA99" ca="1">IF(OR((AA$85&gt;=$AY$11:$AY$38)*(AA$48&lt;=$AZ$11:$AZ$38)&gt;0),$B99,"")</f>
        <v/>
      </c>
      <c r="AB99" s="84" t="str">
        <f t="array" aca="1" ref="AB99" ca="1">IF(OR((AB$85&gt;=$AY$11:$AY$38)*(AB$48&lt;=$AZ$11:$AZ$38)&gt;0),$B99,"")</f>
        <v/>
      </c>
      <c r="AC99" s="84" t="str">
        <f t="array" aca="1" ref="AC99" ca="1">IF(OR((AC$85&gt;=$AY$11:$AY$38)*(AC$48&lt;=$AZ$11:$AZ$38)&gt;0),$B99,"")</f>
        <v/>
      </c>
      <c r="AD99" s="84" t="str">
        <f t="array" aca="1" ref="AD99" ca="1">IF(OR((AD$85&gt;=$AY$11:$AY$38)*(AD$48&lt;=$AZ$11:$AZ$38)&gt;0),$B99,"")</f>
        <v/>
      </c>
      <c r="AE99" s="84" t="str">
        <f t="array" aca="1" ref="AE99" ca="1">IF(OR((AE$85&gt;=$AY$11:$AY$38)*(AE$48&lt;=$AZ$11:$AZ$38)&gt;0),$B99,"")</f>
        <v/>
      </c>
      <c r="AF99" s="84" t="str">
        <f t="array" aca="1" ref="AF99" ca="1">IF(OR((AF$85&gt;=$AY$11:$AY$38)*(AF$48&lt;=$AZ$11:$AZ$38)&gt;0),$B99,"")</f>
        <v/>
      </c>
      <c r="AG99" s="84" t="str">
        <f t="array" aca="1" ref="AG99" ca="1">IF(OR((AG$85&gt;=$AY$11:$AY$38)*(AG$48&lt;=$AZ$11:$AZ$38)&gt;0),$B99,"")</f>
        <v/>
      </c>
      <c r="AH99" s="84" t="str">
        <f t="array" aca="1" ref="AH99" ca="1">IF(OR((AH$85&gt;=$AY$11:$AY$38)*(AH$48&lt;=$AZ$11:$AZ$38)&gt;0),$B99,"")</f>
        <v/>
      </c>
      <c r="AI99" s="84" t="str">
        <f t="array" aca="1" ref="AI99" ca="1">IF(OR((AI$85&gt;=$AY$11:$AY$38)*(AI$48&lt;=$AZ$11:$AZ$38)&gt;0),$B99,"")</f>
        <v/>
      </c>
    </row>
    <row r="100" spans="1:35" hidden="1">
      <c r="A100" s="183" t="s">
        <v>201</v>
      </c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  <c r="AA100" s="184"/>
      <c r="AB100" s="184"/>
      <c r="AC100" s="184"/>
      <c r="AD100" s="184"/>
      <c r="AE100" s="184"/>
      <c r="AF100" s="184"/>
      <c r="AG100" s="184"/>
      <c r="AH100" s="184"/>
      <c r="AI100" s="185"/>
    </row>
    <row r="101" spans="1:35" hidden="1">
      <c r="A101" s="75" t="s">
        <v>202</v>
      </c>
      <c r="B101" s="16">
        <v>1188</v>
      </c>
      <c r="C101" s="84" t="str">
        <f t="array" aca="1" ref="C101" ca="1">IF(OR((C$85&gt;=$AY$11:$AY$38)*(C$48&lt;=$AZ$11:$AZ$38)&gt;0),$B101,"")</f>
        <v/>
      </c>
      <c r="D101" s="84" t="str">
        <f t="array" aca="1" ref="D101" ca="1">IF(OR((D$85&gt;=$AY$11:$AY$38)*(D$48&lt;=$AZ$11:$AZ$38)&gt;0),$B101,"")</f>
        <v/>
      </c>
      <c r="E101" s="84" t="str">
        <f t="array" aca="1" ref="E101" ca="1">IF(OR((E$85&gt;=$AY$11:$AY$38)*(E$48&lt;=$AZ$11:$AZ$38)&gt;0),$B101,"")</f>
        <v/>
      </c>
      <c r="F101" s="84" t="str">
        <f t="array" aca="1" ref="F101" ca="1">IF(OR((F$85&gt;=$AY$11:$AY$38)*(F$48&lt;=$AZ$11:$AZ$38)&gt;0),$B101,"")</f>
        <v/>
      </c>
      <c r="G101" s="84" t="str">
        <f t="array" aca="1" ref="G101" ca="1">IF(OR((G$85&gt;=$AY$11:$AY$38)*(G$48&lt;=$AZ$11:$AZ$38)&gt;0),$B101,"")</f>
        <v/>
      </c>
      <c r="H101" s="84" t="str">
        <f t="array" aca="1" ref="H101" ca="1">IF(OR((H$85&gt;=$AY$11:$AY$38)*(H$48&lt;=$AZ$11:$AZ$38)&gt;0),$B101,"")</f>
        <v/>
      </c>
      <c r="I101" s="84" t="str">
        <f t="array" aca="1" ref="I101" ca="1">IF(OR((I$85&gt;=$AY$11:$AY$38)*(I$48&lt;=$AZ$11:$AZ$38)&gt;0),$B101,"")</f>
        <v/>
      </c>
      <c r="J101" s="84" t="str">
        <f t="array" aca="1" ref="J101" ca="1">IF(OR((J$85&gt;=$AY$11:$AY$38)*(J$48&lt;=$AZ$11:$AZ$38)&gt;0),$B101,"")</f>
        <v/>
      </c>
      <c r="K101" s="84" t="str">
        <f t="array" aca="1" ref="K101" ca="1">IF(OR((K$85&gt;=$AY$11:$AY$38)*(K$48&lt;=$AZ$11:$AZ$38)&gt;0),$B101,"")</f>
        <v/>
      </c>
      <c r="L101" s="84" t="str">
        <f t="array" aca="1" ref="L101" ca="1">IF(OR((L$85&gt;=$AY$11:$AY$38)*(L$48&lt;=$AZ$11:$AZ$38)&gt;0),$B101,"")</f>
        <v/>
      </c>
      <c r="M101" s="84" t="str">
        <f t="array" aca="1" ref="M101" ca="1">IF(OR((M$85&gt;=$AY$11:$AY$38)*(M$48&lt;=$AZ$11:$AZ$38)&gt;0),$B101,"")</f>
        <v/>
      </c>
      <c r="N101" s="84" t="str">
        <f t="array" aca="1" ref="N101" ca="1">IF(OR((N$85&gt;=$AY$11:$AY$38)*(N$48&lt;=$AZ$11:$AZ$38)&gt;0),$B101,"")</f>
        <v/>
      </c>
      <c r="O101" s="84" t="str">
        <f t="array" aca="1" ref="O101" ca="1">IF(OR((O$85&gt;=$AY$11:$AY$38)*(O$48&lt;=$AZ$11:$AZ$38)&gt;0),$B101,"")</f>
        <v/>
      </c>
      <c r="P101" s="84" t="str">
        <f t="array" aca="1" ref="P101" ca="1">IF(OR((P$85&gt;=$AY$11:$AY$38)*(P$48&lt;=$AZ$11:$AZ$38)&gt;0),$B101,"")</f>
        <v/>
      </c>
      <c r="Q101" s="84" t="str">
        <f t="array" aca="1" ref="Q101" ca="1">IF(OR((Q$85&gt;=$AY$11:$AY$38)*(Q$48&lt;=$AZ$11:$AZ$38)&gt;0),$B101,"")</f>
        <v/>
      </c>
      <c r="R101" s="84" t="str">
        <f t="array" aca="1" ref="R101" ca="1">IF(OR((R$85&gt;=$AY$11:$AY$38)*(R$48&lt;=$AZ$11:$AZ$38)&gt;0),$B101,"")</f>
        <v/>
      </c>
      <c r="S101" s="84" t="str">
        <f t="array" aca="1" ref="S101" ca="1">IF(OR((S$85&gt;=$AY$11:$AY$38)*(S$48&lt;=$AZ$11:$AZ$38)&gt;0),$B101,"")</f>
        <v/>
      </c>
      <c r="T101" s="84" t="str">
        <f t="array" aca="1" ref="T101" ca="1">IF(OR((T$85&gt;=$AY$11:$AY$38)*(T$48&lt;=$AZ$11:$AZ$38)&gt;0),$B101,"")</f>
        <v/>
      </c>
      <c r="U101" s="84" t="str">
        <f t="array" aca="1" ref="U101" ca="1">IF(OR((U$85&gt;=$AY$11:$AY$38)*(U$48&lt;=$AZ$11:$AZ$38)&gt;0),$B101,"")</f>
        <v/>
      </c>
      <c r="V101" s="84" t="str">
        <f t="array" aca="1" ref="V101" ca="1">IF(OR((V$85&gt;=$AY$11:$AY$38)*(V$48&lt;=$AZ$11:$AZ$38)&gt;0),$B101,"")</f>
        <v/>
      </c>
      <c r="W101" s="84" t="str">
        <f t="array" aca="1" ref="W101" ca="1">IF(OR((W$85&gt;=$AY$11:$AY$38)*(W$48&lt;=$AZ$11:$AZ$38)&gt;0),$B101,"")</f>
        <v/>
      </c>
      <c r="X101" s="84" t="str">
        <f t="array" aca="1" ref="X101" ca="1">IF(OR((X$85&gt;=$AY$11:$AY$38)*(X$48&lt;=$AZ$11:$AZ$38)&gt;0),$B101,"")</f>
        <v/>
      </c>
      <c r="Y101" s="84" t="str">
        <f t="array" aca="1" ref="Y101" ca="1">IF(OR((Y$85&gt;=$AY$11:$AY$38)*(Y$48&lt;=$AZ$11:$AZ$38)&gt;0),$B101,"")</f>
        <v/>
      </c>
      <c r="Z101" s="84" t="str">
        <f t="array" aca="1" ref="Z101" ca="1">IF(OR((Z$85&gt;=$AY$11:$AY$38)*(Z$48&lt;=$AZ$11:$AZ$38)&gt;0),$B101,"")</f>
        <v/>
      </c>
      <c r="AA101" s="84" t="str">
        <f t="array" aca="1" ref="AA101" ca="1">IF(OR((AA$85&gt;=$AY$11:$AY$38)*(AA$48&lt;=$AZ$11:$AZ$38)&gt;0),$B101,"")</f>
        <v/>
      </c>
      <c r="AB101" s="84" t="str">
        <f t="array" aca="1" ref="AB101" ca="1">IF(OR((AB$85&gt;=$AY$11:$AY$38)*(AB$48&lt;=$AZ$11:$AZ$38)&gt;0),$B101,"")</f>
        <v/>
      </c>
      <c r="AC101" s="84" t="str">
        <f t="array" aca="1" ref="AC101" ca="1">IF(OR((AC$85&gt;=$AY$11:$AY$38)*(AC$48&lt;=$AZ$11:$AZ$38)&gt;0),$B101,"")</f>
        <v/>
      </c>
      <c r="AD101" s="84" t="str">
        <f t="array" aca="1" ref="AD101" ca="1">IF(OR((AD$85&gt;=$AY$11:$AY$38)*(AD$48&lt;=$AZ$11:$AZ$38)&gt;0),$B101,"")</f>
        <v/>
      </c>
      <c r="AE101" s="84" t="str">
        <f t="array" aca="1" ref="AE101" ca="1">IF(OR((AE$85&gt;=$AY$11:$AY$38)*(AE$48&lt;=$AZ$11:$AZ$38)&gt;0),$B101,"")</f>
        <v/>
      </c>
      <c r="AF101" s="84" t="str">
        <f t="array" aca="1" ref="AF101" ca="1">IF(OR((AF$85&gt;=$AY$11:$AY$38)*(AF$48&lt;=$AZ$11:$AZ$38)&gt;0),$B101,"")</f>
        <v/>
      </c>
      <c r="AG101" s="84" t="str">
        <f t="array" aca="1" ref="AG101" ca="1">IF(OR((AG$85&gt;=$AY$11:$AY$38)*(AG$48&lt;=$AZ$11:$AZ$38)&gt;0),$B101,"")</f>
        <v/>
      </c>
      <c r="AH101" s="84" t="str">
        <f t="array" aca="1" ref="AH101" ca="1">IF(OR((AH$85&gt;=$AY$11:$AY$38)*(AH$48&lt;=$AZ$11:$AZ$38)&gt;0),$B101,"")</f>
        <v/>
      </c>
      <c r="AI101" s="84" t="str">
        <f t="array" aca="1" ref="AI101" ca="1">IF(OR((AI$85&gt;=$AY$11:$AY$38)*(AI$48&lt;=$AZ$11:$AZ$38)&gt;0),$B101,"")</f>
        <v/>
      </c>
    </row>
    <row r="102" spans="1:35" hidden="1">
      <c r="A102" s="75" t="s">
        <v>203</v>
      </c>
      <c r="B102" s="16">
        <v>24</v>
      </c>
      <c r="C102" s="84" t="str">
        <f t="array" aca="1" ref="C102" ca="1">IF(OR((C$85&gt;=$AY$11:$AY$38)*(C$48&lt;=$AZ$11:$AZ$38)&gt;0),$B102,"")</f>
        <v/>
      </c>
      <c r="D102" s="84" t="str">
        <f t="array" aca="1" ref="D102" ca="1">IF(OR((D$85&gt;=$AY$11:$AY$38)*(D$48&lt;=$AZ$11:$AZ$38)&gt;0),$B102,"")</f>
        <v/>
      </c>
      <c r="E102" s="84" t="str">
        <f t="array" aca="1" ref="E102" ca="1">IF(OR((E$85&gt;=$AY$11:$AY$38)*(E$48&lt;=$AZ$11:$AZ$38)&gt;0),$B102,"")</f>
        <v/>
      </c>
      <c r="F102" s="84" t="str">
        <f t="array" aca="1" ref="F102" ca="1">IF(OR((F$85&gt;=$AY$11:$AY$38)*(F$48&lt;=$AZ$11:$AZ$38)&gt;0),$B102,"")</f>
        <v/>
      </c>
      <c r="G102" s="84" t="str">
        <f t="array" aca="1" ref="G102" ca="1">IF(OR((G$85&gt;=$AY$11:$AY$38)*(G$48&lt;=$AZ$11:$AZ$38)&gt;0),$B102,"")</f>
        <v/>
      </c>
      <c r="H102" s="84" t="str">
        <f t="array" aca="1" ref="H102" ca="1">IF(OR((H$85&gt;=$AY$11:$AY$38)*(H$48&lt;=$AZ$11:$AZ$38)&gt;0),$B102,"")</f>
        <v/>
      </c>
      <c r="I102" s="84" t="str">
        <f t="array" aca="1" ref="I102" ca="1">IF(OR((I$85&gt;=$AY$11:$AY$38)*(I$48&lt;=$AZ$11:$AZ$38)&gt;0),$B102,"")</f>
        <v/>
      </c>
      <c r="J102" s="84" t="str">
        <f t="array" aca="1" ref="J102" ca="1">IF(OR((J$85&gt;=$AY$11:$AY$38)*(J$48&lt;=$AZ$11:$AZ$38)&gt;0),$B102,"")</f>
        <v/>
      </c>
      <c r="K102" s="84" t="str">
        <f t="array" aca="1" ref="K102" ca="1">IF(OR((K$85&gt;=$AY$11:$AY$38)*(K$48&lt;=$AZ$11:$AZ$38)&gt;0),$B102,"")</f>
        <v/>
      </c>
      <c r="L102" s="84" t="str">
        <f t="array" aca="1" ref="L102" ca="1">IF(OR((L$85&gt;=$AY$11:$AY$38)*(L$48&lt;=$AZ$11:$AZ$38)&gt;0),$B102,"")</f>
        <v/>
      </c>
      <c r="M102" s="84" t="str">
        <f t="array" aca="1" ref="M102" ca="1">IF(OR((M$85&gt;=$AY$11:$AY$38)*(M$48&lt;=$AZ$11:$AZ$38)&gt;0),$B102,"")</f>
        <v/>
      </c>
      <c r="N102" s="84" t="str">
        <f t="array" aca="1" ref="N102" ca="1">IF(OR((N$85&gt;=$AY$11:$AY$38)*(N$48&lt;=$AZ$11:$AZ$38)&gt;0),$B102,"")</f>
        <v/>
      </c>
      <c r="O102" s="84" t="str">
        <f t="array" aca="1" ref="O102" ca="1">IF(OR((O$85&gt;=$AY$11:$AY$38)*(O$48&lt;=$AZ$11:$AZ$38)&gt;0),$B102,"")</f>
        <v/>
      </c>
      <c r="P102" s="84" t="str">
        <f t="array" aca="1" ref="P102" ca="1">IF(OR((P$85&gt;=$AY$11:$AY$38)*(P$48&lt;=$AZ$11:$AZ$38)&gt;0),$B102,"")</f>
        <v/>
      </c>
      <c r="Q102" s="84" t="str">
        <f t="array" aca="1" ref="Q102" ca="1">IF(OR((Q$85&gt;=$AY$11:$AY$38)*(Q$48&lt;=$AZ$11:$AZ$38)&gt;0),$B102,"")</f>
        <v/>
      </c>
      <c r="R102" s="84" t="str">
        <f t="array" aca="1" ref="R102" ca="1">IF(OR((R$85&gt;=$AY$11:$AY$38)*(R$48&lt;=$AZ$11:$AZ$38)&gt;0),$B102,"")</f>
        <v/>
      </c>
      <c r="S102" s="84" t="str">
        <f t="array" aca="1" ref="S102" ca="1">IF(OR((S$85&gt;=$AY$11:$AY$38)*(S$48&lt;=$AZ$11:$AZ$38)&gt;0),$B102,"")</f>
        <v/>
      </c>
      <c r="T102" s="84" t="str">
        <f t="array" aca="1" ref="T102" ca="1">IF(OR((T$85&gt;=$AY$11:$AY$38)*(T$48&lt;=$AZ$11:$AZ$38)&gt;0),$B102,"")</f>
        <v/>
      </c>
      <c r="U102" s="84" t="str">
        <f t="array" aca="1" ref="U102" ca="1">IF(OR((U$85&gt;=$AY$11:$AY$38)*(U$48&lt;=$AZ$11:$AZ$38)&gt;0),$B102,"")</f>
        <v/>
      </c>
      <c r="V102" s="84" t="str">
        <f t="array" aca="1" ref="V102" ca="1">IF(OR((V$85&gt;=$AY$11:$AY$38)*(V$48&lt;=$AZ$11:$AZ$38)&gt;0),$B102,"")</f>
        <v/>
      </c>
      <c r="W102" s="84" t="str">
        <f t="array" aca="1" ref="W102" ca="1">IF(OR((W$85&gt;=$AY$11:$AY$38)*(W$48&lt;=$AZ$11:$AZ$38)&gt;0),$B102,"")</f>
        <v/>
      </c>
      <c r="X102" s="84" t="str">
        <f t="array" aca="1" ref="X102" ca="1">IF(OR((X$85&gt;=$AY$11:$AY$38)*(X$48&lt;=$AZ$11:$AZ$38)&gt;0),$B102,"")</f>
        <v/>
      </c>
      <c r="Y102" s="84" t="str">
        <f t="array" aca="1" ref="Y102" ca="1">IF(OR((Y$85&gt;=$AY$11:$AY$38)*(Y$48&lt;=$AZ$11:$AZ$38)&gt;0),$B102,"")</f>
        <v/>
      </c>
      <c r="Z102" s="84" t="str">
        <f t="array" aca="1" ref="Z102" ca="1">IF(OR((Z$85&gt;=$AY$11:$AY$38)*(Z$48&lt;=$AZ$11:$AZ$38)&gt;0),$B102,"")</f>
        <v/>
      </c>
      <c r="AA102" s="84" t="str">
        <f t="array" aca="1" ref="AA102" ca="1">IF(OR((AA$85&gt;=$AY$11:$AY$38)*(AA$48&lt;=$AZ$11:$AZ$38)&gt;0),$B102,"")</f>
        <v/>
      </c>
      <c r="AB102" s="84" t="str">
        <f t="array" aca="1" ref="AB102" ca="1">IF(OR((AB$85&gt;=$AY$11:$AY$38)*(AB$48&lt;=$AZ$11:$AZ$38)&gt;0),$B102,"")</f>
        <v/>
      </c>
      <c r="AC102" s="84" t="str">
        <f t="array" aca="1" ref="AC102" ca="1">IF(OR((AC$85&gt;=$AY$11:$AY$38)*(AC$48&lt;=$AZ$11:$AZ$38)&gt;0),$B102,"")</f>
        <v/>
      </c>
      <c r="AD102" s="84" t="str">
        <f t="array" aca="1" ref="AD102" ca="1">IF(OR((AD$85&gt;=$AY$11:$AY$38)*(AD$48&lt;=$AZ$11:$AZ$38)&gt;0),$B102,"")</f>
        <v/>
      </c>
      <c r="AE102" s="84" t="str">
        <f t="array" aca="1" ref="AE102" ca="1">IF(OR((AE$85&gt;=$AY$11:$AY$38)*(AE$48&lt;=$AZ$11:$AZ$38)&gt;0),$B102,"")</f>
        <v/>
      </c>
      <c r="AF102" s="84" t="str">
        <f t="array" aca="1" ref="AF102" ca="1">IF(OR((AF$85&gt;=$AY$11:$AY$38)*(AF$48&lt;=$AZ$11:$AZ$38)&gt;0),$B102,"")</f>
        <v/>
      </c>
      <c r="AG102" s="84" t="str">
        <f t="array" aca="1" ref="AG102" ca="1">IF(OR((AG$85&gt;=$AY$11:$AY$38)*(AG$48&lt;=$AZ$11:$AZ$38)&gt;0),$B102,"")</f>
        <v/>
      </c>
      <c r="AH102" s="84" t="str">
        <f t="array" aca="1" ref="AH102" ca="1">IF(OR((AH$85&gt;=$AY$11:$AY$38)*(AH$48&lt;=$AZ$11:$AZ$38)&gt;0),$B102,"")</f>
        <v/>
      </c>
      <c r="AI102" s="84" t="str">
        <f t="array" aca="1" ref="AI102" ca="1">IF(OR((AI$85&gt;=$AY$11:$AY$38)*(AI$48&lt;=$AZ$11:$AZ$38)&gt;0),$B102,"")</f>
        <v/>
      </c>
    </row>
    <row r="103" spans="1:35" hidden="1">
      <c r="A103" s="75" t="s">
        <v>204</v>
      </c>
      <c r="B103" s="16">
        <v>1</v>
      </c>
      <c r="C103" s="84" t="str">
        <f t="array" aca="1" ref="C103" ca="1">IF(OR((C$85&gt;=$AY$11:$AY$38)*(C$48&lt;=$AZ$11:$AZ$38)&gt;0),$B103,"")</f>
        <v/>
      </c>
      <c r="D103" s="84" t="str">
        <f t="array" aca="1" ref="D103" ca="1">IF(OR((D$85&gt;=$AY$11:$AY$38)*(D$48&lt;=$AZ$11:$AZ$38)&gt;0),$B103,"")</f>
        <v/>
      </c>
      <c r="E103" s="84" t="str">
        <f t="array" aca="1" ref="E103" ca="1">IF(OR((E$85&gt;=$AY$11:$AY$38)*(E$48&lt;=$AZ$11:$AZ$38)&gt;0),$B103,"")</f>
        <v/>
      </c>
      <c r="F103" s="84" t="str">
        <f t="array" aca="1" ref="F103" ca="1">IF(OR((F$85&gt;=$AY$11:$AY$38)*(F$48&lt;=$AZ$11:$AZ$38)&gt;0),$B103,"")</f>
        <v/>
      </c>
      <c r="G103" s="84" t="str">
        <f t="array" aca="1" ref="G103" ca="1">IF(OR((G$85&gt;=$AY$11:$AY$38)*(G$48&lt;=$AZ$11:$AZ$38)&gt;0),$B103,"")</f>
        <v/>
      </c>
      <c r="H103" s="84" t="str">
        <f t="array" aca="1" ref="H103" ca="1">IF(OR((H$85&gt;=$AY$11:$AY$38)*(H$48&lt;=$AZ$11:$AZ$38)&gt;0),$B103,"")</f>
        <v/>
      </c>
      <c r="I103" s="84" t="str">
        <f t="array" aca="1" ref="I103" ca="1">IF(OR((I$85&gt;=$AY$11:$AY$38)*(I$48&lt;=$AZ$11:$AZ$38)&gt;0),$B103,"")</f>
        <v/>
      </c>
      <c r="J103" s="84" t="str">
        <f t="array" aca="1" ref="J103" ca="1">IF(OR((J$85&gt;=$AY$11:$AY$38)*(J$48&lt;=$AZ$11:$AZ$38)&gt;0),$B103,"")</f>
        <v/>
      </c>
      <c r="K103" s="84" t="str">
        <f t="array" aca="1" ref="K103" ca="1">IF(OR((K$85&gt;=$AY$11:$AY$38)*(K$48&lt;=$AZ$11:$AZ$38)&gt;0),$B103,"")</f>
        <v/>
      </c>
      <c r="L103" s="84" t="str">
        <f t="array" aca="1" ref="L103" ca="1">IF(OR((L$85&gt;=$AY$11:$AY$38)*(L$48&lt;=$AZ$11:$AZ$38)&gt;0),$B103,"")</f>
        <v/>
      </c>
      <c r="M103" s="84" t="str">
        <f t="array" aca="1" ref="M103" ca="1">IF(OR((M$85&gt;=$AY$11:$AY$38)*(M$48&lt;=$AZ$11:$AZ$38)&gt;0),$B103,"")</f>
        <v/>
      </c>
      <c r="N103" s="84" t="str">
        <f t="array" aca="1" ref="N103" ca="1">IF(OR((N$85&gt;=$AY$11:$AY$38)*(N$48&lt;=$AZ$11:$AZ$38)&gt;0),$B103,"")</f>
        <v/>
      </c>
      <c r="O103" s="84" t="str">
        <f t="array" aca="1" ref="O103" ca="1">IF(OR((O$85&gt;=$AY$11:$AY$38)*(O$48&lt;=$AZ$11:$AZ$38)&gt;0),$B103,"")</f>
        <v/>
      </c>
      <c r="P103" s="84" t="str">
        <f t="array" aca="1" ref="P103" ca="1">IF(OR((P$85&gt;=$AY$11:$AY$38)*(P$48&lt;=$AZ$11:$AZ$38)&gt;0),$B103,"")</f>
        <v/>
      </c>
      <c r="Q103" s="84" t="str">
        <f t="array" aca="1" ref="Q103" ca="1">IF(OR((Q$85&gt;=$AY$11:$AY$38)*(Q$48&lt;=$AZ$11:$AZ$38)&gt;0),$B103,"")</f>
        <v/>
      </c>
      <c r="R103" s="84" t="str">
        <f t="array" aca="1" ref="R103" ca="1">IF(OR((R$85&gt;=$AY$11:$AY$38)*(R$48&lt;=$AZ$11:$AZ$38)&gt;0),$B103,"")</f>
        <v/>
      </c>
      <c r="S103" s="84" t="str">
        <f t="array" aca="1" ref="S103" ca="1">IF(OR((S$85&gt;=$AY$11:$AY$38)*(S$48&lt;=$AZ$11:$AZ$38)&gt;0),$B103,"")</f>
        <v/>
      </c>
      <c r="T103" s="84" t="str">
        <f t="array" aca="1" ref="T103" ca="1">IF(OR((T$85&gt;=$AY$11:$AY$38)*(T$48&lt;=$AZ$11:$AZ$38)&gt;0),$B103,"")</f>
        <v/>
      </c>
      <c r="U103" s="84" t="str">
        <f t="array" aca="1" ref="U103" ca="1">IF(OR((U$85&gt;=$AY$11:$AY$38)*(U$48&lt;=$AZ$11:$AZ$38)&gt;0),$B103,"")</f>
        <v/>
      </c>
      <c r="V103" s="84" t="str">
        <f t="array" aca="1" ref="V103" ca="1">IF(OR((V$85&gt;=$AY$11:$AY$38)*(V$48&lt;=$AZ$11:$AZ$38)&gt;0),$B103,"")</f>
        <v/>
      </c>
      <c r="W103" s="84" t="str">
        <f t="array" aca="1" ref="W103" ca="1">IF(OR((W$85&gt;=$AY$11:$AY$38)*(W$48&lt;=$AZ$11:$AZ$38)&gt;0),$B103,"")</f>
        <v/>
      </c>
      <c r="X103" s="84" t="str">
        <f t="array" aca="1" ref="X103" ca="1">IF(OR((X$85&gt;=$AY$11:$AY$38)*(X$48&lt;=$AZ$11:$AZ$38)&gt;0),$B103,"")</f>
        <v/>
      </c>
      <c r="Y103" s="84" t="str">
        <f t="array" aca="1" ref="Y103" ca="1">IF(OR((Y$85&gt;=$AY$11:$AY$38)*(Y$48&lt;=$AZ$11:$AZ$38)&gt;0),$B103,"")</f>
        <v/>
      </c>
      <c r="Z103" s="84" t="str">
        <f t="array" aca="1" ref="Z103" ca="1">IF(OR((Z$85&gt;=$AY$11:$AY$38)*(Z$48&lt;=$AZ$11:$AZ$38)&gt;0),$B103,"")</f>
        <v/>
      </c>
      <c r="AA103" s="84" t="str">
        <f t="array" aca="1" ref="AA103" ca="1">IF(OR((AA$85&gt;=$AY$11:$AY$38)*(AA$48&lt;=$AZ$11:$AZ$38)&gt;0),$B103,"")</f>
        <v/>
      </c>
      <c r="AB103" s="84" t="str">
        <f t="array" aca="1" ref="AB103" ca="1">IF(OR((AB$85&gt;=$AY$11:$AY$38)*(AB$48&lt;=$AZ$11:$AZ$38)&gt;0),$B103,"")</f>
        <v/>
      </c>
      <c r="AC103" s="84" t="str">
        <f t="array" aca="1" ref="AC103" ca="1">IF(OR((AC$85&gt;=$AY$11:$AY$38)*(AC$48&lt;=$AZ$11:$AZ$38)&gt;0),$B103,"")</f>
        <v/>
      </c>
      <c r="AD103" s="84" t="str">
        <f t="array" aca="1" ref="AD103" ca="1">IF(OR((AD$85&gt;=$AY$11:$AY$38)*(AD$48&lt;=$AZ$11:$AZ$38)&gt;0),$B103,"")</f>
        <v/>
      </c>
      <c r="AE103" s="84" t="str">
        <f t="array" aca="1" ref="AE103" ca="1">IF(OR((AE$85&gt;=$AY$11:$AY$38)*(AE$48&lt;=$AZ$11:$AZ$38)&gt;0),$B103,"")</f>
        <v/>
      </c>
      <c r="AF103" s="84" t="str">
        <f t="array" aca="1" ref="AF103" ca="1">IF(OR((AF$85&gt;=$AY$11:$AY$38)*(AF$48&lt;=$AZ$11:$AZ$38)&gt;0),$B103,"")</f>
        <v/>
      </c>
      <c r="AG103" s="84" t="str">
        <f t="array" aca="1" ref="AG103" ca="1">IF(OR((AG$85&gt;=$AY$11:$AY$38)*(AG$48&lt;=$AZ$11:$AZ$38)&gt;0),$B103,"")</f>
        <v/>
      </c>
      <c r="AH103" s="84" t="str">
        <f t="array" aca="1" ref="AH103" ca="1">IF(OR((AH$85&gt;=$AY$11:$AY$38)*(AH$48&lt;=$AZ$11:$AZ$38)&gt;0),$B103,"")</f>
        <v/>
      </c>
      <c r="AI103" s="84" t="str">
        <f t="array" aca="1" ref="AI103" ca="1">IF(OR((AI$85&gt;=$AY$11:$AY$38)*(AI$48&lt;=$AZ$11:$AZ$38)&gt;0),$B103,"")</f>
        <v/>
      </c>
    </row>
    <row r="104" spans="1:35" hidden="1">
      <c r="A104" s="8"/>
      <c r="B104" s="12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</row>
    <row r="105" spans="1:35" hidden="1">
      <c r="A105" s="7" t="s">
        <v>205</v>
      </c>
      <c r="B105" s="10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</row>
    <row r="106" spans="1:35" hidden="1">
      <c r="A106" s="75"/>
      <c r="B106" s="11" t="s">
        <v>154</v>
      </c>
      <c r="C106" s="112">
        <f>EOMONTH($A$1,-1)</f>
        <v>45016</v>
      </c>
      <c r="D106" s="112">
        <f t="shared" ref="D106:AI106" si="6">C106+1</f>
        <v>45017</v>
      </c>
      <c r="E106" s="112">
        <f t="shared" si="6"/>
        <v>45018</v>
      </c>
      <c r="F106" s="112">
        <f t="shared" si="6"/>
        <v>45019</v>
      </c>
      <c r="G106" s="112">
        <f t="shared" si="6"/>
        <v>45020</v>
      </c>
      <c r="H106" s="112">
        <f t="shared" si="6"/>
        <v>45021</v>
      </c>
      <c r="I106" s="112">
        <f t="shared" si="6"/>
        <v>45022</v>
      </c>
      <c r="J106" s="112">
        <f t="shared" si="6"/>
        <v>45023</v>
      </c>
      <c r="K106" s="112">
        <f t="shared" si="6"/>
        <v>45024</v>
      </c>
      <c r="L106" s="112">
        <f t="shared" si="6"/>
        <v>45025</v>
      </c>
      <c r="M106" s="112">
        <f t="shared" si="6"/>
        <v>45026</v>
      </c>
      <c r="N106" s="112">
        <f t="shared" si="6"/>
        <v>45027</v>
      </c>
      <c r="O106" s="112">
        <f t="shared" si="6"/>
        <v>45028</v>
      </c>
      <c r="P106" s="112">
        <f t="shared" si="6"/>
        <v>45029</v>
      </c>
      <c r="Q106" s="112">
        <f t="shared" si="6"/>
        <v>45030</v>
      </c>
      <c r="R106" s="112">
        <f t="shared" si="6"/>
        <v>45031</v>
      </c>
      <c r="S106" s="112">
        <f t="shared" si="6"/>
        <v>45032</v>
      </c>
      <c r="T106" s="112">
        <f t="shared" si="6"/>
        <v>45033</v>
      </c>
      <c r="U106" s="112">
        <f t="shared" si="6"/>
        <v>45034</v>
      </c>
      <c r="V106" s="112">
        <f t="shared" si="6"/>
        <v>45035</v>
      </c>
      <c r="W106" s="112">
        <f t="shared" si="6"/>
        <v>45036</v>
      </c>
      <c r="X106" s="112">
        <f t="shared" si="6"/>
        <v>45037</v>
      </c>
      <c r="Y106" s="112">
        <f t="shared" si="6"/>
        <v>45038</v>
      </c>
      <c r="Z106" s="112">
        <f t="shared" si="6"/>
        <v>45039</v>
      </c>
      <c r="AA106" s="112">
        <f t="shared" si="6"/>
        <v>45040</v>
      </c>
      <c r="AB106" s="112">
        <f t="shared" si="6"/>
        <v>45041</v>
      </c>
      <c r="AC106" s="112">
        <f t="shared" si="6"/>
        <v>45042</v>
      </c>
      <c r="AD106" s="112">
        <f t="shared" si="6"/>
        <v>45043</v>
      </c>
      <c r="AE106" s="112">
        <f t="shared" si="6"/>
        <v>45044</v>
      </c>
      <c r="AF106" s="112">
        <f t="shared" si="6"/>
        <v>45045</v>
      </c>
      <c r="AG106" s="112">
        <f t="shared" si="6"/>
        <v>45046</v>
      </c>
      <c r="AH106" s="112">
        <f t="shared" si="6"/>
        <v>45047</v>
      </c>
      <c r="AI106" s="112">
        <f t="shared" si="6"/>
        <v>45048</v>
      </c>
    </row>
    <row r="107" spans="1:35" hidden="1">
      <c r="A107" s="75" t="s">
        <v>206</v>
      </c>
      <c r="B107" s="16">
        <f>'(Fill In) SIAO'!C3</f>
        <v>0</v>
      </c>
      <c r="C107" s="84" t="str">
        <f t="array" aca="1" ref="C107" ca="1">IF(OR((C$106&gt;=$BA$11:$BA$38)*(C$48&lt;=$BB$11:$BB$38)&gt;0),$B107,"")</f>
        <v/>
      </c>
      <c r="D107" s="84" t="str">
        <f t="array" aca="1" ref="D107" ca="1">IF(OR((D$106&gt;=$BA$11:$BA$38)*(D$48&lt;=$BB$11:$BB$38)&gt;0),$B107,"")</f>
        <v/>
      </c>
      <c r="E107" s="84" t="str">
        <f t="array" aca="1" ref="E107" ca="1">IF(OR((E$106&gt;=$BA$11:$BA$38)*(E$48&lt;=$BB$11:$BB$38)&gt;0),$B107,"")</f>
        <v/>
      </c>
      <c r="F107" s="84" t="str">
        <f t="array" aca="1" ref="F107" ca="1">IF(OR((F$106&gt;=$BA$11:$BA$38)*(F$48&lt;=$BB$11:$BB$38)&gt;0),$B107,"")</f>
        <v/>
      </c>
      <c r="G107" s="84" t="str">
        <f t="array" aca="1" ref="G107" ca="1">IF(OR((G$106&gt;=$BA$11:$BA$38)*(G$48&lt;=$BB$11:$BB$38)&gt;0),$B107,"")</f>
        <v/>
      </c>
      <c r="H107" s="84" t="str">
        <f t="array" aca="1" ref="H107" ca="1">IF(OR((H$106&gt;=$BA$11:$BA$38)*(H$48&lt;=$BB$11:$BB$38)&gt;0),$B107,"")</f>
        <v/>
      </c>
      <c r="I107" s="84" t="str">
        <f t="array" aca="1" ref="I107" ca="1">IF(OR((I$106&gt;=$BA$11:$BA$38)*(I$48&lt;=$BB$11:$BB$38)&gt;0),$B107,"")</f>
        <v/>
      </c>
      <c r="J107" s="84" t="str">
        <f t="array" aca="1" ref="J107" ca="1">IF(OR((J$106&gt;=$BA$11:$BA$38)*(J$48&lt;=$BB$11:$BB$38)&gt;0),$B107,"")</f>
        <v/>
      </c>
      <c r="K107" s="84" t="str">
        <f t="array" aca="1" ref="K107" ca="1">IF(OR((K$106&gt;=$BA$11:$BA$38)*(K$48&lt;=$BB$11:$BB$38)&gt;0),$B107,"")</f>
        <v/>
      </c>
      <c r="L107" s="84" t="str">
        <f t="array" aca="1" ref="L107" ca="1">IF(OR((L$106&gt;=$BA$11:$BA$38)*(L$48&lt;=$BB$11:$BB$38)&gt;0),$B107,"")</f>
        <v/>
      </c>
      <c r="M107" s="84" t="str">
        <f t="array" aca="1" ref="M107" ca="1">IF(OR((M$106&gt;=$BA$11:$BA$38)*(M$48&lt;=$BB$11:$BB$38)&gt;0),$B107,"")</f>
        <v/>
      </c>
      <c r="N107" s="84" t="str">
        <f t="array" aca="1" ref="N107" ca="1">IF(OR((N$106&gt;=$BA$11:$BA$38)*(N$48&lt;=$BB$11:$BB$38)&gt;0),$B107,"")</f>
        <v/>
      </c>
      <c r="O107" s="84" t="str">
        <f t="array" aca="1" ref="O107" ca="1">IF(OR((O$106&gt;=$BA$11:$BA$38)*(O$48&lt;=$BB$11:$BB$38)&gt;0),$B107,"")</f>
        <v/>
      </c>
      <c r="P107" s="84" t="str">
        <f t="array" aca="1" ref="P107" ca="1">IF(OR((P$106&gt;=$BA$11:$BA$38)*(P$48&lt;=$BB$11:$BB$38)&gt;0),$B107,"")</f>
        <v/>
      </c>
      <c r="Q107" s="84" t="str">
        <f t="array" aca="1" ref="Q107" ca="1">IF(OR((Q$106&gt;=$BA$11:$BA$38)*(Q$48&lt;=$BB$11:$BB$38)&gt;0),$B107,"")</f>
        <v/>
      </c>
      <c r="R107" s="84" t="str">
        <f t="array" aca="1" ref="R107" ca="1">IF(OR((R$106&gt;=$BA$11:$BA$38)*(R$48&lt;=$BB$11:$BB$38)&gt;0),$B107,"")</f>
        <v/>
      </c>
      <c r="S107" s="84" t="str">
        <f t="array" aca="1" ref="S107" ca="1">IF(OR((S$106&gt;=$BA$11:$BA$38)*(S$48&lt;=$BB$11:$BB$38)&gt;0),$B107,"")</f>
        <v/>
      </c>
      <c r="T107" s="84" t="str">
        <f t="array" aca="1" ref="T107" ca="1">IF(OR((T$106&gt;=$BA$11:$BA$38)*(T$48&lt;=$BB$11:$BB$38)&gt;0),$B107,"")</f>
        <v/>
      </c>
      <c r="U107" s="84" t="str">
        <f t="array" aca="1" ref="U107" ca="1">IF(OR((U$106&gt;=$BA$11:$BA$38)*(U$48&lt;=$BB$11:$BB$38)&gt;0),$B107,"")</f>
        <v/>
      </c>
      <c r="V107" s="84" t="str">
        <f t="array" aca="1" ref="V107" ca="1">IF(OR((V$106&gt;=$BA$11:$BA$38)*(V$48&lt;=$BB$11:$BB$38)&gt;0),$B107,"")</f>
        <v/>
      </c>
      <c r="W107" s="84" t="str">
        <f t="array" aca="1" ref="W107" ca="1">IF(OR((W$106&gt;=$BA$11:$BA$38)*(W$48&lt;=$BB$11:$BB$38)&gt;0),$B107,"")</f>
        <v/>
      </c>
      <c r="X107" s="84" t="str">
        <f t="array" aca="1" ref="X107" ca="1">IF(OR((X$106&gt;=$BA$11:$BA$38)*(X$48&lt;=$BB$11:$BB$38)&gt;0),$B107,"")</f>
        <v/>
      </c>
      <c r="Y107" s="84" t="str">
        <f t="array" aca="1" ref="Y107" ca="1">IF(OR((Y$106&gt;=$BA$11:$BA$38)*(Y$48&lt;=$BB$11:$BB$38)&gt;0),$B107,"")</f>
        <v/>
      </c>
      <c r="Z107" s="84" t="str">
        <f t="array" aca="1" ref="Z107" ca="1">IF(OR((Z$106&gt;=$BA$11:$BA$38)*(Z$48&lt;=$BB$11:$BB$38)&gt;0),$B107,"")</f>
        <v/>
      </c>
      <c r="AA107" s="84" t="str">
        <f t="array" aca="1" ref="AA107" ca="1">IF(OR((AA$106&gt;=$BA$11:$BA$38)*(AA$48&lt;=$BB$11:$BB$38)&gt;0),$B107,"")</f>
        <v/>
      </c>
      <c r="AB107" s="84" t="str">
        <f t="array" aca="1" ref="AB107" ca="1">IF(OR((AB$106&gt;=$BA$11:$BA$38)*(AB$48&lt;=$BB$11:$BB$38)&gt;0),$B107,"")</f>
        <v/>
      </c>
      <c r="AC107" s="84" t="str">
        <f t="array" aca="1" ref="AC107" ca="1">IF(OR((AC$106&gt;=$BA$11:$BA$38)*(AC$48&lt;=$BB$11:$BB$38)&gt;0),$B107,"")</f>
        <v/>
      </c>
      <c r="AD107" s="84" t="str">
        <f t="array" aca="1" ref="AD107" ca="1">IF(OR((AD$106&gt;=$BA$11:$BA$38)*(AD$48&lt;=$BB$11:$BB$38)&gt;0),$B107,"")</f>
        <v/>
      </c>
      <c r="AE107" s="84" t="str">
        <f t="array" aca="1" ref="AE107" ca="1">IF(OR((AE$106&gt;=$BA$11:$BA$38)*(AE$48&lt;=$BB$11:$BB$38)&gt;0),$B107,"")</f>
        <v/>
      </c>
      <c r="AF107" s="84" t="str">
        <f t="array" aca="1" ref="AF107" ca="1">IF(OR((AF$106&gt;=$BA$11:$BA$38)*(AF$48&lt;=$BB$11:$BB$38)&gt;0),$B107,"")</f>
        <v/>
      </c>
      <c r="AG107" s="84" t="str">
        <f t="array" aca="1" ref="AG107" ca="1">IF(OR((AG$106&gt;=$BA$11:$BA$38)*(AG$48&lt;=$BB$11:$BB$38)&gt;0),$B107,"")</f>
        <v/>
      </c>
      <c r="AH107" s="84" t="str">
        <f t="array" aca="1" ref="AH107" ca="1">IF(OR((AH$106&gt;=$BA$11:$BA$38)*(AH$48&lt;=$BB$11:$BB$38)&gt;0),$B107,"")</f>
        <v/>
      </c>
      <c r="AI107" s="84" t="str">
        <f t="array" aca="1" ref="AI107" ca="1">IF(OR((AI$106&gt;=$BA$11:$BA$38)*(AI$48&lt;=$BB$11:$BB$38)&gt;0),$B107,"")</f>
        <v/>
      </c>
    </row>
    <row r="108" spans="1:35" hidden="1">
      <c r="A108" s="8"/>
      <c r="B108" s="12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</row>
    <row r="109" spans="1:35" hidden="1">
      <c r="A109" s="7" t="s">
        <v>150</v>
      </c>
      <c r="B109" s="10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</row>
    <row r="110" spans="1:35" hidden="1">
      <c r="A110" s="75"/>
      <c r="B110" s="11" t="s">
        <v>154</v>
      </c>
      <c r="C110" s="112">
        <f>EOMONTH($A$1,-1)</f>
        <v>45016</v>
      </c>
      <c r="D110" s="112">
        <f t="shared" ref="D110:AI110" si="7">C110+1</f>
        <v>45017</v>
      </c>
      <c r="E110" s="112">
        <f t="shared" si="7"/>
        <v>45018</v>
      </c>
      <c r="F110" s="112">
        <f t="shared" si="7"/>
        <v>45019</v>
      </c>
      <c r="G110" s="112">
        <f t="shared" si="7"/>
        <v>45020</v>
      </c>
      <c r="H110" s="112">
        <f t="shared" si="7"/>
        <v>45021</v>
      </c>
      <c r="I110" s="112">
        <f t="shared" si="7"/>
        <v>45022</v>
      </c>
      <c r="J110" s="112">
        <f t="shared" si="7"/>
        <v>45023</v>
      </c>
      <c r="K110" s="112">
        <f t="shared" si="7"/>
        <v>45024</v>
      </c>
      <c r="L110" s="112">
        <f t="shared" si="7"/>
        <v>45025</v>
      </c>
      <c r="M110" s="112">
        <f t="shared" si="7"/>
        <v>45026</v>
      </c>
      <c r="N110" s="112">
        <f t="shared" si="7"/>
        <v>45027</v>
      </c>
      <c r="O110" s="112">
        <f t="shared" si="7"/>
        <v>45028</v>
      </c>
      <c r="P110" s="112">
        <f t="shared" si="7"/>
        <v>45029</v>
      </c>
      <c r="Q110" s="112">
        <f t="shared" si="7"/>
        <v>45030</v>
      </c>
      <c r="R110" s="112">
        <f t="shared" si="7"/>
        <v>45031</v>
      </c>
      <c r="S110" s="112">
        <f t="shared" si="7"/>
        <v>45032</v>
      </c>
      <c r="T110" s="112">
        <f t="shared" si="7"/>
        <v>45033</v>
      </c>
      <c r="U110" s="112">
        <f t="shared" si="7"/>
        <v>45034</v>
      </c>
      <c r="V110" s="112">
        <f t="shared" si="7"/>
        <v>45035</v>
      </c>
      <c r="W110" s="112">
        <f t="shared" si="7"/>
        <v>45036</v>
      </c>
      <c r="X110" s="112">
        <f t="shared" si="7"/>
        <v>45037</v>
      </c>
      <c r="Y110" s="112">
        <f t="shared" si="7"/>
        <v>45038</v>
      </c>
      <c r="Z110" s="112">
        <f t="shared" si="7"/>
        <v>45039</v>
      </c>
      <c r="AA110" s="112">
        <f t="shared" si="7"/>
        <v>45040</v>
      </c>
      <c r="AB110" s="112">
        <f t="shared" si="7"/>
        <v>45041</v>
      </c>
      <c r="AC110" s="112">
        <f t="shared" si="7"/>
        <v>45042</v>
      </c>
      <c r="AD110" s="112">
        <f t="shared" si="7"/>
        <v>45043</v>
      </c>
      <c r="AE110" s="112">
        <f t="shared" si="7"/>
        <v>45044</v>
      </c>
      <c r="AF110" s="112">
        <f t="shared" si="7"/>
        <v>45045</v>
      </c>
      <c r="AG110" s="112">
        <f t="shared" si="7"/>
        <v>45046</v>
      </c>
      <c r="AH110" s="112">
        <f t="shared" si="7"/>
        <v>45047</v>
      </c>
      <c r="AI110" s="112">
        <f t="shared" si="7"/>
        <v>45048</v>
      </c>
    </row>
    <row r="111" spans="1:35" hidden="1">
      <c r="A111" s="75" t="s">
        <v>207</v>
      </c>
      <c r="B111" s="16">
        <f>'(Fill In) SIAO'!C3</f>
        <v>0</v>
      </c>
      <c r="C111" s="84" t="str">
        <f t="array" aca="1" ref="C111" ca="1">IF(OR((C$110&gt;=$BC$11:$BC$38)*(C$48&lt;=$BD$11:$BD$38)&gt;0),$B111,"")</f>
        <v/>
      </c>
      <c r="D111" s="84" t="str">
        <f t="array" aca="1" ref="D111" ca="1">IF(OR((D$110&gt;=$BC$11:$BC$38)*(D$48&lt;=$BD$11:$BD$38)&gt;0),$B111,"")</f>
        <v/>
      </c>
      <c r="E111" s="84" t="str">
        <f t="array" aca="1" ref="E111" ca="1">IF(OR((E$110&gt;=$BC$11:$BC$38)*(E$48&lt;=$BD$11:$BD$38)&gt;0),$B111,"")</f>
        <v/>
      </c>
      <c r="F111" s="84" t="str">
        <f t="array" aca="1" ref="F111" ca="1">IF(OR((F$110&gt;=$BC$11:$BC$38)*(F$48&lt;=$BD$11:$BD$38)&gt;0),$B111,"")</f>
        <v/>
      </c>
      <c r="G111" s="84" t="str">
        <f t="array" aca="1" ref="G111" ca="1">IF(OR((G$110&gt;=$BC$11:$BC$38)*(G$48&lt;=$BD$11:$BD$38)&gt;0),$B111,"")</f>
        <v/>
      </c>
      <c r="H111" s="84" t="str">
        <f t="array" aca="1" ref="H111" ca="1">IF(OR((H$110&gt;=$BC$11:$BC$38)*(H$48&lt;=$BD$11:$BD$38)&gt;0),$B111,"")</f>
        <v/>
      </c>
      <c r="I111" s="84" t="str">
        <f t="array" aca="1" ref="I111" ca="1">IF(OR((I$110&gt;=$BC$11:$BC$38)*(I$48&lt;=$BD$11:$BD$38)&gt;0),$B111,"")</f>
        <v/>
      </c>
      <c r="J111" s="84" t="str">
        <f t="array" aca="1" ref="J111" ca="1">IF(OR((J$110&gt;=$BC$11:$BC$38)*(J$48&lt;=$BD$11:$BD$38)&gt;0),$B111,"")</f>
        <v/>
      </c>
      <c r="K111" s="84" t="str">
        <f t="array" aca="1" ref="K111" ca="1">IF(OR((K$110&gt;=$BC$11:$BC$38)*(K$48&lt;=$BD$11:$BD$38)&gt;0),$B111,"")</f>
        <v/>
      </c>
      <c r="L111" s="84" t="str">
        <f t="array" aca="1" ref="L111" ca="1">IF(OR((L$110&gt;=$BC$11:$BC$38)*(L$48&lt;=$BD$11:$BD$38)&gt;0),$B111,"")</f>
        <v/>
      </c>
      <c r="M111" s="84" t="str">
        <f t="array" aca="1" ref="M111" ca="1">IF(OR((M$110&gt;=$BC$11:$BC$38)*(M$48&lt;=$BD$11:$BD$38)&gt;0),$B111,"")</f>
        <v/>
      </c>
      <c r="N111" s="84" t="str">
        <f t="array" aca="1" ref="N111" ca="1">IF(OR((N$110&gt;=$BC$11:$BC$38)*(N$48&lt;=$BD$11:$BD$38)&gt;0),$B111,"")</f>
        <v/>
      </c>
      <c r="O111" s="84" t="str">
        <f t="array" aca="1" ref="O111" ca="1">IF(OR((O$110&gt;=$BC$11:$BC$38)*(O$48&lt;=$BD$11:$BD$38)&gt;0),$B111,"")</f>
        <v/>
      </c>
      <c r="P111" s="84" t="str">
        <f t="array" aca="1" ref="P111" ca="1">IF(OR((P$110&gt;=$BC$11:$BC$38)*(P$48&lt;=$BD$11:$BD$38)&gt;0),$B111,"")</f>
        <v/>
      </c>
      <c r="Q111" s="84" t="str">
        <f t="array" aca="1" ref="Q111" ca="1">IF(OR((Q$110&gt;=$BC$11:$BC$38)*(Q$48&lt;=$BD$11:$BD$38)&gt;0),$B111,"")</f>
        <v/>
      </c>
      <c r="R111" s="84" t="str">
        <f t="array" aca="1" ref="R111" ca="1">IF(OR((R$110&gt;=$BC$11:$BC$38)*(R$48&lt;=$BD$11:$BD$38)&gt;0),$B111,"")</f>
        <v/>
      </c>
      <c r="S111" s="84" t="str">
        <f t="array" aca="1" ref="S111" ca="1">IF(OR((S$110&gt;=$BC$11:$BC$38)*(S$48&lt;=$BD$11:$BD$38)&gt;0),$B111,"")</f>
        <v/>
      </c>
      <c r="T111" s="84" t="str">
        <f t="array" aca="1" ref="T111" ca="1">IF(OR((T$110&gt;=$BC$11:$BC$38)*(T$48&lt;=$BD$11:$BD$38)&gt;0),$B111,"")</f>
        <v/>
      </c>
      <c r="U111" s="84" t="str">
        <f t="array" aca="1" ref="U111" ca="1">IF(OR((U$110&gt;=$BC$11:$BC$38)*(U$48&lt;=$BD$11:$BD$38)&gt;0),$B111,"")</f>
        <v/>
      </c>
      <c r="V111" s="84" t="str">
        <f t="array" aca="1" ref="V111" ca="1">IF(OR((V$110&gt;=$BC$11:$BC$38)*(V$48&lt;=$BD$11:$BD$38)&gt;0),$B111,"")</f>
        <v/>
      </c>
      <c r="W111" s="84" t="str">
        <f t="array" aca="1" ref="W111" ca="1">IF(OR((W$110&gt;=$BC$11:$BC$38)*(W$48&lt;=$BD$11:$BD$38)&gt;0),$B111,"")</f>
        <v/>
      </c>
      <c r="X111" s="84" t="str">
        <f t="array" aca="1" ref="X111" ca="1">IF(OR((X$110&gt;=$BC$11:$BC$38)*(X$48&lt;=$BD$11:$BD$38)&gt;0),$B111,"")</f>
        <v/>
      </c>
      <c r="Y111" s="84" t="str">
        <f t="array" aca="1" ref="Y111" ca="1">IF(OR((Y$110&gt;=$BC$11:$BC$38)*(Y$48&lt;=$BD$11:$BD$38)&gt;0),$B111,"")</f>
        <v/>
      </c>
      <c r="Z111" s="84" t="str">
        <f t="array" aca="1" ref="Z111" ca="1">IF(OR((Z$110&gt;=$BC$11:$BC$38)*(Z$48&lt;=$BD$11:$BD$38)&gt;0),$B111,"")</f>
        <v/>
      </c>
      <c r="AA111" s="84" t="str">
        <f t="array" aca="1" ref="AA111" ca="1">IF(OR((AA$110&gt;=$BC$11:$BC$38)*(AA$48&lt;=$BD$11:$BD$38)&gt;0),$B111,"")</f>
        <v/>
      </c>
      <c r="AB111" s="84" t="str">
        <f t="array" aca="1" ref="AB111" ca="1">IF(OR((AB$110&gt;=$BC$11:$BC$38)*(AB$48&lt;=$BD$11:$BD$38)&gt;0),$B111,"")</f>
        <v/>
      </c>
      <c r="AC111" s="84" t="str">
        <f t="array" aca="1" ref="AC111" ca="1">IF(OR((AC$110&gt;=$BC$11:$BC$38)*(AC$48&lt;=$BD$11:$BD$38)&gt;0),$B111,"")</f>
        <v/>
      </c>
      <c r="AD111" s="84" t="str">
        <f t="array" aca="1" ref="AD111" ca="1">IF(OR((AD$110&gt;=$BC$11:$BC$38)*(AD$48&lt;=$BD$11:$BD$38)&gt;0),$B111,"")</f>
        <v/>
      </c>
      <c r="AE111" s="84" t="str">
        <f t="array" aca="1" ref="AE111" ca="1">IF(OR((AE$110&gt;=$BC$11:$BC$38)*(AE$48&lt;=$BD$11:$BD$38)&gt;0),$B111,"")</f>
        <v/>
      </c>
      <c r="AF111" s="84" t="str">
        <f t="array" aca="1" ref="AF111" ca="1">IF(OR((AF$110&gt;=$BC$11:$BC$38)*(AF$48&lt;=$BD$11:$BD$38)&gt;0),$B111,"")</f>
        <v/>
      </c>
      <c r="AG111" s="84" t="str">
        <f t="array" aca="1" ref="AG111" ca="1">IF(OR((AG$110&gt;=$BC$11:$BC$38)*(AG$48&lt;=$BD$11:$BD$38)&gt;0),$B111,"")</f>
        <v/>
      </c>
      <c r="AH111" s="84" t="str">
        <f t="array" aca="1" ref="AH111" ca="1">IF(OR((AH$110&gt;=$BC$11:$BC$38)*(AH$48&lt;=$BD$11:$BD$38)&gt;0),$B111,"")</f>
        <v/>
      </c>
      <c r="AI111" s="84" t="str">
        <f t="array" aca="1" ref="AI111" ca="1">IF(OR((AI$110&gt;=$BC$11:$BC$38)*(AI$48&lt;=$BD$11:$BD$38)&gt;0),$B111,"")</f>
        <v/>
      </c>
    </row>
    <row r="112" spans="1:35" hidden="1">
      <c r="A112" s="75" t="s">
        <v>208</v>
      </c>
      <c r="B112" s="16">
        <f>'(Fill In) SIAO'!C3</f>
        <v>0</v>
      </c>
      <c r="C112" s="84" t="str">
        <f t="array" aca="1" ref="C112" ca="1">IF(OR((C$110&gt;=$BC$11:$BC$38)*(C$48&lt;=$BD$11:$BD$38)&gt;0),$B112,"")</f>
        <v/>
      </c>
      <c r="D112" s="84" t="str">
        <f t="array" aca="1" ref="D112" ca="1">IF(OR((D$110&gt;=$BC$11:$BC$38)*(D$48&lt;=$BD$11:$BD$38)&gt;0),$B112,"")</f>
        <v/>
      </c>
      <c r="E112" s="84" t="str">
        <f t="array" aca="1" ref="E112" ca="1">IF(OR((E$110&gt;=$BC$11:$BC$38)*(E$48&lt;=$BD$11:$BD$38)&gt;0),$B112,"")</f>
        <v/>
      </c>
      <c r="F112" s="84" t="str">
        <f t="array" aca="1" ref="F112" ca="1">IF(OR((F$110&gt;=$BC$11:$BC$38)*(F$48&lt;=$BD$11:$BD$38)&gt;0),$B112,"")</f>
        <v/>
      </c>
      <c r="G112" s="84" t="str">
        <f t="array" aca="1" ref="G112" ca="1">IF(OR((G$110&gt;=$BC$11:$BC$38)*(G$48&lt;=$BD$11:$BD$38)&gt;0),$B112,"")</f>
        <v/>
      </c>
      <c r="H112" s="84" t="str">
        <f t="array" aca="1" ref="H112" ca="1">IF(OR((H$110&gt;=$BC$11:$BC$38)*(H$48&lt;=$BD$11:$BD$38)&gt;0),$B112,"")</f>
        <v/>
      </c>
      <c r="I112" s="84" t="str">
        <f t="array" aca="1" ref="I112" ca="1">IF(OR((I$110&gt;=$BC$11:$BC$38)*(I$48&lt;=$BD$11:$BD$38)&gt;0),$B112,"")</f>
        <v/>
      </c>
      <c r="J112" s="84" t="str">
        <f t="array" aca="1" ref="J112" ca="1">IF(OR((J$110&gt;=$BC$11:$BC$38)*(J$48&lt;=$BD$11:$BD$38)&gt;0),$B112,"")</f>
        <v/>
      </c>
      <c r="K112" s="84" t="str">
        <f t="array" aca="1" ref="K112" ca="1">IF(OR((K$110&gt;=$BC$11:$BC$38)*(K$48&lt;=$BD$11:$BD$38)&gt;0),$B112,"")</f>
        <v/>
      </c>
      <c r="L112" s="84" t="str">
        <f t="array" aca="1" ref="L112" ca="1">IF(OR((L$110&gt;=$BC$11:$BC$38)*(L$48&lt;=$BD$11:$BD$38)&gt;0),$B112,"")</f>
        <v/>
      </c>
      <c r="M112" s="84" t="str">
        <f t="array" aca="1" ref="M112" ca="1">IF(OR((M$110&gt;=$BC$11:$BC$38)*(M$48&lt;=$BD$11:$BD$38)&gt;0),$B112,"")</f>
        <v/>
      </c>
      <c r="N112" s="84" t="str">
        <f t="array" aca="1" ref="N112" ca="1">IF(OR((N$110&gt;=$BC$11:$BC$38)*(N$48&lt;=$BD$11:$BD$38)&gt;0),$B112,"")</f>
        <v/>
      </c>
      <c r="O112" s="84" t="str">
        <f t="array" aca="1" ref="O112" ca="1">IF(OR((O$110&gt;=$BC$11:$BC$38)*(O$48&lt;=$BD$11:$BD$38)&gt;0),$B112,"")</f>
        <v/>
      </c>
      <c r="P112" s="84" t="str">
        <f t="array" aca="1" ref="P112" ca="1">IF(OR((P$110&gt;=$BC$11:$BC$38)*(P$48&lt;=$BD$11:$BD$38)&gt;0),$B112,"")</f>
        <v/>
      </c>
      <c r="Q112" s="84" t="str">
        <f t="array" aca="1" ref="Q112" ca="1">IF(OR((Q$110&gt;=$BC$11:$BC$38)*(Q$48&lt;=$BD$11:$BD$38)&gt;0),$B112,"")</f>
        <v/>
      </c>
      <c r="R112" s="84" t="str">
        <f t="array" aca="1" ref="R112" ca="1">IF(OR((R$110&gt;=$BC$11:$BC$38)*(R$48&lt;=$BD$11:$BD$38)&gt;0),$B112,"")</f>
        <v/>
      </c>
      <c r="S112" s="84" t="str">
        <f t="array" aca="1" ref="S112" ca="1">IF(OR((S$110&gt;=$BC$11:$BC$38)*(S$48&lt;=$BD$11:$BD$38)&gt;0),$B112,"")</f>
        <v/>
      </c>
      <c r="T112" s="84" t="str">
        <f t="array" aca="1" ref="T112" ca="1">IF(OR((T$110&gt;=$BC$11:$BC$38)*(T$48&lt;=$BD$11:$BD$38)&gt;0),$B112,"")</f>
        <v/>
      </c>
      <c r="U112" s="84" t="str">
        <f t="array" aca="1" ref="U112" ca="1">IF(OR((U$110&gt;=$BC$11:$BC$38)*(U$48&lt;=$BD$11:$BD$38)&gt;0),$B112,"")</f>
        <v/>
      </c>
      <c r="V112" s="84" t="str">
        <f t="array" aca="1" ref="V112" ca="1">IF(OR((V$110&gt;=$BC$11:$BC$38)*(V$48&lt;=$BD$11:$BD$38)&gt;0),$B112,"")</f>
        <v/>
      </c>
      <c r="W112" s="84" t="str">
        <f t="array" aca="1" ref="W112" ca="1">IF(OR((W$110&gt;=$BC$11:$BC$38)*(W$48&lt;=$BD$11:$BD$38)&gt;0),$B112,"")</f>
        <v/>
      </c>
      <c r="X112" s="84" t="str">
        <f t="array" aca="1" ref="X112" ca="1">IF(OR((X$110&gt;=$BC$11:$BC$38)*(X$48&lt;=$BD$11:$BD$38)&gt;0),$B112,"")</f>
        <v/>
      </c>
      <c r="Y112" s="84" t="str">
        <f t="array" aca="1" ref="Y112" ca="1">IF(OR((Y$110&gt;=$BC$11:$BC$38)*(Y$48&lt;=$BD$11:$BD$38)&gt;0),$B112,"")</f>
        <v/>
      </c>
      <c r="Z112" s="84" t="str">
        <f t="array" aca="1" ref="Z112" ca="1">IF(OR((Z$110&gt;=$BC$11:$BC$38)*(Z$48&lt;=$BD$11:$BD$38)&gt;0),$B112,"")</f>
        <v/>
      </c>
      <c r="AA112" s="84" t="str">
        <f t="array" aca="1" ref="AA112" ca="1">IF(OR((AA$110&gt;=$BC$11:$BC$38)*(AA$48&lt;=$BD$11:$BD$38)&gt;0),$B112,"")</f>
        <v/>
      </c>
      <c r="AB112" s="84" t="str">
        <f t="array" aca="1" ref="AB112" ca="1">IF(OR((AB$110&gt;=$BC$11:$BC$38)*(AB$48&lt;=$BD$11:$BD$38)&gt;0),$B112,"")</f>
        <v/>
      </c>
      <c r="AC112" s="84" t="str">
        <f t="array" aca="1" ref="AC112" ca="1">IF(OR((AC$110&gt;=$BC$11:$BC$38)*(AC$48&lt;=$BD$11:$BD$38)&gt;0),$B112,"")</f>
        <v/>
      </c>
      <c r="AD112" s="84" t="str">
        <f t="array" aca="1" ref="AD112" ca="1">IF(OR((AD$110&gt;=$BC$11:$BC$38)*(AD$48&lt;=$BD$11:$BD$38)&gt;0),$B112,"")</f>
        <v/>
      </c>
      <c r="AE112" s="84" t="str">
        <f t="array" aca="1" ref="AE112" ca="1">IF(OR((AE$110&gt;=$BC$11:$BC$38)*(AE$48&lt;=$BD$11:$BD$38)&gt;0),$B112,"")</f>
        <v/>
      </c>
      <c r="AF112" s="84" t="str">
        <f t="array" aca="1" ref="AF112" ca="1">IF(OR((AF$110&gt;=$BC$11:$BC$38)*(AF$48&lt;=$BD$11:$BD$38)&gt;0),$B112,"")</f>
        <v/>
      </c>
      <c r="AG112" s="84" t="str">
        <f t="array" aca="1" ref="AG112" ca="1">IF(OR((AG$110&gt;=$BC$11:$BC$38)*(AG$48&lt;=$BD$11:$BD$38)&gt;0),$B112,"")</f>
        <v/>
      </c>
      <c r="AH112" s="84" t="str">
        <f t="array" aca="1" ref="AH112" ca="1">IF(OR((AH$110&gt;=$BC$11:$BC$38)*(AH$48&lt;=$BD$11:$BD$38)&gt;0),$B112,"")</f>
        <v/>
      </c>
      <c r="AI112" s="84" t="str">
        <f t="array" aca="1" ref="AI112" ca="1">IF(OR((AI$110&gt;=$BC$11:$BC$38)*(AI$48&lt;=$BD$11:$BD$38)&gt;0),$B112,"")</f>
        <v/>
      </c>
    </row>
    <row r="113" spans="1:35" hidden="1">
      <c r="A113" s="8"/>
      <c r="B113" s="12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</row>
    <row r="114" spans="1:35" hidden="1">
      <c r="A114" s="7" t="s">
        <v>96</v>
      </c>
      <c r="B114" s="10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</row>
    <row r="115" spans="1:35" hidden="1">
      <c r="A115" s="75"/>
      <c r="B115" s="11" t="s">
        <v>154</v>
      </c>
      <c r="C115" s="112">
        <f>EOMONTH($A$1,-1)</f>
        <v>45016</v>
      </c>
      <c r="D115" s="112">
        <f t="shared" ref="D115:AI115" si="8">C115+1</f>
        <v>45017</v>
      </c>
      <c r="E115" s="112">
        <f t="shared" si="8"/>
        <v>45018</v>
      </c>
      <c r="F115" s="112">
        <f t="shared" si="8"/>
        <v>45019</v>
      </c>
      <c r="G115" s="112">
        <f t="shared" si="8"/>
        <v>45020</v>
      </c>
      <c r="H115" s="112">
        <f t="shared" si="8"/>
        <v>45021</v>
      </c>
      <c r="I115" s="112">
        <f t="shared" si="8"/>
        <v>45022</v>
      </c>
      <c r="J115" s="112">
        <f t="shared" si="8"/>
        <v>45023</v>
      </c>
      <c r="K115" s="112">
        <f t="shared" si="8"/>
        <v>45024</v>
      </c>
      <c r="L115" s="112">
        <f t="shared" si="8"/>
        <v>45025</v>
      </c>
      <c r="M115" s="112">
        <f t="shared" si="8"/>
        <v>45026</v>
      </c>
      <c r="N115" s="112">
        <f t="shared" si="8"/>
        <v>45027</v>
      </c>
      <c r="O115" s="112">
        <f t="shared" si="8"/>
        <v>45028</v>
      </c>
      <c r="P115" s="112">
        <f t="shared" si="8"/>
        <v>45029</v>
      </c>
      <c r="Q115" s="112">
        <f t="shared" si="8"/>
        <v>45030</v>
      </c>
      <c r="R115" s="112">
        <f t="shared" si="8"/>
        <v>45031</v>
      </c>
      <c r="S115" s="112">
        <f t="shared" si="8"/>
        <v>45032</v>
      </c>
      <c r="T115" s="112">
        <f t="shared" si="8"/>
        <v>45033</v>
      </c>
      <c r="U115" s="112">
        <f t="shared" si="8"/>
        <v>45034</v>
      </c>
      <c r="V115" s="112">
        <f t="shared" si="8"/>
        <v>45035</v>
      </c>
      <c r="W115" s="112">
        <f t="shared" si="8"/>
        <v>45036</v>
      </c>
      <c r="X115" s="112">
        <f t="shared" si="8"/>
        <v>45037</v>
      </c>
      <c r="Y115" s="112">
        <f t="shared" si="8"/>
        <v>45038</v>
      </c>
      <c r="Z115" s="112">
        <f t="shared" si="8"/>
        <v>45039</v>
      </c>
      <c r="AA115" s="112">
        <f t="shared" si="8"/>
        <v>45040</v>
      </c>
      <c r="AB115" s="112">
        <f t="shared" si="8"/>
        <v>45041</v>
      </c>
      <c r="AC115" s="112">
        <f t="shared" si="8"/>
        <v>45042</v>
      </c>
      <c r="AD115" s="112">
        <f t="shared" si="8"/>
        <v>45043</v>
      </c>
      <c r="AE115" s="112">
        <f t="shared" si="8"/>
        <v>45044</v>
      </c>
      <c r="AF115" s="112">
        <f t="shared" si="8"/>
        <v>45045</v>
      </c>
      <c r="AG115" s="112">
        <f t="shared" si="8"/>
        <v>45046</v>
      </c>
      <c r="AH115" s="112">
        <f t="shared" si="8"/>
        <v>45047</v>
      </c>
      <c r="AI115" s="112">
        <f t="shared" si="8"/>
        <v>45048</v>
      </c>
    </row>
    <row r="116" spans="1:35" hidden="1">
      <c r="A116" s="75" t="s">
        <v>209</v>
      </c>
      <c r="B116" s="16" t="s">
        <v>210</v>
      </c>
      <c r="C116" s="84" t="str">
        <f t="array" aca="1" ref="C116" ca="1">IF(OR((C$115&gt;=$BE$11:$BE$38)*(C$48&lt;=$BF$11:$BF$38)&gt;0),$B116,"")</f>
        <v/>
      </c>
      <c r="D116" s="84" t="str">
        <f t="array" aca="1" ref="D116" ca="1">IF(OR((D$115&gt;=$BE$11:$BE$38)*(D$48&lt;=$BF$11:$BF$38)&gt;0),$B116,"")</f>
        <v/>
      </c>
      <c r="E116" s="84" t="str">
        <f t="array" aca="1" ref="E116" ca="1">IF(OR((E$115&gt;=$BE$11:$BE$38)*(E$48&lt;=$BF$11:$BF$38)&gt;0),$B116,"")</f>
        <v/>
      </c>
      <c r="F116" s="84" t="str">
        <f t="array" aca="1" ref="F116" ca="1">IF(OR((F$115&gt;=$BE$11:$BE$38)*(F$48&lt;=$BF$11:$BF$38)&gt;0),$B116,"")</f>
        <v/>
      </c>
      <c r="G116" s="84" t="str">
        <f t="array" aca="1" ref="G116" ca="1">IF(OR((G$115&gt;=$BE$11:$BE$38)*(G$48&lt;=$BF$11:$BF$38)&gt;0),$B116,"")</f>
        <v/>
      </c>
      <c r="H116" s="84" t="str">
        <f t="array" aca="1" ref="H116" ca="1">IF(OR((H$115&gt;=$BE$11:$BE$38)*(H$48&lt;=$BF$11:$BF$38)&gt;0),$B116,"")</f>
        <v/>
      </c>
      <c r="I116" s="84" t="str">
        <f t="array" aca="1" ref="I116" ca="1">IF(OR((I$115&gt;=$BE$11:$BE$38)*(I$48&lt;=$BF$11:$BF$38)&gt;0),$B116,"")</f>
        <v/>
      </c>
      <c r="J116" s="84" t="str">
        <f t="array" aca="1" ref="J116" ca="1">IF(OR((J$115&gt;=$BE$11:$BE$38)*(J$48&lt;=$BF$11:$BF$38)&gt;0),$B116,"")</f>
        <v/>
      </c>
      <c r="K116" s="84" t="str">
        <f t="array" aca="1" ref="K116" ca="1">IF(OR((K$115&gt;=$BE$11:$BE$38)*(K$48&lt;=$BF$11:$BF$38)&gt;0),$B116,"")</f>
        <v/>
      </c>
      <c r="L116" s="84" t="str">
        <f t="array" aca="1" ref="L116" ca="1">IF(OR((L$115&gt;=$BE$11:$BE$38)*(L$48&lt;=$BF$11:$BF$38)&gt;0),$B116,"")</f>
        <v/>
      </c>
      <c r="M116" s="84" t="str">
        <f t="array" aca="1" ref="M116" ca="1">IF(OR((M$115&gt;=$BE$11:$BE$38)*(M$48&lt;=$BF$11:$BF$38)&gt;0),$B116,"")</f>
        <v/>
      </c>
      <c r="N116" s="84" t="str">
        <f t="array" aca="1" ref="N116" ca="1">IF(OR((N$115&gt;=$BE$11:$BE$38)*(N$48&lt;=$BF$11:$BF$38)&gt;0),$B116,"")</f>
        <v/>
      </c>
      <c r="O116" s="84" t="str">
        <f t="array" aca="1" ref="O116" ca="1">IF(OR((O$115&gt;=$BE$11:$BE$38)*(O$48&lt;=$BF$11:$BF$38)&gt;0),$B116,"")</f>
        <v/>
      </c>
      <c r="P116" s="84" t="str">
        <f t="array" aca="1" ref="P116" ca="1">IF(OR((P$115&gt;=$BE$11:$BE$38)*(P$48&lt;=$BF$11:$BF$38)&gt;0),$B116,"")</f>
        <v/>
      </c>
      <c r="Q116" s="84" t="str">
        <f t="array" aca="1" ref="Q116" ca="1">IF(OR((Q$115&gt;=$BE$11:$BE$38)*(Q$48&lt;=$BF$11:$BF$38)&gt;0),$B116,"")</f>
        <v/>
      </c>
      <c r="R116" s="84" t="str">
        <f t="array" aca="1" ref="R116" ca="1">IF(OR((R$115&gt;=$BE$11:$BE$38)*(R$48&lt;=$BF$11:$BF$38)&gt;0),$B116,"")</f>
        <v/>
      </c>
      <c r="S116" s="84" t="str">
        <f t="array" aca="1" ref="S116" ca="1">IF(OR((S$115&gt;=$BE$11:$BE$38)*(S$48&lt;=$BF$11:$BF$38)&gt;0),$B116,"")</f>
        <v/>
      </c>
      <c r="T116" s="84" t="str">
        <f t="array" aca="1" ref="T116" ca="1">IF(OR((T$115&gt;=$BE$11:$BE$38)*(T$48&lt;=$BF$11:$BF$38)&gt;0),$B116,"")</f>
        <v/>
      </c>
      <c r="U116" s="84" t="str">
        <f t="array" aca="1" ref="U116" ca="1">IF(OR((U$115&gt;=$BE$11:$BE$38)*(U$48&lt;=$BF$11:$BF$38)&gt;0),$B116,"")</f>
        <v/>
      </c>
      <c r="V116" s="84" t="str">
        <f t="array" aca="1" ref="V116" ca="1">IF(OR((V$115&gt;=$BE$11:$BE$38)*(V$48&lt;=$BF$11:$BF$38)&gt;0),$B116,"")</f>
        <v/>
      </c>
      <c r="W116" s="84" t="str">
        <f t="array" aca="1" ref="W116" ca="1">IF(OR((W$115&gt;=$BE$11:$BE$38)*(W$48&lt;=$BF$11:$BF$38)&gt;0),$B116,"")</f>
        <v/>
      </c>
      <c r="X116" s="84" t="str">
        <f t="array" aca="1" ref="X116" ca="1">IF(OR((X$115&gt;=$BE$11:$BE$38)*(X$48&lt;=$BF$11:$BF$38)&gt;0),$B116,"")</f>
        <v/>
      </c>
      <c r="Y116" s="84" t="str">
        <f t="array" aca="1" ref="Y116" ca="1">IF(OR((Y$115&gt;=$BE$11:$BE$38)*(Y$48&lt;=$BF$11:$BF$38)&gt;0),$B116,"")</f>
        <v/>
      </c>
      <c r="Z116" s="84" t="str">
        <f t="array" aca="1" ref="Z116" ca="1">IF(OR((Z$115&gt;=$BE$11:$BE$38)*(Z$48&lt;=$BF$11:$BF$38)&gt;0),$B116,"")</f>
        <v/>
      </c>
      <c r="AA116" s="84" t="str">
        <f t="array" aca="1" ref="AA116" ca="1">IF(OR((AA$115&gt;=$BE$11:$BE$38)*(AA$48&lt;=$BF$11:$BF$38)&gt;0),$B116,"")</f>
        <v/>
      </c>
      <c r="AB116" s="84" t="str">
        <f t="array" aca="1" ref="AB116" ca="1">IF(OR((AB$115&gt;=$BE$11:$BE$38)*(AB$48&lt;=$BF$11:$BF$38)&gt;0),$B116,"")</f>
        <v/>
      </c>
      <c r="AC116" s="84" t="str">
        <f t="array" aca="1" ref="AC116" ca="1">IF(OR((AC$115&gt;=$BE$11:$BE$38)*(AC$48&lt;=$BF$11:$BF$38)&gt;0),$B116,"")</f>
        <v/>
      </c>
      <c r="AD116" s="84" t="str">
        <f t="array" aca="1" ref="AD116" ca="1">IF(OR((AD$115&gt;=$BE$11:$BE$38)*(AD$48&lt;=$BF$11:$BF$38)&gt;0),$B116,"")</f>
        <v/>
      </c>
      <c r="AE116" s="84" t="str">
        <f t="array" aca="1" ref="AE116" ca="1">IF(OR((AE$115&gt;=$BE$11:$BE$38)*(AE$48&lt;=$BF$11:$BF$38)&gt;0),$B116,"")</f>
        <v/>
      </c>
      <c r="AF116" s="84" t="str">
        <f t="array" aca="1" ref="AF116" ca="1">IF(OR((AF$115&gt;=$BE$11:$BE$38)*(AF$48&lt;=$BF$11:$BF$38)&gt;0),$B116,"")</f>
        <v/>
      </c>
      <c r="AG116" s="84" t="str">
        <f t="array" aca="1" ref="AG116" ca="1">IF(OR((AG$115&gt;=$BE$11:$BE$38)*(AG$48&lt;=$BF$11:$BF$38)&gt;0),$B116,"")</f>
        <v/>
      </c>
      <c r="AH116" s="84" t="str">
        <f t="array" aca="1" ref="AH116" ca="1">IF(OR((AH$115&gt;=$BE$11:$BE$38)*(AH$48&lt;=$BF$11:$BF$38)&gt;0),$B116,"")</f>
        <v/>
      </c>
      <c r="AI116" s="84" t="str">
        <f t="array" aca="1" ref="AI116" ca="1">IF(OR((AI$115&gt;=$BE$11:$BE$38)*(AI$48&lt;=$BF$11:$BF$38)&gt;0),$B116,"")</f>
        <v/>
      </c>
    </row>
    <row r="117" spans="1:35" hidden="1">
      <c r="A117" s="75" t="s">
        <v>211</v>
      </c>
      <c r="B117" s="16">
        <v>0</v>
      </c>
      <c r="C117" s="84" t="str">
        <f t="array" aca="1" ref="C117" ca="1">IF(OR((C$115&gt;=$BE$11:$BE$38)*(C$48&lt;=$BF$11:$BF$38)&gt;0),$B117,"")</f>
        <v/>
      </c>
      <c r="D117" s="84" t="str">
        <f t="array" aca="1" ref="D117" ca="1">IF(OR((D$115&gt;=$BE$11:$BE$38)*(D$48&lt;=$BF$11:$BF$38)&gt;0),$B117,"")</f>
        <v/>
      </c>
      <c r="E117" s="84" t="str">
        <f t="array" aca="1" ref="E117" ca="1">IF(OR((E$115&gt;=$BE$11:$BE$38)*(E$48&lt;=$BF$11:$BF$38)&gt;0),$B117,"")</f>
        <v/>
      </c>
      <c r="F117" s="84" t="str">
        <f t="array" aca="1" ref="F117" ca="1">IF(OR((F$115&gt;=$BE$11:$BE$38)*(F$48&lt;=$BF$11:$BF$38)&gt;0),$B117,"")</f>
        <v/>
      </c>
      <c r="G117" s="84" t="str">
        <f t="array" aca="1" ref="G117" ca="1">IF(OR((G$115&gt;=$BE$11:$BE$38)*(G$48&lt;=$BF$11:$BF$38)&gt;0),$B117,"")</f>
        <v/>
      </c>
      <c r="H117" s="84" t="str">
        <f t="array" aca="1" ref="H117" ca="1">IF(OR((H$115&gt;=$BE$11:$BE$38)*(H$48&lt;=$BF$11:$BF$38)&gt;0),$B117,"")</f>
        <v/>
      </c>
      <c r="I117" s="84" t="str">
        <f t="array" aca="1" ref="I117" ca="1">IF(OR((I$115&gt;=$BE$11:$BE$38)*(I$48&lt;=$BF$11:$BF$38)&gt;0),$B117,"")</f>
        <v/>
      </c>
      <c r="J117" s="84" t="str">
        <f t="array" aca="1" ref="J117" ca="1">IF(OR((J$115&gt;=$BE$11:$BE$38)*(J$48&lt;=$BF$11:$BF$38)&gt;0),$B117,"")</f>
        <v/>
      </c>
      <c r="K117" s="84" t="str">
        <f t="array" aca="1" ref="K117" ca="1">IF(OR((K$115&gt;=$BE$11:$BE$38)*(K$48&lt;=$BF$11:$BF$38)&gt;0),$B117,"")</f>
        <v/>
      </c>
      <c r="L117" s="84" t="str">
        <f t="array" aca="1" ref="L117" ca="1">IF(OR((L$115&gt;=$BE$11:$BE$38)*(L$48&lt;=$BF$11:$BF$38)&gt;0),$B117,"")</f>
        <v/>
      </c>
      <c r="M117" s="84" t="str">
        <f t="array" aca="1" ref="M117" ca="1">IF(OR((M$115&gt;=$BE$11:$BE$38)*(M$48&lt;=$BF$11:$BF$38)&gt;0),$B117,"")</f>
        <v/>
      </c>
      <c r="N117" s="84" t="str">
        <f t="array" aca="1" ref="N117" ca="1">IF(OR((N$115&gt;=$BE$11:$BE$38)*(N$48&lt;=$BF$11:$BF$38)&gt;0),$B117,"")</f>
        <v/>
      </c>
      <c r="O117" s="84" t="str">
        <f t="array" aca="1" ref="O117" ca="1">IF(OR((O$115&gt;=$BE$11:$BE$38)*(O$48&lt;=$BF$11:$BF$38)&gt;0),$B117,"")</f>
        <v/>
      </c>
      <c r="P117" s="84" t="str">
        <f t="array" aca="1" ref="P117" ca="1">IF(OR((P$115&gt;=$BE$11:$BE$38)*(P$48&lt;=$BF$11:$BF$38)&gt;0),$B117,"")</f>
        <v/>
      </c>
      <c r="Q117" s="84" t="str">
        <f t="array" aca="1" ref="Q117" ca="1">IF(OR((Q$115&gt;=$BE$11:$BE$38)*(Q$48&lt;=$BF$11:$BF$38)&gt;0),$B117,"")</f>
        <v/>
      </c>
      <c r="R117" s="84" t="str">
        <f t="array" aca="1" ref="R117" ca="1">IF(OR((R$115&gt;=$BE$11:$BE$38)*(R$48&lt;=$BF$11:$BF$38)&gt;0),$B117,"")</f>
        <v/>
      </c>
      <c r="S117" s="84" t="str">
        <f t="array" aca="1" ref="S117" ca="1">IF(OR((S$115&gt;=$BE$11:$BE$38)*(S$48&lt;=$BF$11:$BF$38)&gt;0),$B117,"")</f>
        <v/>
      </c>
      <c r="T117" s="84" t="str">
        <f t="array" aca="1" ref="T117" ca="1">IF(OR((T$115&gt;=$BE$11:$BE$38)*(T$48&lt;=$BF$11:$BF$38)&gt;0),$B117,"")</f>
        <v/>
      </c>
      <c r="U117" s="84" t="str">
        <f t="array" aca="1" ref="U117" ca="1">IF(OR((U$115&gt;=$BE$11:$BE$38)*(U$48&lt;=$BF$11:$BF$38)&gt;0),$B117,"")</f>
        <v/>
      </c>
      <c r="V117" s="84" t="str">
        <f t="array" aca="1" ref="V117" ca="1">IF(OR((V$115&gt;=$BE$11:$BE$38)*(V$48&lt;=$BF$11:$BF$38)&gt;0),$B117,"")</f>
        <v/>
      </c>
      <c r="W117" s="84" t="str">
        <f t="array" aca="1" ref="W117" ca="1">IF(OR((W$115&gt;=$BE$11:$BE$38)*(W$48&lt;=$BF$11:$BF$38)&gt;0),$B117,"")</f>
        <v/>
      </c>
      <c r="X117" s="84" t="str">
        <f t="array" aca="1" ref="X117" ca="1">IF(OR((X$115&gt;=$BE$11:$BE$38)*(X$48&lt;=$BF$11:$BF$38)&gt;0),$B117,"")</f>
        <v/>
      </c>
      <c r="Y117" s="84" t="str">
        <f t="array" aca="1" ref="Y117" ca="1">IF(OR((Y$115&gt;=$BE$11:$BE$38)*(Y$48&lt;=$BF$11:$BF$38)&gt;0),$B117,"")</f>
        <v/>
      </c>
      <c r="Z117" s="84" t="str">
        <f t="array" aca="1" ref="Z117" ca="1">IF(OR((Z$115&gt;=$BE$11:$BE$38)*(Z$48&lt;=$BF$11:$BF$38)&gt;0),$B117,"")</f>
        <v/>
      </c>
      <c r="AA117" s="84" t="str">
        <f t="array" aca="1" ref="AA117" ca="1">IF(OR((AA$115&gt;=$BE$11:$BE$38)*(AA$48&lt;=$BF$11:$BF$38)&gt;0),$B117,"")</f>
        <v/>
      </c>
      <c r="AB117" s="84" t="str">
        <f t="array" aca="1" ref="AB117" ca="1">IF(OR((AB$115&gt;=$BE$11:$BE$38)*(AB$48&lt;=$BF$11:$BF$38)&gt;0),$B117,"")</f>
        <v/>
      </c>
      <c r="AC117" s="84" t="str">
        <f t="array" aca="1" ref="AC117" ca="1">IF(OR((AC$115&gt;=$BE$11:$BE$38)*(AC$48&lt;=$BF$11:$BF$38)&gt;0),$B117,"")</f>
        <v/>
      </c>
      <c r="AD117" s="84" t="str">
        <f t="array" aca="1" ref="AD117" ca="1">IF(OR((AD$115&gt;=$BE$11:$BE$38)*(AD$48&lt;=$BF$11:$BF$38)&gt;0),$B117,"")</f>
        <v/>
      </c>
      <c r="AE117" s="84" t="str">
        <f t="array" aca="1" ref="AE117" ca="1">IF(OR((AE$115&gt;=$BE$11:$BE$38)*(AE$48&lt;=$BF$11:$BF$38)&gt;0),$B117,"")</f>
        <v/>
      </c>
      <c r="AF117" s="84" t="str">
        <f t="array" aca="1" ref="AF117" ca="1">IF(OR((AF$115&gt;=$BE$11:$BE$38)*(AF$48&lt;=$BF$11:$BF$38)&gt;0),$B117,"")</f>
        <v/>
      </c>
      <c r="AG117" s="84" t="str">
        <f t="array" aca="1" ref="AG117" ca="1">IF(OR((AG$115&gt;=$BE$11:$BE$38)*(AG$48&lt;=$BF$11:$BF$38)&gt;0),$B117,"")</f>
        <v/>
      </c>
      <c r="AH117" s="84" t="str">
        <f t="array" aca="1" ref="AH117" ca="1">IF(OR((AH$115&gt;=$BE$11:$BE$38)*(AH$48&lt;=$BF$11:$BF$38)&gt;0),$B117,"")</f>
        <v/>
      </c>
      <c r="AI117" s="84" t="str">
        <f t="array" aca="1" ref="AI117" ca="1">IF(OR((AI$115&gt;=$BE$11:$BE$38)*(AI$48&lt;=$BF$11:$BF$38)&gt;0),$B117,"")</f>
        <v/>
      </c>
    </row>
    <row r="118" spans="1:35" hidden="1">
      <c r="A118" s="75" t="s">
        <v>212</v>
      </c>
      <c r="B118" s="16">
        <v>0</v>
      </c>
      <c r="C118" s="84" t="str">
        <f t="array" aca="1" ref="C118" ca="1">IF(OR((C$115&gt;=$BE$11:$BE$38)*(C$48&lt;=$BF$11:$BF$38)&gt;0),$B118,"")</f>
        <v/>
      </c>
      <c r="D118" s="84" t="str">
        <f t="array" aca="1" ref="D118" ca="1">IF(OR((D$115&gt;=$BE$11:$BE$38)*(D$48&lt;=$BF$11:$BF$38)&gt;0),$B118,"")</f>
        <v/>
      </c>
      <c r="E118" s="84" t="str">
        <f t="array" aca="1" ref="E118" ca="1">IF(OR((E$115&gt;=$BE$11:$BE$38)*(E$48&lt;=$BF$11:$BF$38)&gt;0),$B118,"")</f>
        <v/>
      </c>
      <c r="F118" s="84" t="str">
        <f t="array" aca="1" ref="F118" ca="1">IF(OR((F$115&gt;=$BE$11:$BE$38)*(F$48&lt;=$BF$11:$BF$38)&gt;0),$B118,"")</f>
        <v/>
      </c>
      <c r="G118" s="84" t="str">
        <f t="array" aca="1" ref="G118" ca="1">IF(OR((G$115&gt;=$BE$11:$BE$38)*(G$48&lt;=$BF$11:$BF$38)&gt;0),$B118,"")</f>
        <v/>
      </c>
      <c r="H118" s="84" t="str">
        <f t="array" aca="1" ref="H118" ca="1">IF(OR((H$115&gt;=$BE$11:$BE$38)*(H$48&lt;=$BF$11:$BF$38)&gt;0),$B118,"")</f>
        <v/>
      </c>
      <c r="I118" s="84" t="str">
        <f t="array" aca="1" ref="I118" ca="1">IF(OR((I$115&gt;=$BE$11:$BE$38)*(I$48&lt;=$BF$11:$BF$38)&gt;0),$B118,"")</f>
        <v/>
      </c>
      <c r="J118" s="84" t="str">
        <f t="array" aca="1" ref="J118" ca="1">IF(OR((J$115&gt;=$BE$11:$BE$38)*(J$48&lt;=$BF$11:$BF$38)&gt;0),$B118,"")</f>
        <v/>
      </c>
      <c r="K118" s="84" t="str">
        <f t="array" aca="1" ref="K118" ca="1">IF(OR((K$115&gt;=$BE$11:$BE$38)*(K$48&lt;=$BF$11:$BF$38)&gt;0),$B118,"")</f>
        <v/>
      </c>
      <c r="L118" s="84" t="str">
        <f t="array" aca="1" ref="L118" ca="1">IF(OR((L$115&gt;=$BE$11:$BE$38)*(L$48&lt;=$BF$11:$BF$38)&gt;0),$B118,"")</f>
        <v/>
      </c>
      <c r="M118" s="84" t="str">
        <f t="array" aca="1" ref="M118" ca="1">IF(OR((M$115&gt;=$BE$11:$BE$38)*(M$48&lt;=$BF$11:$BF$38)&gt;0),$B118,"")</f>
        <v/>
      </c>
      <c r="N118" s="84" t="str">
        <f t="array" aca="1" ref="N118" ca="1">IF(OR((N$115&gt;=$BE$11:$BE$38)*(N$48&lt;=$BF$11:$BF$38)&gt;0),$B118,"")</f>
        <v/>
      </c>
      <c r="O118" s="84" t="str">
        <f t="array" aca="1" ref="O118" ca="1">IF(OR((O$115&gt;=$BE$11:$BE$38)*(O$48&lt;=$BF$11:$BF$38)&gt;0),$B118,"")</f>
        <v/>
      </c>
      <c r="P118" s="84" t="str">
        <f t="array" aca="1" ref="P118" ca="1">IF(OR((P$115&gt;=$BE$11:$BE$38)*(P$48&lt;=$BF$11:$BF$38)&gt;0),$B118,"")</f>
        <v/>
      </c>
      <c r="Q118" s="84" t="str">
        <f t="array" aca="1" ref="Q118" ca="1">IF(OR((Q$115&gt;=$BE$11:$BE$38)*(Q$48&lt;=$BF$11:$BF$38)&gt;0),$B118,"")</f>
        <v/>
      </c>
      <c r="R118" s="84" t="str">
        <f t="array" aca="1" ref="R118" ca="1">IF(OR((R$115&gt;=$BE$11:$BE$38)*(R$48&lt;=$BF$11:$BF$38)&gt;0),$B118,"")</f>
        <v/>
      </c>
      <c r="S118" s="84" t="str">
        <f t="array" aca="1" ref="S118" ca="1">IF(OR((S$115&gt;=$BE$11:$BE$38)*(S$48&lt;=$BF$11:$BF$38)&gt;0),$B118,"")</f>
        <v/>
      </c>
      <c r="T118" s="84" t="str">
        <f t="array" aca="1" ref="T118" ca="1">IF(OR((T$115&gt;=$BE$11:$BE$38)*(T$48&lt;=$BF$11:$BF$38)&gt;0),$B118,"")</f>
        <v/>
      </c>
      <c r="U118" s="84" t="str">
        <f t="array" aca="1" ref="U118" ca="1">IF(OR((U$115&gt;=$BE$11:$BE$38)*(U$48&lt;=$BF$11:$BF$38)&gt;0),$B118,"")</f>
        <v/>
      </c>
      <c r="V118" s="84" t="str">
        <f t="array" aca="1" ref="V118" ca="1">IF(OR((V$115&gt;=$BE$11:$BE$38)*(V$48&lt;=$BF$11:$BF$38)&gt;0),$B118,"")</f>
        <v/>
      </c>
      <c r="W118" s="84" t="str">
        <f t="array" aca="1" ref="W118" ca="1">IF(OR((W$115&gt;=$BE$11:$BE$38)*(W$48&lt;=$BF$11:$BF$38)&gt;0),$B118,"")</f>
        <v/>
      </c>
      <c r="X118" s="84" t="str">
        <f t="array" aca="1" ref="X118" ca="1">IF(OR((X$115&gt;=$BE$11:$BE$38)*(X$48&lt;=$BF$11:$BF$38)&gt;0),$B118,"")</f>
        <v/>
      </c>
      <c r="Y118" s="84" t="str">
        <f t="array" aca="1" ref="Y118" ca="1">IF(OR((Y$115&gt;=$BE$11:$BE$38)*(Y$48&lt;=$BF$11:$BF$38)&gt;0),$B118,"")</f>
        <v/>
      </c>
      <c r="Z118" s="84" t="str">
        <f t="array" aca="1" ref="Z118" ca="1">IF(OR((Z$115&gt;=$BE$11:$BE$38)*(Z$48&lt;=$BF$11:$BF$38)&gt;0),$B118,"")</f>
        <v/>
      </c>
      <c r="AA118" s="84" t="str">
        <f t="array" aca="1" ref="AA118" ca="1">IF(OR((AA$115&gt;=$BE$11:$BE$38)*(AA$48&lt;=$BF$11:$BF$38)&gt;0),$B118,"")</f>
        <v/>
      </c>
      <c r="AB118" s="84" t="str">
        <f t="array" aca="1" ref="AB118" ca="1">IF(OR((AB$115&gt;=$BE$11:$BE$38)*(AB$48&lt;=$BF$11:$BF$38)&gt;0),$B118,"")</f>
        <v/>
      </c>
      <c r="AC118" s="84" t="str">
        <f t="array" aca="1" ref="AC118" ca="1">IF(OR((AC$115&gt;=$BE$11:$BE$38)*(AC$48&lt;=$BF$11:$BF$38)&gt;0),$B118,"")</f>
        <v/>
      </c>
      <c r="AD118" s="84" t="str">
        <f t="array" aca="1" ref="AD118" ca="1">IF(OR((AD$115&gt;=$BE$11:$BE$38)*(AD$48&lt;=$BF$11:$BF$38)&gt;0),$B118,"")</f>
        <v/>
      </c>
      <c r="AE118" s="84" t="str">
        <f t="array" aca="1" ref="AE118" ca="1">IF(OR((AE$115&gt;=$BE$11:$BE$38)*(AE$48&lt;=$BF$11:$BF$38)&gt;0),$B118,"")</f>
        <v/>
      </c>
      <c r="AF118" s="84" t="str">
        <f t="array" aca="1" ref="AF118" ca="1">IF(OR((AF$115&gt;=$BE$11:$BE$38)*(AF$48&lt;=$BF$11:$BF$38)&gt;0),$B118,"")</f>
        <v/>
      </c>
      <c r="AG118" s="84" t="str">
        <f t="array" aca="1" ref="AG118" ca="1">IF(OR((AG$115&gt;=$BE$11:$BE$38)*(AG$48&lt;=$BF$11:$BF$38)&gt;0),$B118,"")</f>
        <v/>
      </c>
      <c r="AH118" s="84" t="str">
        <f t="array" aca="1" ref="AH118" ca="1">IF(OR((AH$115&gt;=$BE$11:$BE$38)*(AH$48&lt;=$BF$11:$BF$38)&gt;0),$B118,"")</f>
        <v/>
      </c>
      <c r="AI118" s="84" t="str">
        <f t="array" aca="1" ref="AI118" ca="1">IF(OR((AI$115&gt;=$BE$11:$BE$38)*(AI$48&lt;=$BF$11:$BF$38)&gt;0),$B118,"")</f>
        <v/>
      </c>
    </row>
    <row r="119" spans="1:35" hidden="1">
      <c r="A119" s="75" t="s">
        <v>213</v>
      </c>
      <c r="B119" s="16">
        <v>0</v>
      </c>
      <c r="C119" s="84" t="str">
        <f t="array" aca="1" ref="C119" ca="1">IF(OR((C$115&gt;=$BE$11:$BE$38)*(C$48&lt;=$BF$11:$BF$38)&gt;0),$B119,"")</f>
        <v/>
      </c>
      <c r="D119" s="84" t="str">
        <f t="array" aca="1" ref="D119" ca="1">IF(OR((D$115&gt;=$BE$11:$BE$38)*(D$48&lt;=$BF$11:$BF$38)&gt;0),$B119,"")</f>
        <v/>
      </c>
      <c r="E119" s="84" t="str">
        <f t="array" aca="1" ref="E119" ca="1">IF(OR((E$115&gt;=$BE$11:$BE$38)*(E$48&lt;=$BF$11:$BF$38)&gt;0),$B119,"")</f>
        <v/>
      </c>
      <c r="F119" s="84" t="str">
        <f t="array" aca="1" ref="F119" ca="1">IF(OR((F$115&gt;=$BE$11:$BE$38)*(F$48&lt;=$BF$11:$BF$38)&gt;0),$B119,"")</f>
        <v/>
      </c>
      <c r="G119" s="84" t="str">
        <f t="array" aca="1" ref="G119" ca="1">IF(OR((G$115&gt;=$BE$11:$BE$38)*(G$48&lt;=$BF$11:$BF$38)&gt;0),$B119,"")</f>
        <v/>
      </c>
      <c r="H119" s="84" t="str">
        <f t="array" aca="1" ref="H119" ca="1">IF(OR((H$115&gt;=$BE$11:$BE$38)*(H$48&lt;=$BF$11:$BF$38)&gt;0),$B119,"")</f>
        <v/>
      </c>
      <c r="I119" s="84" t="str">
        <f t="array" aca="1" ref="I119" ca="1">IF(OR((I$115&gt;=$BE$11:$BE$38)*(I$48&lt;=$BF$11:$BF$38)&gt;0),$B119,"")</f>
        <v/>
      </c>
      <c r="J119" s="84" t="str">
        <f t="array" aca="1" ref="J119" ca="1">IF(OR((J$115&gt;=$BE$11:$BE$38)*(J$48&lt;=$BF$11:$BF$38)&gt;0),$B119,"")</f>
        <v/>
      </c>
      <c r="K119" s="84" t="str">
        <f t="array" aca="1" ref="K119" ca="1">IF(OR((K$115&gt;=$BE$11:$BE$38)*(K$48&lt;=$BF$11:$BF$38)&gt;0),$B119,"")</f>
        <v/>
      </c>
      <c r="L119" s="84" t="str">
        <f t="array" aca="1" ref="L119" ca="1">IF(OR((L$115&gt;=$BE$11:$BE$38)*(L$48&lt;=$BF$11:$BF$38)&gt;0),$B119,"")</f>
        <v/>
      </c>
      <c r="M119" s="84" t="str">
        <f t="array" aca="1" ref="M119" ca="1">IF(OR((M$115&gt;=$BE$11:$BE$38)*(M$48&lt;=$BF$11:$BF$38)&gt;0),$B119,"")</f>
        <v/>
      </c>
      <c r="N119" s="84" t="str">
        <f t="array" aca="1" ref="N119" ca="1">IF(OR((N$115&gt;=$BE$11:$BE$38)*(N$48&lt;=$BF$11:$BF$38)&gt;0),$B119,"")</f>
        <v/>
      </c>
      <c r="O119" s="84" t="str">
        <f t="array" aca="1" ref="O119" ca="1">IF(OR((O$115&gt;=$BE$11:$BE$38)*(O$48&lt;=$BF$11:$BF$38)&gt;0),$B119,"")</f>
        <v/>
      </c>
      <c r="P119" s="84" t="str">
        <f t="array" aca="1" ref="P119" ca="1">IF(OR((P$115&gt;=$BE$11:$BE$38)*(P$48&lt;=$BF$11:$BF$38)&gt;0),$B119,"")</f>
        <v/>
      </c>
      <c r="Q119" s="84" t="str">
        <f t="array" aca="1" ref="Q119" ca="1">IF(OR((Q$115&gt;=$BE$11:$BE$38)*(Q$48&lt;=$BF$11:$BF$38)&gt;0),$B119,"")</f>
        <v/>
      </c>
      <c r="R119" s="84" t="str">
        <f t="array" aca="1" ref="R119" ca="1">IF(OR((R$115&gt;=$BE$11:$BE$38)*(R$48&lt;=$BF$11:$BF$38)&gt;0),$B119,"")</f>
        <v/>
      </c>
      <c r="S119" s="84" t="str">
        <f t="array" aca="1" ref="S119" ca="1">IF(OR((S$115&gt;=$BE$11:$BE$38)*(S$48&lt;=$BF$11:$BF$38)&gt;0),$B119,"")</f>
        <v/>
      </c>
      <c r="T119" s="84" t="str">
        <f t="array" aca="1" ref="T119" ca="1">IF(OR((T$115&gt;=$BE$11:$BE$38)*(T$48&lt;=$BF$11:$BF$38)&gt;0),$B119,"")</f>
        <v/>
      </c>
      <c r="U119" s="84" t="str">
        <f t="array" aca="1" ref="U119" ca="1">IF(OR((U$115&gt;=$BE$11:$BE$38)*(U$48&lt;=$BF$11:$BF$38)&gt;0),$B119,"")</f>
        <v/>
      </c>
      <c r="V119" s="84" t="str">
        <f t="array" aca="1" ref="V119" ca="1">IF(OR((V$115&gt;=$BE$11:$BE$38)*(V$48&lt;=$BF$11:$BF$38)&gt;0),$B119,"")</f>
        <v/>
      </c>
      <c r="W119" s="84" t="str">
        <f t="array" aca="1" ref="W119" ca="1">IF(OR((W$115&gt;=$BE$11:$BE$38)*(W$48&lt;=$BF$11:$BF$38)&gt;0),$B119,"")</f>
        <v/>
      </c>
      <c r="X119" s="84" t="str">
        <f t="array" aca="1" ref="X119" ca="1">IF(OR((X$115&gt;=$BE$11:$BE$38)*(X$48&lt;=$BF$11:$BF$38)&gt;0),$B119,"")</f>
        <v/>
      </c>
      <c r="Y119" s="84" t="str">
        <f t="array" aca="1" ref="Y119" ca="1">IF(OR((Y$115&gt;=$BE$11:$BE$38)*(Y$48&lt;=$BF$11:$BF$38)&gt;0),$B119,"")</f>
        <v/>
      </c>
      <c r="Z119" s="84" t="str">
        <f t="array" aca="1" ref="Z119" ca="1">IF(OR((Z$115&gt;=$BE$11:$BE$38)*(Z$48&lt;=$BF$11:$BF$38)&gt;0),$B119,"")</f>
        <v/>
      </c>
      <c r="AA119" s="84" t="str">
        <f t="array" aca="1" ref="AA119" ca="1">IF(OR((AA$115&gt;=$BE$11:$BE$38)*(AA$48&lt;=$BF$11:$BF$38)&gt;0),$B119,"")</f>
        <v/>
      </c>
      <c r="AB119" s="84" t="str">
        <f t="array" aca="1" ref="AB119" ca="1">IF(OR((AB$115&gt;=$BE$11:$BE$38)*(AB$48&lt;=$BF$11:$BF$38)&gt;0),$B119,"")</f>
        <v/>
      </c>
      <c r="AC119" s="84" t="str">
        <f t="array" aca="1" ref="AC119" ca="1">IF(OR((AC$115&gt;=$BE$11:$BE$38)*(AC$48&lt;=$BF$11:$BF$38)&gt;0),$B119,"")</f>
        <v/>
      </c>
      <c r="AD119" s="84" t="str">
        <f t="array" aca="1" ref="AD119" ca="1">IF(OR((AD$115&gt;=$BE$11:$BE$38)*(AD$48&lt;=$BF$11:$BF$38)&gt;0),$B119,"")</f>
        <v/>
      </c>
      <c r="AE119" s="84" t="str">
        <f t="array" aca="1" ref="AE119" ca="1">IF(OR((AE$115&gt;=$BE$11:$BE$38)*(AE$48&lt;=$BF$11:$BF$38)&gt;0),$B119,"")</f>
        <v/>
      </c>
      <c r="AF119" s="84" t="str">
        <f t="array" aca="1" ref="AF119" ca="1">IF(OR((AF$115&gt;=$BE$11:$BE$38)*(AF$48&lt;=$BF$11:$BF$38)&gt;0),$B119,"")</f>
        <v/>
      </c>
      <c r="AG119" s="84" t="str">
        <f t="array" aca="1" ref="AG119" ca="1">IF(OR((AG$115&gt;=$BE$11:$BE$38)*(AG$48&lt;=$BF$11:$BF$38)&gt;0),$B119,"")</f>
        <v/>
      </c>
      <c r="AH119" s="84" t="str">
        <f t="array" aca="1" ref="AH119" ca="1">IF(OR((AH$115&gt;=$BE$11:$BE$38)*(AH$48&lt;=$BF$11:$BF$38)&gt;0),$B119,"")</f>
        <v/>
      </c>
      <c r="AI119" s="84" t="str">
        <f t="array" aca="1" ref="AI119" ca="1">IF(OR((AI$115&gt;=$BE$11:$BE$38)*(AI$48&lt;=$BF$11:$BF$38)&gt;0),$B119,"")</f>
        <v/>
      </c>
    </row>
    <row r="120" spans="1:35">
      <c r="A120" s="55"/>
      <c r="B120" s="56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</row>
  </sheetData>
  <mergeCells count="24">
    <mergeCell ref="AU23:AV23"/>
    <mergeCell ref="AW2:AX2"/>
    <mergeCell ref="BA2:BB2"/>
    <mergeCell ref="BC2:BD2"/>
    <mergeCell ref="AW23:AX23"/>
    <mergeCell ref="AY23:AZ23"/>
    <mergeCell ref="BA23:BB23"/>
    <mergeCell ref="AY2:AZ2"/>
    <mergeCell ref="A100:AI100"/>
    <mergeCell ref="A96:AI96"/>
    <mergeCell ref="BE2:BF2"/>
    <mergeCell ref="AN2:AO2"/>
    <mergeCell ref="AQ23:AR23"/>
    <mergeCell ref="AS23:AT23"/>
    <mergeCell ref="A86:AI86"/>
    <mergeCell ref="BC23:BD23"/>
    <mergeCell ref="AN23:AO23"/>
    <mergeCell ref="BE23:BF23"/>
    <mergeCell ref="AU2:AV2"/>
    <mergeCell ref="B12:B21"/>
    <mergeCell ref="AQ2:AR2"/>
    <mergeCell ref="AS2:AT2"/>
    <mergeCell ref="B33:B45"/>
    <mergeCell ref="AK11:AK38"/>
  </mergeCells>
  <conditionalFormatting sqref="C87:AI95">
    <cfRule type="expression" dxfId="70" priority="11">
      <formula>OR(WEEKDAY(C$48)=7,WEEKDAY(C$48)=1)</formula>
    </cfRule>
  </conditionalFormatting>
  <conditionalFormatting sqref="C107:AI107">
    <cfRule type="expression" dxfId="69" priority="10">
      <formula>OR(WEEKDAY(C$48)=7,WEEKDAY(C$48)=1)</formula>
    </cfRule>
  </conditionalFormatting>
  <conditionalFormatting sqref="C111:AI112">
    <cfRule type="expression" dxfId="68" priority="9">
      <formula>OR(WEEKDAY(C$48)=7,WEEKDAY(C$48)=1)</formula>
    </cfRule>
  </conditionalFormatting>
  <conditionalFormatting sqref="C116:AI119">
    <cfRule type="expression" dxfId="67" priority="8">
      <formula>OR(WEEKDAY(C$48)=7,WEEKDAY(C$48)=1)</formula>
    </cfRule>
  </conditionalFormatting>
  <conditionalFormatting sqref="D33:AI35">
    <cfRule type="expression" dxfId="66" priority="1">
      <formula>OR(WEEKDAY(D$48)=7,WEEKDAY(D$48)=1)</formula>
    </cfRule>
  </conditionalFormatting>
  <conditionalFormatting sqref="D37:AI39">
    <cfRule type="expression" dxfId="65" priority="4">
      <formula>OR(WEEKDAY(D$48)=7,WEEKDAY(D$48)=1)</formula>
    </cfRule>
  </conditionalFormatting>
  <conditionalFormatting sqref="D41:AI45">
    <cfRule type="expression" dxfId="64" priority="2">
      <formula>OR(WEEKDAY(D$48)=7,WEEKDAY(D$48)=1)</formula>
    </cfRule>
  </conditionalFormatting>
  <conditionalFormatting sqref="F13:AI21">
    <cfRule type="expression" dxfId="63" priority="7">
      <formula>OR(WEEKDAY(F$48)=7,WEEKDAY(F$48)=1)</formula>
    </cfRule>
  </conditionalFormatting>
  <conditionalFormatting sqref="T36:AI36 E40:AI40 C49:AI57 C61:AI64 C68:AI82 C97:AI99 C101:AI103">
    <cfRule type="expression" dxfId="62" priority="12">
      <formula>OR(WEEKDAY(C$48)=7,WEEKDAY(C$48)=1)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6"/>
  <sheetViews>
    <sheetView zoomScale="70" zoomScaleNormal="70" workbookViewId="0">
      <pane xSplit="1" topLeftCell="B1" activePane="topRight" state="frozen"/>
      <selection pane="topRight" activeCell="N13" sqref="N13"/>
    </sheetView>
  </sheetViews>
  <sheetFormatPr defaultColWidth="11.5546875" defaultRowHeight="17.399999999999999"/>
  <cols>
    <col min="1" max="1" width="42.5546875" style="129" customWidth="1"/>
    <col min="2" max="34" width="5.77734375" style="129" customWidth="1"/>
    <col min="35" max="256" width="11.5546875" style="129" customWidth="1"/>
    <col min="257" max="257" width="42.5546875" style="129" customWidth="1"/>
    <col min="258" max="290" width="5.77734375" style="129" customWidth="1"/>
    <col min="291" max="512" width="11.5546875" style="129" customWidth="1"/>
    <col min="513" max="513" width="42.5546875" style="129" customWidth="1"/>
    <col min="514" max="546" width="5.77734375" style="129" customWidth="1"/>
    <col min="547" max="768" width="11.5546875" style="129" customWidth="1"/>
    <col min="769" max="769" width="42.5546875" style="129" customWidth="1"/>
    <col min="770" max="802" width="5.77734375" style="129" customWidth="1"/>
    <col min="803" max="1024" width="11.5546875" style="129" customWidth="1"/>
    <col min="1025" max="1025" width="42.5546875" style="129" customWidth="1"/>
    <col min="1026" max="1058" width="5.77734375" style="129" customWidth="1"/>
    <col min="1059" max="1280" width="11.5546875" style="129" customWidth="1"/>
    <col min="1281" max="1281" width="42.5546875" style="129" customWidth="1"/>
    <col min="1282" max="1314" width="5.77734375" style="129" customWidth="1"/>
    <col min="1315" max="1536" width="11.5546875" style="129" customWidth="1"/>
    <col min="1537" max="1537" width="42.5546875" style="129" customWidth="1"/>
    <col min="1538" max="1570" width="5.77734375" style="129" customWidth="1"/>
    <col min="1571" max="1792" width="11.5546875" style="129" customWidth="1"/>
    <col min="1793" max="1793" width="42.5546875" style="129" customWidth="1"/>
    <col min="1794" max="1826" width="5.77734375" style="129" customWidth="1"/>
    <col min="1827" max="2048" width="11.5546875" style="129" customWidth="1"/>
    <col min="2049" max="2049" width="42.5546875" style="129" customWidth="1"/>
    <col min="2050" max="2082" width="5.77734375" style="129" customWidth="1"/>
    <col min="2083" max="2304" width="11.5546875" style="129" customWidth="1"/>
    <col min="2305" max="2305" width="42.5546875" style="129" customWidth="1"/>
    <col min="2306" max="2338" width="5.77734375" style="129" customWidth="1"/>
    <col min="2339" max="2560" width="11.5546875" style="129" customWidth="1"/>
    <col min="2561" max="2561" width="42.5546875" style="129" customWidth="1"/>
    <col min="2562" max="2594" width="5.77734375" style="129" customWidth="1"/>
    <col min="2595" max="2816" width="11.5546875" style="129" customWidth="1"/>
    <col min="2817" max="2817" width="42.5546875" style="129" customWidth="1"/>
    <col min="2818" max="2850" width="5.77734375" style="129" customWidth="1"/>
    <col min="2851" max="3072" width="11.5546875" style="129" customWidth="1"/>
    <col min="3073" max="3073" width="42.5546875" style="129" customWidth="1"/>
    <col min="3074" max="3106" width="5.77734375" style="129" customWidth="1"/>
    <col min="3107" max="3328" width="11.5546875" style="129" customWidth="1"/>
    <col min="3329" max="3329" width="42.5546875" style="129" customWidth="1"/>
    <col min="3330" max="3362" width="5.77734375" style="129" customWidth="1"/>
    <col min="3363" max="3584" width="11.5546875" style="129" customWidth="1"/>
    <col min="3585" max="3585" width="42.5546875" style="129" customWidth="1"/>
    <col min="3586" max="3618" width="5.77734375" style="129" customWidth="1"/>
    <col min="3619" max="3840" width="11.5546875" style="129" customWidth="1"/>
    <col min="3841" max="3841" width="42.5546875" style="129" customWidth="1"/>
    <col min="3842" max="3874" width="5.77734375" style="129" customWidth="1"/>
    <col min="3875" max="4096" width="11.5546875" style="129" customWidth="1"/>
    <col min="4097" max="4097" width="42.5546875" style="129" customWidth="1"/>
    <col min="4098" max="4130" width="5.77734375" style="129" customWidth="1"/>
    <col min="4131" max="4352" width="11.5546875" style="129" customWidth="1"/>
    <col min="4353" max="4353" width="42.5546875" style="129" customWidth="1"/>
    <col min="4354" max="4386" width="5.77734375" style="129" customWidth="1"/>
    <col min="4387" max="4608" width="11.5546875" style="129" customWidth="1"/>
    <col min="4609" max="4609" width="42.5546875" style="129" customWidth="1"/>
    <col min="4610" max="4642" width="5.77734375" style="129" customWidth="1"/>
    <col min="4643" max="4864" width="11.5546875" style="129" customWidth="1"/>
    <col min="4865" max="4865" width="42.5546875" style="129" customWidth="1"/>
    <col min="4866" max="4898" width="5.77734375" style="129" customWidth="1"/>
    <col min="4899" max="5120" width="11.5546875" style="129" customWidth="1"/>
    <col min="5121" max="5121" width="42.5546875" style="129" customWidth="1"/>
    <col min="5122" max="5154" width="5.77734375" style="129" customWidth="1"/>
    <col min="5155" max="5376" width="11.5546875" style="129" customWidth="1"/>
    <col min="5377" max="5377" width="42.5546875" style="129" customWidth="1"/>
    <col min="5378" max="5410" width="5.77734375" style="129" customWidth="1"/>
    <col min="5411" max="5632" width="11.5546875" style="129" customWidth="1"/>
    <col min="5633" max="5633" width="42.5546875" style="129" customWidth="1"/>
    <col min="5634" max="5666" width="5.77734375" style="129" customWidth="1"/>
    <col min="5667" max="5888" width="11.5546875" style="129" customWidth="1"/>
    <col min="5889" max="5889" width="42.5546875" style="129" customWidth="1"/>
    <col min="5890" max="5922" width="5.77734375" style="129" customWidth="1"/>
    <col min="5923" max="6144" width="11.5546875" style="129" customWidth="1"/>
    <col min="6145" max="6145" width="42.5546875" style="129" customWidth="1"/>
    <col min="6146" max="6178" width="5.77734375" style="129" customWidth="1"/>
    <col min="6179" max="6400" width="11.5546875" style="129" customWidth="1"/>
    <col min="6401" max="6401" width="42.5546875" style="129" customWidth="1"/>
    <col min="6402" max="6434" width="5.77734375" style="129" customWidth="1"/>
    <col min="6435" max="6656" width="11.5546875" style="129" customWidth="1"/>
    <col min="6657" max="6657" width="42.5546875" style="129" customWidth="1"/>
    <col min="6658" max="6690" width="5.77734375" style="129" customWidth="1"/>
    <col min="6691" max="6912" width="11.5546875" style="129" customWidth="1"/>
    <col min="6913" max="6913" width="42.5546875" style="129" customWidth="1"/>
    <col min="6914" max="6946" width="5.77734375" style="129" customWidth="1"/>
    <col min="6947" max="7168" width="11.5546875" style="129" customWidth="1"/>
    <col min="7169" max="7169" width="42.5546875" style="129" customWidth="1"/>
    <col min="7170" max="7202" width="5.77734375" style="129" customWidth="1"/>
    <col min="7203" max="7424" width="11.5546875" style="129" customWidth="1"/>
    <col min="7425" max="7425" width="42.5546875" style="129" customWidth="1"/>
    <col min="7426" max="7458" width="5.77734375" style="129" customWidth="1"/>
    <col min="7459" max="7680" width="11.5546875" style="129" customWidth="1"/>
    <col min="7681" max="7681" width="42.5546875" style="129" customWidth="1"/>
    <col min="7682" max="7714" width="5.77734375" style="129" customWidth="1"/>
    <col min="7715" max="7936" width="11.5546875" style="129" customWidth="1"/>
    <col min="7937" max="7937" width="42.5546875" style="129" customWidth="1"/>
    <col min="7938" max="7970" width="5.77734375" style="129" customWidth="1"/>
    <col min="7971" max="8192" width="11.5546875" style="129" customWidth="1"/>
    <col min="8193" max="8193" width="42.5546875" style="129" customWidth="1"/>
    <col min="8194" max="8226" width="5.77734375" style="129" customWidth="1"/>
    <col min="8227" max="8448" width="11.5546875" style="129" customWidth="1"/>
    <col min="8449" max="8449" width="42.5546875" style="129" customWidth="1"/>
    <col min="8450" max="8482" width="5.77734375" style="129" customWidth="1"/>
    <col min="8483" max="8704" width="11.5546875" style="129" customWidth="1"/>
    <col min="8705" max="8705" width="42.5546875" style="129" customWidth="1"/>
    <col min="8706" max="8738" width="5.77734375" style="129" customWidth="1"/>
    <col min="8739" max="8960" width="11.5546875" style="129" customWidth="1"/>
    <col min="8961" max="8961" width="42.5546875" style="129" customWidth="1"/>
    <col min="8962" max="8994" width="5.77734375" style="129" customWidth="1"/>
    <col min="8995" max="9216" width="11.5546875" style="129" customWidth="1"/>
    <col min="9217" max="9217" width="42.5546875" style="129" customWidth="1"/>
    <col min="9218" max="9250" width="5.77734375" style="129" customWidth="1"/>
    <col min="9251" max="9472" width="11.5546875" style="129" customWidth="1"/>
    <col min="9473" max="9473" width="42.5546875" style="129" customWidth="1"/>
    <col min="9474" max="9506" width="5.77734375" style="129" customWidth="1"/>
    <col min="9507" max="9728" width="11.5546875" style="129" customWidth="1"/>
    <col min="9729" max="9729" width="42.5546875" style="129" customWidth="1"/>
    <col min="9730" max="9762" width="5.77734375" style="129" customWidth="1"/>
    <col min="9763" max="9984" width="11.5546875" style="129" customWidth="1"/>
    <col min="9985" max="9985" width="42.5546875" style="129" customWidth="1"/>
    <col min="9986" max="10018" width="5.77734375" style="129" customWidth="1"/>
    <col min="10019" max="10240" width="11.5546875" style="129" customWidth="1"/>
    <col min="10241" max="10241" width="42.5546875" style="129" customWidth="1"/>
    <col min="10242" max="10274" width="5.77734375" style="129" customWidth="1"/>
    <col min="10275" max="10496" width="11.5546875" style="129" customWidth="1"/>
    <col min="10497" max="10497" width="42.5546875" style="129" customWidth="1"/>
    <col min="10498" max="10530" width="5.77734375" style="129" customWidth="1"/>
    <col min="10531" max="10752" width="11.5546875" style="129" customWidth="1"/>
    <col min="10753" max="10753" width="42.5546875" style="129" customWidth="1"/>
    <col min="10754" max="10786" width="5.77734375" style="129" customWidth="1"/>
    <col min="10787" max="11008" width="11.5546875" style="129" customWidth="1"/>
    <col min="11009" max="11009" width="42.5546875" style="129" customWidth="1"/>
    <col min="11010" max="11042" width="5.77734375" style="129" customWidth="1"/>
    <col min="11043" max="11264" width="11.5546875" style="129" customWidth="1"/>
    <col min="11265" max="11265" width="42.5546875" style="129" customWidth="1"/>
    <col min="11266" max="11298" width="5.77734375" style="129" customWidth="1"/>
    <col min="11299" max="11520" width="11.5546875" style="129" customWidth="1"/>
    <col min="11521" max="11521" width="42.5546875" style="129" customWidth="1"/>
    <col min="11522" max="11554" width="5.77734375" style="129" customWidth="1"/>
    <col min="11555" max="11776" width="11.5546875" style="129" customWidth="1"/>
    <col min="11777" max="11777" width="42.5546875" style="129" customWidth="1"/>
    <col min="11778" max="11810" width="5.77734375" style="129" customWidth="1"/>
    <col min="11811" max="12032" width="11.5546875" style="129" customWidth="1"/>
    <col min="12033" max="12033" width="42.5546875" style="129" customWidth="1"/>
    <col min="12034" max="12066" width="5.77734375" style="129" customWidth="1"/>
    <col min="12067" max="12288" width="11.5546875" style="129" customWidth="1"/>
    <col min="12289" max="12289" width="42.5546875" style="129" customWidth="1"/>
    <col min="12290" max="12322" width="5.77734375" style="129" customWidth="1"/>
    <col min="12323" max="12544" width="11.5546875" style="129" customWidth="1"/>
    <col min="12545" max="12545" width="42.5546875" style="129" customWidth="1"/>
    <col min="12546" max="12578" width="5.77734375" style="129" customWidth="1"/>
    <col min="12579" max="12800" width="11.5546875" style="129" customWidth="1"/>
    <col min="12801" max="12801" width="42.5546875" style="129" customWidth="1"/>
    <col min="12802" max="12834" width="5.77734375" style="129" customWidth="1"/>
    <col min="12835" max="13056" width="11.5546875" style="129" customWidth="1"/>
    <col min="13057" max="13057" width="42.5546875" style="129" customWidth="1"/>
    <col min="13058" max="13090" width="5.77734375" style="129" customWidth="1"/>
    <col min="13091" max="13312" width="11.5546875" style="129" customWidth="1"/>
    <col min="13313" max="13313" width="42.5546875" style="129" customWidth="1"/>
    <col min="13314" max="13346" width="5.77734375" style="129" customWidth="1"/>
    <col min="13347" max="13568" width="11.5546875" style="129" customWidth="1"/>
    <col min="13569" max="13569" width="42.5546875" style="129" customWidth="1"/>
    <col min="13570" max="13602" width="5.77734375" style="129" customWidth="1"/>
    <col min="13603" max="13824" width="11.5546875" style="129" customWidth="1"/>
    <col min="13825" max="13825" width="42.5546875" style="129" customWidth="1"/>
    <col min="13826" max="13858" width="5.77734375" style="129" customWidth="1"/>
    <col min="13859" max="14080" width="11.5546875" style="129" customWidth="1"/>
    <col min="14081" max="14081" width="42.5546875" style="129" customWidth="1"/>
    <col min="14082" max="14114" width="5.77734375" style="129" customWidth="1"/>
    <col min="14115" max="14336" width="11.5546875" style="129" customWidth="1"/>
    <col min="14337" max="14337" width="42.5546875" style="129" customWidth="1"/>
    <col min="14338" max="14370" width="5.77734375" style="129" customWidth="1"/>
    <col min="14371" max="14592" width="11.5546875" style="129" customWidth="1"/>
    <col min="14593" max="14593" width="42.5546875" style="129" customWidth="1"/>
    <col min="14594" max="14626" width="5.77734375" style="129" customWidth="1"/>
    <col min="14627" max="14848" width="11.5546875" style="129" customWidth="1"/>
    <col min="14849" max="14849" width="42.5546875" style="129" customWidth="1"/>
    <col min="14850" max="14882" width="5.77734375" style="129" customWidth="1"/>
    <col min="14883" max="15104" width="11.5546875" style="129" customWidth="1"/>
    <col min="15105" max="15105" width="42.5546875" style="129" customWidth="1"/>
    <col min="15106" max="15138" width="5.77734375" style="129" customWidth="1"/>
    <col min="15139" max="15360" width="11.5546875" style="129" customWidth="1"/>
    <col min="15361" max="15361" width="42.5546875" style="129" customWidth="1"/>
    <col min="15362" max="15394" width="5.77734375" style="129" customWidth="1"/>
    <col min="15395" max="15616" width="11.5546875" style="129" customWidth="1"/>
    <col min="15617" max="15617" width="42.5546875" style="129" customWidth="1"/>
    <col min="15618" max="15650" width="5.77734375" style="129" customWidth="1"/>
    <col min="15651" max="15872" width="11.5546875" style="129" customWidth="1"/>
    <col min="15873" max="15873" width="42.5546875" style="129" customWidth="1"/>
    <col min="15874" max="15906" width="5.77734375" style="129" customWidth="1"/>
    <col min="15907" max="16128" width="11.5546875" style="129" customWidth="1"/>
    <col min="16129" max="16129" width="42.5546875" style="129" customWidth="1"/>
    <col min="16130" max="16162" width="5.77734375" style="129" customWidth="1"/>
    <col min="16163" max="16384" width="11.5546875" style="129" customWidth="1"/>
  </cols>
  <sheetData>
    <row r="1" spans="1:34" ht="28.8" customHeight="1">
      <c r="A1" s="26" t="s">
        <v>223</v>
      </c>
      <c r="B1" s="198"/>
      <c r="C1" s="195"/>
      <c r="D1" s="195"/>
      <c r="E1" s="201" t="s">
        <v>224</v>
      </c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9">
        <f>'(Fill In) SIAO'!C7</f>
        <v>0</v>
      </c>
      <c r="AC1" s="195"/>
      <c r="AD1" s="195"/>
      <c r="AE1" s="195"/>
      <c r="AF1" s="195"/>
      <c r="AG1" s="195"/>
      <c r="AH1" s="195"/>
    </row>
    <row r="2" spans="1:34" ht="18.45" customHeight="1">
      <c r="A2" s="197"/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</row>
    <row r="3" spans="1:34" ht="18.45" customHeight="1">
      <c r="A3" s="196" t="s">
        <v>225</v>
      </c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</row>
    <row r="4" spans="1:34" ht="18.45" customHeight="1">
      <c r="A4" s="27"/>
      <c r="B4" s="27">
        <v>31</v>
      </c>
      <c r="C4" s="27">
        <v>1</v>
      </c>
      <c r="D4" s="27">
        <v>2</v>
      </c>
      <c r="E4" s="27">
        <v>3</v>
      </c>
      <c r="F4" s="27">
        <v>4</v>
      </c>
      <c r="G4" s="27">
        <v>5</v>
      </c>
      <c r="H4" s="27">
        <v>6</v>
      </c>
      <c r="I4" s="27">
        <v>7</v>
      </c>
      <c r="J4" s="27">
        <v>8</v>
      </c>
      <c r="K4" s="27">
        <v>9</v>
      </c>
      <c r="L4" s="27">
        <v>10</v>
      </c>
      <c r="M4" s="27">
        <v>11</v>
      </c>
      <c r="N4" s="27">
        <v>12</v>
      </c>
      <c r="O4" s="27">
        <v>13</v>
      </c>
      <c r="P4" s="27">
        <v>14</v>
      </c>
      <c r="Q4" s="27">
        <v>15</v>
      </c>
      <c r="R4" s="27">
        <v>16</v>
      </c>
      <c r="S4" s="27">
        <v>17</v>
      </c>
      <c r="T4" s="27">
        <v>18</v>
      </c>
      <c r="U4" s="27">
        <v>19</v>
      </c>
      <c r="V4" s="27">
        <v>20</v>
      </c>
      <c r="W4" s="27">
        <v>21</v>
      </c>
      <c r="X4" s="27">
        <v>22</v>
      </c>
      <c r="Y4" s="27">
        <v>23</v>
      </c>
      <c r="Z4" s="27">
        <v>24</v>
      </c>
      <c r="AA4" s="27">
        <v>25</v>
      </c>
      <c r="AB4" s="27">
        <v>26</v>
      </c>
      <c r="AC4" s="27">
        <v>27</v>
      </c>
      <c r="AD4" s="27">
        <v>28</v>
      </c>
      <c r="AE4" s="27">
        <v>29</v>
      </c>
      <c r="AF4" s="27">
        <v>30</v>
      </c>
      <c r="AG4" s="35">
        <v>31</v>
      </c>
      <c r="AH4" s="36">
        <v>1</v>
      </c>
    </row>
    <row r="5" spans="1:34" ht="18.45" customHeight="1">
      <c r="A5" s="29" t="s">
        <v>38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1"/>
    </row>
    <row r="6" spans="1:34" ht="18.45" customHeight="1">
      <c r="A6" s="29" t="s">
        <v>39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1"/>
    </row>
    <row r="7" spans="1:34" ht="18" customHeight="1">
      <c r="A7" s="29" t="s">
        <v>40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1"/>
    </row>
    <row r="8" spans="1:34" ht="18.45" customHeight="1">
      <c r="A8" s="31" t="s">
        <v>41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1"/>
    </row>
    <row r="9" spans="1:34" ht="18.45" customHeight="1">
      <c r="A9" s="29" t="s">
        <v>42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1"/>
    </row>
    <row r="10" spans="1:34" ht="18.45" customHeight="1">
      <c r="A10" s="29" t="s">
        <v>43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29"/>
    </row>
    <row r="11" spans="1:34" ht="18.45" customHeight="1">
      <c r="A11" s="29" t="s">
        <v>44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29"/>
    </row>
    <row r="12" spans="1:34" ht="18.45" customHeight="1">
      <c r="A12" s="29" t="s">
        <v>45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29"/>
    </row>
    <row r="13" spans="1:34" ht="18.45" customHeight="1">
      <c r="A13" s="29" t="s">
        <v>46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1"/>
    </row>
    <row r="14" spans="1:34" ht="18.45" customHeight="1">
      <c r="A14" s="29" t="s">
        <v>47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1"/>
    </row>
    <row r="15" spans="1:34" ht="18.45" customHeight="1">
      <c r="A15" s="194"/>
      <c r="B15" s="195"/>
      <c r="C15" s="195"/>
      <c r="D15" s="195"/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5"/>
    </row>
    <row r="16" spans="1:34" ht="18.45" customHeight="1">
      <c r="A16" s="196" t="s">
        <v>226</v>
      </c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  <c r="AH16" s="195"/>
    </row>
    <row r="17" spans="1:34" ht="18.45" customHeight="1">
      <c r="A17" s="27"/>
      <c r="B17" s="27">
        <v>31</v>
      </c>
      <c r="C17" s="27">
        <v>1</v>
      </c>
      <c r="D17" s="27">
        <v>2</v>
      </c>
      <c r="E17" s="27">
        <v>3</v>
      </c>
      <c r="F17" s="27">
        <v>4</v>
      </c>
      <c r="G17" s="27">
        <v>5</v>
      </c>
      <c r="H17" s="27">
        <v>6</v>
      </c>
      <c r="I17" s="27">
        <v>7</v>
      </c>
      <c r="J17" s="27">
        <v>8</v>
      </c>
      <c r="K17" s="27">
        <v>9</v>
      </c>
      <c r="L17" s="27">
        <v>10</v>
      </c>
      <c r="M17" s="27">
        <v>11</v>
      </c>
      <c r="N17" s="27">
        <v>12</v>
      </c>
      <c r="O17" s="27">
        <v>13</v>
      </c>
      <c r="P17" s="27">
        <v>14</v>
      </c>
      <c r="Q17" s="27">
        <v>15</v>
      </c>
      <c r="R17" s="27">
        <v>16</v>
      </c>
      <c r="S17" s="27">
        <v>17</v>
      </c>
      <c r="T17" s="27">
        <v>18</v>
      </c>
      <c r="U17" s="27">
        <v>19</v>
      </c>
      <c r="V17" s="27">
        <v>20</v>
      </c>
      <c r="W17" s="27">
        <v>21</v>
      </c>
      <c r="X17" s="27">
        <v>22</v>
      </c>
      <c r="Y17" s="27">
        <v>23</v>
      </c>
      <c r="Z17" s="27">
        <v>24</v>
      </c>
      <c r="AA17" s="27">
        <v>25</v>
      </c>
      <c r="AB17" s="27">
        <v>26</v>
      </c>
      <c r="AC17" s="27">
        <v>27</v>
      </c>
      <c r="AD17" s="27">
        <v>28</v>
      </c>
      <c r="AE17" s="27">
        <v>29</v>
      </c>
      <c r="AF17" s="27">
        <v>30</v>
      </c>
      <c r="AG17" s="27">
        <v>31</v>
      </c>
      <c r="AH17" s="28">
        <v>1</v>
      </c>
    </row>
    <row r="18" spans="1:34" ht="18.45" customHeight="1">
      <c r="A18" s="29" t="s">
        <v>48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</row>
    <row r="19" spans="1:34" ht="18.45" customHeight="1">
      <c r="A19" s="29" t="s">
        <v>49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1"/>
    </row>
    <row r="20" spans="1:34" ht="18.45" customHeight="1">
      <c r="A20" s="29" t="s">
        <v>50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1"/>
    </row>
    <row r="21" spans="1:34" ht="18.45" customHeight="1">
      <c r="A21" s="29" t="s">
        <v>51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1"/>
    </row>
    <row r="22" spans="1:34" ht="18.45" customHeight="1">
      <c r="A22" s="29" t="s">
        <v>52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1"/>
    </row>
    <row r="23" spans="1:34" ht="18.45" customHeight="1">
      <c r="A23" s="29" t="s">
        <v>53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1"/>
    </row>
    <row r="24" spans="1:34" ht="18.45" customHeight="1">
      <c r="A24" s="29" t="s">
        <v>54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1"/>
    </row>
    <row r="25" spans="1:34" ht="18.45" customHeight="1">
      <c r="A25" s="31" t="s">
        <v>55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1"/>
    </row>
    <row r="26" spans="1:34" ht="18.45" customHeight="1">
      <c r="A26" s="31" t="s">
        <v>56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1"/>
    </row>
    <row r="27" spans="1:34" ht="18.45" customHeight="1">
      <c r="A27" s="29" t="s">
        <v>57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1"/>
    </row>
    <row r="28" spans="1:34" ht="18.45" customHeight="1">
      <c r="A28" s="29" t="s">
        <v>59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3"/>
      <c r="U28" s="33"/>
      <c r="V28" s="33"/>
      <c r="W28" s="33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1"/>
    </row>
    <row r="29" spans="1:34" ht="18.45" customHeight="1">
      <c r="A29" s="29" t="s">
        <v>58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1"/>
    </row>
    <row r="30" spans="1:34" ht="18.45" customHeight="1">
      <c r="A30" s="29" t="s">
        <v>157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1"/>
    </row>
    <row r="31" spans="1:34" ht="18.45" customHeight="1">
      <c r="A31" s="200"/>
      <c r="B31" s="184"/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84"/>
      <c r="AB31" s="184"/>
      <c r="AC31" s="184"/>
      <c r="AD31" s="184"/>
      <c r="AE31" s="184"/>
      <c r="AF31" s="184"/>
      <c r="AG31" s="184"/>
      <c r="AH31" s="185"/>
    </row>
    <row r="32" spans="1:34" s="193" customFormat="1" ht="18.45" customHeight="1"/>
    <row r="33" spans="1:14" s="34" customFormat="1"/>
    <row r="34" spans="1:14">
      <c r="A34" s="34"/>
    </row>
    <row r="36" spans="1:14">
      <c r="N36" s="32"/>
    </row>
  </sheetData>
  <mergeCells count="9">
    <mergeCell ref="A32:XFD32"/>
    <mergeCell ref="A15:AH15"/>
    <mergeCell ref="A16:AH16"/>
    <mergeCell ref="A2:AH2"/>
    <mergeCell ref="B1:D1"/>
    <mergeCell ref="AB1:AH1"/>
    <mergeCell ref="A31:AH31"/>
    <mergeCell ref="E1:AA1"/>
    <mergeCell ref="A3:AH3"/>
  </mergeCells>
  <pageMargins left="0.78749999999999998" right="0.78749999999999998" top="1.0249999999999999" bottom="1.0249999999999999" header="0.78749999999999998" footer="0.78749999999999998"/>
  <pageSetup paperSize="9" scale="58" firstPageNumber="0" orientation="landscape" horizontalDpi="300" verticalDpi="300"/>
  <headerFooter alignWithMargins="0">
    <oddHeader>&amp;C&amp;"Arial,Regular"&amp;10 &amp;A</oddHeader>
    <oddFooter>&amp;C&amp;"Arial,Regular"&amp;10 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4"/>
  <dimension ref="A1:BS83"/>
  <sheetViews>
    <sheetView topLeftCell="A13" zoomScale="74" workbookViewId="0">
      <selection activeCell="A28" sqref="A28"/>
    </sheetView>
  </sheetViews>
  <sheetFormatPr defaultRowHeight="14.4"/>
  <cols>
    <col min="1" max="1" width="42.77734375" style="114" bestFit="1" customWidth="1"/>
    <col min="2" max="2" width="8.21875" style="126" customWidth="1"/>
    <col min="3" max="3" width="4.21875" style="2" customWidth="1"/>
    <col min="4" max="4" width="4.5546875" style="2" customWidth="1"/>
    <col min="5" max="10" width="4" style="2" customWidth="1"/>
    <col min="11" max="11" width="4.44140625" style="2" customWidth="1"/>
    <col min="12" max="35" width="4" style="2" customWidth="1"/>
    <col min="36" max="36" width="9.44140625" style="114" customWidth="1"/>
    <col min="37" max="37" width="3.77734375" style="114" hidden="1" customWidth="1"/>
    <col min="38" max="38" width="3" style="114" hidden="1" customWidth="1"/>
    <col min="39" max="39" width="13.21875" style="114" hidden="1" customWidth="1"/>
    <col min="40" max="40" width="8" style="114" hidden="1" customWidth="1"/>
    <col min="41" max="43" width="8.21875" style="114" hidden="1" customWidth="1"/>
    <col min="44" max="44" width="9.21875" style="114" hidden="1" customWidth="1"/>
    <col min="45" max="45" width="16.77734375" style="114" hidden="1" customWidth="1"/>
    <col min="46" max="46" width="10.77734375" style="114" hidden="1" customWidth="1"/>
    <col min="47" max="47" width="12.21875" style="114" hidden="1" customWidth="1"/>
    <col min="48" max="58" width="9.21875" style="114" hidden="1" customWidth="1"/>
    <col min="59" max="59" width="9.21875" style="114" customWidth="1"/>
  </cols>
  <sheetData>
    <row r="1" spans="1:58">
      <c r="A1" s="58">
        <v>45017</v>
      </c>
      <c r="B1" s="6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126"/>
    </row>
    <row r="2" spans="1:58">
      <c r="A2" s="8"/>
      <c r="B2" s="12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N2" s="186" t="s">
        <v>3</v>
      </c>
      <c r="AO2" s="187"/>
      <c r="AP2" s="126"/>
      <c r="AQ2" s="186" t="s">
        <v>60</v>
      </c>
      <c r="AR2" s="187"/>
      <c r="AS2" s="186" t="s">
        <v>89</v>
      </c>
      <c r="AT2" s="187"/>
      <c r="AU2" s="186" t="s">
        <v>90</v>
      </c>
      <c r="AV2" s="187"/>
      <c r="AW2" s="186" t="s">
        <v>148</v>
      </c>
      <c r="AX2" s="187"/>
      <c r="AY2" s="186" t="s">
        <v>92</v>
      </c>
      <c r="AZ2" s="187"/>
      <c r="BA2" s="186" t="s">
        <v>149</v>
      </c>
      <c r="BB2" s="187"/>
      <c r="BC2" s="186" t="s">
        <v>150</v>
      </c>
      <c r="BD2" s="187"/>
      <c r="BE2" s="186" t="s">
        <v>96</v>
      </c>
      <c r="BF2" s="187"/>
    </row>
    <row r="3" spans="1:58">
      <c r="A3" s="7" t="s">
        <v>89</v>
      </c>
      <c r="B3" s="1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</row>
    <row r="4" spans="1:58">
      <c r="A4" s="75"/>
      <c r="B4" s="11" t="s">
        <v>154</v>
      </c>
      <c r="C4" s="112">
        <f>EOMONTH($A$1,-1)</f>
        <v>45016</v>
      </c>
      <c r="D4" s="112">
        <f t="shared" ref="D4:AI4" si="0">C4+1</f>
        <v>45017</v>
      </c>
      <c r="E4" s="112">
        <f t="shared" si="0"/>
        <v>45018</v>
      </c>
      <c r="F4" s="112">
        <f t="shared" si="0"/>
        <v>45019</v>
      </c>
      <c r="G4" s="112">
        <f t="shared" si="0"/>
        <v>45020</v>
      </c>
      <c r="H4" s="112">
        <f t="shared" si="0"/>
        <v>45021</v>
      </c>
      <c r="I4" s="112">
        <f t="shared" si="0"/>
        <v>45022</v>
      </c>
      <c r="J4" s="112">
        <f t="shared" si="0"/>
        <v>45023</v>
      </c>
      <c r="K4" s="112">
        <f t="shared" si="0"/>
        <v>45024</v>
      </c>
      <c r="L4" s="112">
        <f t="shared" si="0"/>
        <v>45025</v>
      </c>
      <c r="M4" s="112">
        <f t="shared" si="0"/>
        <v>45026</v>
      </c>
      <c r="N4" s="112">
        <f t="shared" si="0"/>
        <v>45027</v>
      </c>
      <c r="O4" s="112">
        <f t="shared" si="0"/>
        <v>45028</v>
      </c>
      <c r="P4" s="112">
        <f t="shared" si="0"/>
        <v>45029</v>
      </c>
      <c r="Q4" s="112">
        <f t="shared" si="0"/>
        <v>45030</v>
      </c>
      <c r="R4" s="112">
        <f t="shared" si="0"/>
        <v>45031</v>
      </c>
      <c r="S4" s="112">
        <f t="shared" si="0"/>
        <v>45032</v>
      </c>
      <c r="T4" s="112">
        <f t="shared" si="0"/>
        <v>45033</v>
      </c>
      <c r="U4" s="112">
        <f t="shared" si="0"/>
        <v>45034</v>
      </c>
      <c r="V4" s="112">
        <f t="shared" si="0"/>
        <v>45035</v>
      </c>
      <c r="W4" s="112">
        <f t="shared" si="0"/>
        <v>45036</v>
      </c>
      <c r="X4" s="112">
        <f t="shared" si="0"/>
        <v>45037</v>
      </c>
      <c r="Y4" s="112">
        <f t="shared" si="0"/>
        <v>45038</v>
      </c>
      <c r="Z4" s="112">
        <f t="shared" si="0"/>
        <v>45039</v>
      </c>
      <c r="AA4" s="112">
        <f t="shared" si="0"/>
        <v>45040</v>
      </c>
      <c r="AB4" s="112">
        <f t="shared" si="0"/>
        <v>45041</v>
      </c>
      <c r="AC4" s="112">
        <f t="shared" si="0"/>
        <v>45042</v>
      </c>
      <c r="AD4" s="112">
        <f t="shared" si="0"/>
        <v>45043</v>
      </c>
      <c r="AE4" s="112">
        <f t="shared" si="0"/>
        <v>45044</v>
      </c>
      <c r="AF4" s="112">
        <f t="shared" si="0"/>
        <v>45045</v>
      </c>
      <c r="AG4" s="112">
        <f t="shared" si="0"/>
        <v>45046</v>
      </c>
      <c r="AH4" s="112">
        <f t="shared" si="0"/>
        <v>45047</v>
      </c>
      <c r="AI4" s="112">
        <f t="shared" si="0"/>
        <v>45048</v>
      </c>
      <c r="AN4" s="126"/>
      <c r="AO4" s="126"/>
      <c r="AP4" s="126"/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</row>
    <row r="5" spans="1:58">
      <c r="A5" s="75" t="s">
        <v>158</v>
      </c>
      <c r="B5" s="74">
        <v>12</v>
      </c>
      <c r="C5" s="84" t="str">
        <f t="array" aca="1" ref="C5" ca="1">IF(OR((C$4&gt;=$AS$11:$AS$74)*(C$4&lt;=$AT$11:$AT$74)&gt;0),$B5,"")</f>
        <v/>
      </c>
      <c r="D5" s="84" t="str">
        <f t="array" aca="1" ref="D5" ca="1">IF(OR((D$4&gt;=$AS$11:$AS$74)*(D$4&lt;=$AT$11:$AT$74)&gt;0),$B5,"")</f>
        <v/>
      </c>
      <c r="E5" s="84" t="str">
        <f t="array" aca="1" ref="E5" ca="1">IF(OR((E$4&gt;=$AS$11:$AS$74)*(E$4&lt;=$AT$11:$AT$74)&gt;0),$B5,"")</f>
        <v/>
      </c>
      <c r="F5" s="84" t="str">
        <f t="array" aca="1" ref="F5" ca="1">IF(OR((F$4&gt;=$AS$11:$AS$74)*(F$4&lt;=$AT$11:$AT$74)&gt;0),$B5,"")</f>
        <v/>
      </c>
      <c r="G5" s="84" t="str">
        <f t="array" aca="1" ref="G5" ca="1">IF(OR((G$4&gt;=$AS$11:$AS$74)*(G$4&lt;=$AT$11:$AT$74)&gt;0),$B5,"")</f>
        <v/>
      </c>
      <c r="H5" s="84" t="str">
        <f t="array" aca="1" ref="H5" ca="1">IF(OR((H$4&gt;=$AS$11:$AS$74)*(H$4&lt;=$AT$11:$AT$74)&gt;0),$B5,"")</f>
        <v/>
      </c>
      <c r="I5" s="84" t="str">
        <f t="array" aca="1" ref="I5" ca="1">IF(OR((I$4&gt;=$AS$11:$AS$74)*(I$4&lt;=$AT$11:$AT$74)&gt;0),$B5,"")</f>
        <v/>
      </c>
      <c r="J5" s="84" t="str">
        <f t="array" aca="1" ref="J5" ca="1">IF(OR((J$4&gt;=$AS$11:$AS$74)*(J$4&lt;=$AT$11:$AT$74)&gt;0),$B5,"")</f>
        <v/>
      </c>
      <c r="K5" s="84" t="str">
        <f t="array" aca="1" ref="K5" ca="1">IF(OR((K$4&gt;=$AS$11:$AS$74)*(K$4&lt;=$AT$11:$AT$74)&gt;0),$B5,"")</f>
        <v/>
      </c>
      <c r="L5" s="84" t="str">
        <f t="array" aca="1" ref="L5" ca="1">IF(OR((L$4&gt;=$AS$11:$AS$74)*(L$4&lt;=$AT$11:$AT$74)&gt;0),$B5,"")</f>
        <v/>
      </c>
      <c r="M5" s="84" t="str">
        <f t="array" aca="1" ref="M5" ca="1">IF(OR((M$4&gt;=$AS$11:$AS$74)*(M$4&lt;=$AT$11:$AT$74)&gt;0),$B5,"")</f>
        <v/>
      </c>
      <c r="N5" s="84" t="str">
        <f t="array" aca="1" ref="N5" ca="1">IF(OR((N$4&gt;=$AS$11:$AS$74)*(N$4&lt;=$AT$11:$AT$74)&gt;0),$B5,"")</f>
        <v/>
      </c>
      <c r="O5" s="84" t="str">
        <f t="array" aca="1" ref="O5" ca="1">IF(OR((O$4&gt;=$AS$11:$AS$74)*(O$4&lt;=$AT$11:$AT$74)&gt;0),$B5,"")</f>
        <v/>
      </c>
      <c r="P5" s="84" t="str">
        <f t="array" aca="1" ref="P5" ca="1">IF(OR((P$4&gt;=$AS$11:$AS$74)*(P$4&lt;=$AT$11:$AT$74)&gt;0),$B5,"")</f>
        <v/>
      </c>
      <c r="Q5" s="84" t="str">
        <f t="array" aca="1" ref="Q5" ca="1">IF(OR((Q$4&gt;=$AS$11:$AS$74)*(Q$4&lt;=$AT$11:$AT$74)&gt;0),$B5,"")</f>
        <v/>
      </c>
      <c r="R5" s="84" t="str">
        <f t="array" aca="1" ref="R5" ca="1">IF(OR((R$4&gt;=$AS$11:$AS$74)*(R$4&lt;=$AT$11:$AT$74)&gt;0),$B5,"")</f>
        <v/>
      </c>
      <c r="S5" s="84" t="str">
        <f t="array" aca="1" ref="S5" ca="1">IF(OR((S$4&gt;=$AS$11:$AS$74)*(S$4&lt;=$AT$11:$AT$74)&gt;0),$B5,"")</f>
        <v/>
      </c>
      <c r="T5" s="84" t="str">
        <f t="array" aca="1" ref="T5" ca="1">IF(OR((T$4&gt;=$AS$11:$AS$74)*(T$4&lt;=$AT$11:$AT$74)&gt;0),$B5,"")</f>
        <v/>
      </c>
      <c r="U5" s="84" t="str">
        <f t="array" aca="1" ref="U5" ca="1">IF(OR((U$4&gt;=$AS$11:$AS$74)*(U$4&lt;=$AT$11:$AT$74)&gt;0),$B5,"")</f>
        <v/>
      </c>
      <c r="V5" s="84" t="str">
        <f t="array" aca="1" ref="V5" ca="1">IF(OR((V$4&gt;=$AS$11:$AS$74)*(V$4&lt;=$AT$11:$AT$74)&gt;0),$B5,"")</f>
        <v/>
      </c>
      <c r="W5" s="84" t="str">
        <f t="array" aca="1" ref="W5" ca="1">IF(OR((W$4&gt;=$AS$11:$AS$74)*(W$4&lt;=$AT$11:$AT$74)&gt;0),$B5,"")</f>
        <v/>
      </c>
      <c r="X5" s="84" t="str">
        <f t="array" aca="1" ref="X5" ca="1">IF(OR((X$4&gt;=$AS$11:$AS$74)*(X$4&lt;=$AT$11:$AT$74)&gt;0),$B5,"")</f>
        <v/>
      </c>
      <c r="Y5" s="84" t="str">
        <f t="array" aca="1" ref="Y5" ca="1">IF(OR((Y$4&gt;=$AS$11:$AS$74)*(Y$4&lt;=$AT$11:$AT$74)&gt;0),$B5,"")</f>
        <v/>
      </c>
      <c r="Z5" s="84" t="str">
        <f t="array" aca="1" ref="Z5" ca="1">IF(OR((Z$4&gt;=$AS$11:$AS$74)*(Z$4&lt;=$AT$11:$AT$74)&gt;0),$B5,"")</f>
        <v/>
      </c>
      <c r="AA5" s="84" t="str">
        <f t="array" aca="1" ref="AA5" ca="1">IF(OR((AA$4&gt;=$AS$11:$AS$74)*(AA$4&lt;=$AT$11:$AT$74)&gt;0),$B5,"")</f>
        <v/>
      </c>
      <c r="AB5" s="84" t="str">
        <f t="array" aca="1" ref="AB5" ca="1">IF(OR((AB$4&gt;=$AS$11:$AS$74)*(AB$4&lt;=$AT$11:$AT$74)&gt;0),$B5,"")</f>
        <v/>
      </c>
      <c r="AC5" s="84" t="str">
        <f t="array" aca="1" ref="AC5" ca="1">IF(OR((AC$4&gt;=$AS$11:$AS$74)*(AC$4&lt;=$AT$11:$AT$74)&gt;0),$B5,"")</f>
        <v/>
      </c>
      <c r="AD5" s="84" t="str">
        <f t="array" aca="1" ref="AD5" ca="1">IF(OR((AD$4&gt;=$AS$11:$AS$74)*(AD$4&lt;=$AT$11:$AT$74)&gt;0),$B5,"")</f>
        <v/>
      </c>
      <c r="AE5" s="84" t="str">
        <f t="array" aca="1" ref="AE5" ca="1">IF(OR((AE$4&gt;=$AS$11:$AS$74)*(AE$4&lt;=$AT$11:$AT$74)&gt;0),$B5,"")</f>
        <v/>
      </c>
      <c r="AF5" s="84" t="str">
        <f t="array" aca="1" ref="AF5" ca="1">IF(OR((AF$4&gt;=$AS$11:$AS$74)*(AF$4&lt;=$AT$11:$AT$74)&gt;0),$B5,"")</f>
        <v/>
      </c>
      <c r="AG5" s="84" t="str">
        <f t="array" aca="1" ref="AG5" ca="1">IF(OR((AG$4&gt;=$AS$11:$AS$74)*(AG$4&lt;=$AT$11:$AT$74)&gt;0),$B5,"")</f>
        <v/>
      </c>
      <c r="AH5" s="84" t="str">
        <f t="array" aca="1" ref="AH5" ca="1">IF(OR((AH$4&gt;=$AS$11:$AS$74)*(AH$4&lt;=$AT$11:$AT$74)&gt;0),$B5,"")</f>
        <v/>
      </c>
      <c r="AI5" s="84" t="str">
        <f t="array" aca="1" ref="AI5" ca="1">IF(OR((AI$4&gt;=$AS$11:$AS$74)*(AI$4&lt;=$AT$11:$AT$74)&gt;0),$B5,"")</f>
        <v/>
      </c>
      <c r="AN5" s="126"/>
      <c r="AO5" s="126"/>
      <c r="AP5" s="126"/>
      <c r="AQ5" s="126"/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6"/>
      <c r="BF5" s="126"/>
    </row>
    <row r="6" spans="1:58">
      <c r="A6" s="75" t="s">
        <v>159</v>
      </c>
      <c r="B6" s="74">
        <v>12</v>
      </c>
      <c r="C6" s="84" t="str">
        <f t="array" aca="1" ref="C6" ca="1">IF(OR((C$4&gt;=$AS$11:$AS$74)*(C$4&lt;=$AT$11:$AT$74)&gt;0),$B6,"")</f>
        <v/>
      </c>
      <c r="D6" s="84" t="str">
        <f t="array" aca="1" ref="D6" ca="1">IF(OR((D$4&gt;=$AS$11:$AS$74)*(D$4&lt;=$AT$11:$AT$74)&gt;0),$B6,"")</f>
        <v/>
      </c>
      <c r="E6" s="84" t="str">
        <f t="array" aca="1" ref="E6" ca="1">IF(OR((E$4&gt;=$AS$11:$AS$74)*(E$4&lt;=$AT$11:$AT$74)&gt;0),$B6,"")</f>
        <v/>
      </c>
      <c r="F6" s="84" t="str">
        <f t="array" aca="1" ref="F6" ca="1">IF(OR((F$4&gt;=$AS$11:$AS$74)*(F$4&lt;=$AT$11:$AT$74)&gt;0),$B6,"")</f>
        <v/>
      </c>
      <c r="G6" s="84" t="str">
        <f t="array" aca="1" ref="G6" ca="1">IF(OR((G$4&gt;=$AS$11:$AS$74)*(G$4&lt;=$AT$11:$AT$74)&gt;0),$B6,"")</f>
        <v/>
      </c>
      <c r="H6" s="84" t="str">
        <f t="array" aca="1" ref="H6" ca="1">IF(OR((H$4&gt;=$AS$11:$AS$74)*(H$4&lt;=$AT$11:$AT$74)&gt;0),$B6,"")</f>
        <v/>
      </c>
      <c r="I6" s="84" t="str">
        <f t="array" aca="1" ref="I6" ca="1">IF(OR((I$4&gt;=$AS$11:$AS$74)*(I$4&lt;=$AT$11:$AT$74)&gt;0),$B6,"")</f>
        <v/>
      </c>
      <c r="J6" s="84" t="str">
        <f t="array" aca="1" ref="J6" ca="1">IF(OR((J$4&gt;=$AS$11:$AS$74)*(J$4&lt;=$AT$11:$AT$74)&gt;0),$B6,"")</f>
        <v/>
      </c>
      <c r="K6" s="84" t="str">
        <f t="array" aca="1" ref="K6" ca="1">IF(OR((K$4&gt;=$AS$11:$AS$74)*(K$4&lt;=$AT$11:$AT$74)&gt;0),$B6,"")</f>
        <v/>
      </c>
      <c r="L6" s="84" t="str">
        <f t="array" aca="1" ref="L6" ca="1">IF(OR((L$4&gt;=$AS$11:$AS$74)*(L$4&lt;=$AT$11:$AT$74)&gt;0),$B6,"")</f>
        <v/>
      </c>
      <c r="M6" s="84" t="str">
        <f t="array" aca="1" ref="M6" ca="1">IF(OR((M$4&gt;=$AS$11:$AS$74)*(M$4&lt;=$AT$11:$AT$74)&gt;0),$B6,"")</f>
        <v/>
      </c>
      <c r="N6" s="84" t="str">
        <f t="array" aca="1" ref="N6" ca="1">IF(OR((N$4&gt;=$AS$11:$AS$74)*(N$4&lt;=$AT$11:$AT$74)&gt;0),$B6,"")</f>
        <v/>
      </c>
      <c r="O6" s="84" t="str">
        <f t="array" aca="1" ref="O6" ca="1">IF(OR((O$4&gt;=$AS$11:$AS$74)*(O$4&lt;=$AT$11:$AT$74)&gt;0),$B6,"")</f>
        <v/>
      </c>
      <c r="P6" s="84" t="str">
        <f t="array" aca="1" ref="P6" ca="1">IF(OR((P$4&gt;=$AS$11:$AS$74)*(P$4&lt;=$AT$11:$AT$74)&gt;0),$B6,"")</f>
        <v/>
      </c>
      <c r="Q6" s="84" t="str">
        <f t="array" aca="1" ref="Q6" ca="1">IF(OR((Q$4&gt;=$AS$11:$AS$74)*(Q$4&lt;=$AT$11:$AT$74)&gt;0),$B6,"")</f>
        <v/>
      </c>
      <c r="R6" s="84" t="str">
        <f t="array" aca="1" ref="R6" ca="1">IF(OR((R$4&gt;=$AS$11:$AS$74)*(R$4&lt;=$AT$11:$AT$74)&gt;0),$B6,"")</f>
        <v/>
      </c>
      <c r="S6" s="84" t="str">
        <f t="array" aca="1" ref="S6" ca="1">IF(OR((S$4&gt;=$AS$11:$AS$74)*(S$4&lt;=$AT$11:$AT$74)&gt;0),$B6,"")</f>
        <v/>
      </c>
      <c r="T6" s="84" t="str">
        <f t="array" aca="1" ref="T6" ca="1">IF(OR((T$4&gt;=$AS$11:$AS$74)*(T$4&lt;=$AT$11:$AT$74)&gt;0),$B6,"")</f>
        <v/>
      </c>
      <c r="U6" s="84" t="str">
        <f t="array" aca="1" ref="U6" ca="1">IF(OR((U$4&gt;=$AS$11:$AS$74)*(U$4&lt;=$AT$11:$AT$74)&gt;0),$B6,"")</f>
        <v/>
      </c>
      <c r="V6" s="84" t="str">
        <f t="array" aca="1" ref="V6" ca="1">IF(OR((V$4&gt;=$AS$11:$AS$74)*(V$4&lt;=$AT$11:$AT$74)&gt;0),$B6,"")</f>
        <v/>
      </c>
      <c r="W6" s="84" t="str">
        <f t="array" aca="1" ref="W6" ca="1">IF(OR((W$4&gt;=$AS$11:$AS$74)*(W$4&lt;=$AT$11:$AT$74)&gt;0),$B6,"")</f>
        <v/>
      </c>
      <c r="X6" s="84" t="str">
        <f t="array" aca="1" ref="X6" ca="1">IF(OR((X$4&gt;=$AS$11:$AS$74)*(X$4&lt;=$AT$11:$AT$74)&gt;0),$B6,"")</f>
        <v/>
      </c>
      <c r="Y6" s="84" t="str">
        <f t="array" aca="1" ref="Y6" ca="1">IF(OR((Y$4&gt;=$AS$11:$AS$74)*(Y$4&lt;=$AT$11:$AT$74)&gt;0),$B6,"")</f>
        <v/>
      </c>
      <c r="Z6" s="84" t="str">
        <f t="array" aca="1" ref="Z6" ca="1">IF(OR((Z$4&gt;=$AS$11:$AS$74)*(Z$4&lt;=$AT$11:$AT$74)&gt;0),$B6,"")</f>
        <v/>
      </c>
      <c r="AA6" s="84" t="str">
        <f t="array" aca="1" ref="AA6" ca="1">IF(OR((AA$4&gt;=$AS$11:$AS$74)*(AA$4&lt;=$AT$11:$AT$74)&gt;0),$B6,"")</f>
        <v/>
      </c>
      <c r="AB6" s="84" t="str">
        <f t="array" aca="1" ref="AB6" ca="1">IF(OR((AB$4&gt;=$AS$11:$AS$74)*(AB$4&lt;=$AT$11:$AT$74)&gt;0),$B6,"")</f>
        <v/>
      </c>
      <c r="AC6" s="84" t="str">
        <f t="array" aca="1" ref="AC6" ca="1">IF(OR((AC$4&gt;=$AS$11:$AS$74)*(AC$4&lt;=$AT$11:$AT$74)&gt;0),$B6,"")</f>
        <v/>
      </c>
      <c r="AD6" s="84" t="str">
        <f t="array" aca="1" ref="AD6" ca="1">IF(OR((AD$4&gt;=$AS$11:$AS$74)*(AD$4&lt;=$AT$11:$AT$74)&gt;0),$B6,"")</f>
        <v/>
      </c>
      <c r="AE6" s="84" t="str">
        <f t="array" aca="1" ref="AE6" ca="1">IF(OR((AE$4&gt;=$AS$11:$AS$74)*(AE$4&lt;=$AT$11:$AT$74)&gt;0),$B6,"")</f>
        <v/>
      </c>
      <c r="AF6" s="84" t="str">
        <f t="array" aca="1" ref="AF6" ca="1">IF(OR((AF$4&gt;=$AS$11:$AS$74)*(AF$4&lt;=$AT$11:$AT$74)&gt;0),$B6,"")</f>
        <v/>
      </c>
      <c r="AG6" s="84" t="str">
        <f t="array" aca="1" ref="AG6" ca="1">IF(OR((AG$4&gt;=$AS$11:$AS$74)*(AG$4&lt;=$AT$11:$AT$74)&gt;0),$B6,"")</f>
        <v/>
      </c>
      <c r="AH6" s="84" t="str">
        <f t="array" aca="1" ref="AH6" ca="1">IF(OR((AH$4&gt;=$AS$11:$AS$74)*(AH$4&lt;=$AT$11:$AT$74)&gt;0),$B6,"")</f>
        <v/>
      </c>
      <c r="AI6" s="84" t="str">
        <f t="array" aca="1" ref="AI6" ca="1">IF(OR((AI$4&gt;=$AS$11:$AS$74)*(AI$4&lt;=$AT$11:$AT$74)&gt;0),$B6,"")</f>
        <v/>
      </c>
      <c r="AN6" s="126"/>
      <c r="AO6" s="126"/>
      <c r="AP6" s="126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</row>
    <row r="7" spans="1:58">
      <c r="A7" s="75" t="s">
        <v>160</v>
      </c>
      <c r="B7" s="74">
        <v>12</v>
      </c>
      <c r="C7" s="84" t="str">
        <f t="array" aca="1" ref="C7" ca="1">IF(OR((C$4&gt;=$AS$11:$AS$74)*(C$4&lt;=$AT$11:$AT$74)&gt;0),$B7,"")</f>
        <v/>
      </c>
      <c r="D7" s="84" t="str">
        <f t="array" aca="1" ref="D7" ca="1">IF(OR((D$4&gt;=$AS$11:$AS$74)*(D$4&lt;=$AT$11:$AT$74)&gt;0),$B7,"")</f>
        <v/>
      </c>
      <c r="E7" s="84" t="str">
        <f t="array" aca="1" ref="E7" ca="1">IF(OR((E$4&gt;=$AS$11:$AS$74)*(E$4&lt;=$AT$11:$AT$74)&gt;0),$B7,"")</f>
        <v/>
      </c>
      <c r="F7" s="84" t="str">
        <f t="array" aca="1" ref="F7" ca="1">IF(OR((F$4&gt;=$AS$11:$AS$74)*(F$4&lt;=$AT$11:$AT$74)&gt;0),$B7,"")</f>
        <v/>
      </c>
      <c r="G7" s="84" t="str">
        <f t="array" aca="1" ref="G7" ca="1">IF(OR((G$4&gt;=$AS$11:$AS$74)*(G$4&lt;=$AT$11:$AT$74)&gt;0),$B7,"")</f>
        <v/>
      </c>
      <c r="H7" s="84" t="str">
        <f t="array" aca="1" ref="H7" ca="1">IF(OR((H$4&gt;=$AS$11:$AS$74)*(H$4&lt;=$AT$11:$AT$74)&gt;0),$B7,"")</f>
        <v/>
      </c>
      <c r="I7" s="84" t="str">
        <f t="array" aca="1" ref="I7" ca="1">IF(OR((I$4&gt;=$AS$11:$AS$74)*(I$4&lt;=$AT$11:$AT$74)&gt;0),$B7,"")</f>
        <v/>
      </c>
      <c r="J7" s="84" t="str">
        <f t="array" aca="1" ref="J7" ca="1">IF(OR((J$4&gt;=$AS$11:$AS$74)*(J$4&lt;=$AT$11:$AT$74)&gt;0),$B7,"")</f>
        <v/>
      </c>
      <c r="K7" s="84" t="str">
        <f t="array" aca="1" ref="K7" ca="1">IF(OR((K$4&gt;=$AS$11:$AS$74)*(K$4&lt;=$AT$11:$AT$74)&gt;0),$B7,"")</f>
        <v/>
      </c>
      <c r="L7" s="84" t="str">
        <f t="array" aca="1" ref="L7" ca="1">IF(OR((L$4&gt;=$AS$11:$AS$74)*(L$4&lt;=$AT$11:$AT$74)&gt;0),$B7,"")</f>
        <v/>
      </c>
      <c r="M7" s="84" t="str">
        <f t="array" aca="1" ref="M7" ca="1">IF(OR((M$4&gt;=$AS$11:$AS$74)*(M$4&lt;=$AT$11:$AT$74)&gt;0),$B7,"")</f>
        <v/>
      </c>
      <c r="N7" s="84" t="str">
        <f t="array" aca="1" ref="N7" ca="1">IF(OR((N$4&gt;=$AS$11:$AS$74)*(N$4&lt;=$AT$11:$AT$74)&gt;0),$B7,"")</f>
        <v/>
      </c>
      <c r="O7" s="84" t="str">
        <f t="array" aca="1" ref="O7" ca="1">IF(OR((O$4&gt;=$AS$11:$AS$74)*(O$4&lt;=$AT$11:$AT$74)&gt;0),$B7,"")</f>
        <v/>
      </c>
      <c r="P7" s="84" t="str">
        <f t="array" aca="1" ref="P7" ca="1">IF(OR((P$4&gt;=$AS$11:$AS$74)*(P$4&lt;=$AT$11:$AT$74)&gt;0),$B7,"")</f>
        <v/>
      </c>
      <c r="Q7" s="84" t="str">
        <f t="array" aca="1" ref="Q7" ca="1">IF(OR((Q$4&gt;=$AS$11:$AS$74)*(Q$4&lt;=$AT$11:$AT$74)&gt;0),$B7,"")</f>
        <v/>
      </c>
      <c r="R7" s="84" t="str">
        <f t="array" aca="1" ref="R7" ca="1">IF(OR((R$4&gt;=$AS$11:$AS$74)*(R$4&lt;=$AT$11:$AT$74)&gt;0),$B7,"")</f>
        <v/>
      </c>
      <c r="S7" s="84" t="str">
        <f t="array" aca="1" ref="S7" ca="1">IF(OR((S$4&gt;=$AS$11:$AS$74)*(S$4&lt;=$AT$11:$AT$74)&gt;0),$B7,"")</f>
        <v/>
      </c>
      <c r="T7" s="84" t="str">
        <f t="array" aca="1" ref="T7" ca="1">IF(OR((T$4&gt;=$AS$11:$AS$74)*(T$4&lt;=$AT$11:$AT$74)&gt;0),$B7,"")</f>
        <v/>
      </c>
      <c r="U7" s="84" t="str">
        <f t="array" aca="1" ref="U7" ca="1">IF(OR((U$4&gt;=$AS$11:$AS$74)*(U$4&lt;=$AT$11:$AT$74)&gt;0),$B7,"")</f>
        <v/>
      </c>
      <c r="V7" s="84" t="str">
        <f t="array" aca="1" ref="V7" ca="1">IF(OR((V$4&gt;=$AS$11:$AS$74)*(V$4&lt;=$AT$11:$AT$74)&gt;0),$B7,"")</f>
        <v/>
      </c>
      <c r="W7" s="84" t="str">
        <f t="array" aca="1" ref="W7" ca="1">IF(OR((W$4&gt;=$AS$11:$AS$74)*(W$4&lt;=$AT$11:$AT$74)&gt;0),$B7,"")</f>
        <v/>
      </c>
      <c r="X7" s="84" t="str">
        <f t="array" aca="1" ref="X7" ca="1">IF(OR((X$4&gt;=$AS$11:$AS$74)*(X$4&lt;=$AT$11:$AT$74)&gt;0),$B7,"")</f>
        <v/>
      </c>
      <c r="Y7" s="84" t="str">
        <f t="array" aca="1" ref="Y7" ca="1">IF(OR((Y$4&gt;=$AS$11:$AS$74)*(Y$4&lt;=$AT$11:$AT$74)&gt;0),$B7,"")</f>
        <v/>
      </c>
      <c r="Z7" s="84" t="str">
        <f t="array" aca="1" ref="Z7" ca="1">IF(OR((Z$4&gt;=$AS$11:$AS$74)*(Z$4&lt;=$AT$11:$AT$74)&gt;0),$B7,"")</f>
        <v/>
      </c>
      <c r="AA7" s="84" t="str">
        <f t="array" aca="1" ref="AA7" ca="1">IF(OR((AA$4&gt;=$AS$11:$AS$74)*(AA$4&lt;=$AT$11:$AT$74)&gt;0),$B7,"")</f>
        <v/>
      </c>
      <c r="AB7" s="84" t="str">
        <f t="array" aca="1" ref="AB7" ca="1">IF(OR((AB$4&gt;=$AS$11:$AS$74)*(AB$4&lt;=$AT$11:$AT$74)&gt;0),$B7,"")</f>
        <v/>
      </c>
      <c r="AC7" s="84" t="str">
        <f t="array" aca="1" ref="AC7" ca="1">IF(OR((AC$4&gt;=$AS$11:$AS$74)*(AC$4&lt;=$AT$11:$AT$74)&gt;0),$B7,"")</f>
        <v/>
      </c>
      <c r="AD7" s="84" t="str">
        <f t="array" aca="1" ref="AD7" ca="1">IF(OR((AD$4&gt;=$AS$11:$AS$74)*(AD$4&lt;=$AT$11:$AT$74)&gt;0),$B7,"")</f>
        <v/>
      </c>
      <c r="AE7" s="84" t="str">
        <f t="array" aca="1" ref="AE7" ca="1">IF(OR((AE$4&gt;=$AS$11:$AS$74)*(AE$4&lt;=$AT$11:$AT$74)&gt;0),$B7,"")</f>
        <v/>
      </c>
      <c r="AF7" s="84" t="str">
        <f t="array" aca="1" ref="AF7" ca="1">IF(OR((AF$4&gt;=$AS$11:$AS$74)*(AF$4&lt;=$AT$11:$AT$74)&gt;0),$B7,"")</f>
        <v/>
      </c>
      <c r="AG7" s="84" t="str">
        <f t="array" aca="1" ref="AG7" ca="1">IF(OR((AG$4&gt;=$AS$11:$AS$74)*(AG$4&lt;=$AT$11:$AT$74)&gt;0),$B7,"")</f>
        <v/>
      </c>
      <c r="AH7" s="84" t="str">
        <f t="array" aca="1" ref="AH7" ca="1">IF(OR((AH$4&gt;=$AS$11:$AS$74)*(AH$4&lt;=$AT$11:$AT$74)&gt;0),$B7,"")</f>
        <v/>
      </c>
      <c r="AI7" s="84" t="str">
        <f t="array" aca="1" ref="AI7" ca="1">IF(OR((AI$4&gt;=$AS$11:$AS$74)*(AI$4&lt;=$AT$11:$AT$74)&gt;0),$B7,"")</f>
        <v/>
      </c>
      <c r="AN7" s="126"/>
      <c r="AO7" s="126"/>
      <c r="AP7" s="126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</row>
    <row r="8" spans="1:58">
      <c r="A8" s="75" t="s">
        <v>161</v>
      </c>
      <c r="B8" s="74">
        <v>12</v>
      </c>
      <c r="C8" s="84" t="str">
        <f t="array" aca="1" ref="C8" ca="1">IF(OR((C$4&gt;=$AS$11:$AS$74)*(C$4&lt;=$AT$11:$AT$74)&gt;0),$B8,"")</f>
        <v/>
      </c>
      <c r="D8" s="84" t="str">
        <f t="array" aca="1" ref="D8" ca="1">IF(OR((D$4&gt;=$AS$11:$AS$74)*(D$4&lt;=$AT$11:$AT$74)&gt;0),$B8,"")</f>
        <v/>
      </c>
      <c r="E8" s="84" t="str">
        <f t="array" aca="1" ref="E8" ca="1">IF(OR((E$4&gt;=$AS$11:$AS$74)*(E$4&lt;=$AT$11:$AT$74)&gt;0),$B8,"")</f>
        <v/>
      </c>
      <c r="F8" s="84" t="str">
        <f t="array" aca="1" ref="F8" ca="1">IF(OR((F$4&gt;=$AS$11:$AS$74)*(F$4&lt;=$AT$11:$AT$74)&gt;0),$B8,"")</f>
        <v/>
      </c>
      <c r="G8" s="84" t="str">
        <f t="array" aca="1" ref="G8" ca="1">IF(OR((G$4&gt;=$AS$11:$AS$74)*(G$4&lt;=$AT$11:$AT$74)&gt;0),$B8,"")</f>
        <v/>
      </c>
      <c r="H8" s="84" t="str">
        <f t="array" aca="1" ref="H8" ca="1">IF(OR((H$4&gt;=$AS$11:$AS$74)*(H$4&lt;=$AT$11:$AT$74)&gt;0),$B8,"")</f>
        <v/>
      </c>
      <c r="I8" s="84" t="str">
        <f t="array" aca="1" ref="I8" ca="1">IF(OR((I$4&gt;=$AS$11:$AS$74)*(I$4&lt;=$AT$11:$AT$74)&gt;0),$B8,"")</f>
        <v/>
      </c>
      <c r="J8" s="84" t="str">
        <f t="array" aca="1" ref="J8" ca="1">IF(OR((J$4&gt;=$AS$11:$AS$74)*(J$4&lt;=$AT$11:$AT$74)&gt;0),$B8,"")</f>
        <v/>
      </c>
      <c r="K8" s="84" t="str">
        <f t="array" aca="1" ref="K8" ca="1">IF(OR((K$4&gt;=$AS$11:$AS$74)*(K$4&lt;=$AT$11:$AT$74)&gt;0),$B8,"")</f>
        <v/>
      </c>
      <c r="L8" s="84" t="str">
        <f t="array" aca="1" ref="L8" ca="1">IF(OR((L$4&gt;=$AS$11:$AS$74)*(L$4&lt;=$AT$11:$AT$74)&gt;0),$B8,"")</f>
        <v/>
      </c>
      <c r="M8" s="84" t="str">
        <f t="array" aca="1" ref="M8" ca="1">IF(OR((M$4&gt;=$AS$11:$AS$74)*(M$4&lt;=$AT$11:$AT$74)&gt;0),$B8,"")</f>
        <v/>
      </c>
      <c r="N8" s="84" t="str">
        <f t="array" aca="1" ref="N8" ca="1">IF(OR((N$4&gt;=$AS$11:$AS$74)*(N$4&lt;=$AT$11:$AT$74)&gt;0),$B8,"")</f>
        <v/>
      </c>
      <c r="O8" s="84" t="str">
        <f t="array" aca="1" ref="O8" ca="1">IF(OR((O$4&gt;=$AS$11:$AS$74)*(O$4&lt;=$AT$11:$AT$74)&gt;0),$B8,"")</f>
        <v/>
      </c>
      <c r="P8" s="84" t="str">
        <f t="array" aca="1" ref="P8" ca="1">IF(OR((P$4&gt;=$AS$11:$AS$74)*(P$4&lt;=$AT$11:$AT$74)&gt;0),$B8,"")</f>
        <v/>
      </c>
      <c r="Q8" s="84" t="str">
        <f t="array" aca="1" ref="Q8" ca="1">IF(OR((Q$4&gt;=$AS$11:$AS$74)*(Q$4&lt;=$AT$11:$AT$74)&gt;0),$B8,"")</f>
        <v/>
      </c>
      <c r="R8" s="84" t="str">
        <f t="array" aca="1" ref="R8" ca="1">IF(OR((R$4&gt;=$AS$11:$AS$74)*(R$4&lt;=$AT$11:$AT$74)&gt;0),$B8,"")</f>
        <v/>
      </c>
      <c r="S8" s="84" t="str">
        <f t="array" aca="1" ref="S8" ca="1">IF(OR((S$4&gt;=$AS$11:$AS$74)*(S$4&lt;=$AT$11:$AT$74)&gt;0),$B8,"")</f>
        <v/>
      </c>
      <c r="T8" s="84" t="str">
        <f t="array" aca="1" ref="T8" ca="1">IF(OR((T$4&gt;=$AS$11:$AS$74)*(T$4&lt;=$AT$11:$AT$74)&gt;0),$B8,"")</f>
        <v/>
      </c>
      <c r="U8" s="84" t="str">
        <f t="array" aca="1" ref="U8" ca="1">IF(OR((U$4&gt;=$AS$11:$AS$74)*(U$4&lt;=$AT$11:$AT$74)&gt;0),$B8,"")</f>
        <v/>
      </c>
      <c r="V8" s="84" t="str">
        <f t="array" aca="1" ref="V8" ca="1">IF(OR((V$4&gt;=$AS$11:$AS$74)*(V$4&lt;=$AT$11:$AT$74)&gt;0),$B8,"")</f>
        <v/>
      </c>
      <c r="W8" s="84" t="str">
        <f t="array" aca="1" ref="W8" ca="1">IF(OR((W$4&gt;=$AS$11:$AS$74)*(W$4&lt;=$AT$11:$AT$74)&gt;0),$B8,"")</f>
        <v/>
      </c>
      <c r="X8" s="84" t="str">
        <f t="array" aca="1" ref="X8" ca="1">IF(OR((X$4&gt;=$AS$11:$AS$74)*(X$4&lt;=$AT$11:$AT$74)&gt;0),$B8,"")</f>
        <v/>
      </c>
      <c r="Y8" s="84" t="str">
        <f t="array" aca="1" ref="Y8" ca="1">IF(OR((Y$4&gt;=$AS$11:$AS$74)*(Y$4&lt;=$AT$11:$AT$74)&gt;0),$B8,"")</f>
        <v/>
      </c>
      <c r="Z8" s="84" t="str">
        <f t="array" aca="1" ref="Z8" ca="1">IF(OR((Z$4&gt;=$AS$11:$AS$74)*(Z$4&lt;=$AT$11:$AT$74)&gt;0),$B8,"")</f>
        <v/>
      </c>
      <c r="AA8" s="84" t="str">
        <f t="array" aca="1" ref="AA8" ca="1">IF(OR((AA$4&gt;=$AS$11:$AS$74)*(AA$4&lt;=$AT$11:$AT$74)&gt;0),$B8,"")</f>
        <v/>
      </c>
      <c r="AB8" s="84" t="str">
        <f t="array" aca="1" ref="AB8" ca="1">IF(OR((AB$4&gt;=$AS$11:$AS$74)*(AB$4&lt;=$AT$11:$AT$74)&gt;0),$B8,"")</f>
        <v/>
      </c>
      <c r="AC8" s="84" t="str">
        <f t="array" aca="1" ref="AC8" ca="1">IF(OR((AC$4&gt;=$AS$11:$AS$74)*(AC$4&lt;=$AT$11:$AT$74)&gt;0),$B8,"")</f>
        <v/>
      </c>
      <c r="AD8" s="84" t="str">
        <f t="array" aca="1" ref="AD8" ca="1">IF(OR((AD$4&gt;=$AS$11:$AS$74)*(AD$4&lt;=$AT$11:$AT$74)&gt;0),$B8,"")</f>
        <v/>
      </c>
      <c r="AE8" s="84" t="str">
        <f t="array" aca="1" ref="AE8" ca="1">IF(OR((AE$4&gt;=$AS$11:$AS$74)*(AE$4&lt;=$AT$11:$AT$74)&gt;0),$B8,"")</f>
        <v/>
      </c>
      <c r="AF8" s="84" t="str">
        <f t="array" aca="1" ref="AF8" ca="1">IF(OR((AF$4&gt;=$AS$11:$AS$74)*(AF$4&lt;=$AT$11:$AT$74)&gt;0),$B8,"")</f>
        <v/>
      </c>
      <c r="AG8" s="84" t="str">
        <f t="array" aca="1" ref="AG8" ca="1">IF(OR((AG$4&gt;=$AS$11:$AS$74)*(AG$4&lt;=$AT$11:$AT$74)&gt;0),$B8,"")</f>
        <v/>
      </c>
      <c r="AH8" s="84" t="str">
        <f t="array" aca="1" ref="AH8" ca="1">IF(OR((AH$4&gt;=$AS$11:$AS$74)*(AH$4&lt;=$AT$11:$AT$74)&gt;0),$B8,"")</f>
        <v/>
      </c>
      <c r="AI8" s="84" t="str">
        <f t="array" aca="1" ref="AI8" ca="1">IF(OR((AI$4&gt;=$AS$11:$AS$74)*(AI$4&lt;=$AT$11:$AT$74)&gt;0),$B8,"")</f>
        <v/>
      </c>
      <c r="AN8" s="126"/>
      <c r="AO8" s="126"/>
      <c r="AP8" s="126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</row>
    <row r="9" spans="1:58">
      <c r="A9" s="75" t="s">
        <v>162</v>
      </c>
      <c r="B9" s="74">
        <v>4</v>
      </c>
      <c r="C9" s="84" t="str">
        <f t="array" aca="1" ref="C9" ca="1">IF(OR((C$4&gt;=$AS$11:$AS$74)*(C$4&lt;=$AT$11:$AT$74)&gt;0),$B9,"")</f>
        <v/>
      </c>
      <c r="D9" s="84" t="str">
        <f t="array" aca="1" ref="D9" ca="1">IF(OR((D$4&gt;=$AS$11:$AS$74)*(D$4&lt;=$AT$11:$AT$74)&gt;0),$B9,"")</f>
        <v/>
      </c>
      <c r="E9" s="84" t="str">
        <f t="array" aca="1" ref="E9" ca="1">IF(OR((E$4&gt;=$AS$11:$AS$74)*(E$4&lt;=$AT$11:$AT$74)&gt;0),$B9,"")</f>
        <v/>
      </c>
      <c r="F9" s="84" t="str">
        <f t="array" aca="1" ref="F9" ca="1">IF(OR((F$4&gt;=$AS$11:$AS$74)*(F$4&lt;=$AT$11:$AT$74)&gt;0),$B9,"")</f>
        <v/>
      </c>
      <c r="G9" s="84" t="str">
        <f t="array" aca="1" ref="G9" ca="1">IF(OR((G$4&gt;=$AS$11:$AS$74)*(G$4&lt;=$AT$11:$AT$74)&gt;0),$B9,"")</f>
        <v/>
      </c>
      <c r="H9" s="84" t="str">
        <f t="array" aca="1" ref="H9" ca="1">IF(OR((H$4&gt;=$AS$11:$AS$74)*(H$4&lt;=$AT$11:$AT$74)&gt;0),$B9,"")</f>
        <v/>
      </c>
      <c r="I9" s="84" t="str">
        <f t="array" aca="1" ref="I9" ca="1">IF(OR((I$4&gt;=$AS$11:$AS$74)*(I$4&lt;=$AT$11:$AT$74)&gt;0),$B9,"")</f>
        <v/>
      </c>
      <c r="J9" s="84" t="str">
        <f t="array" aca="1" ref="J9" ca="1">IF(OR((J$4&gt;=$AS$11:$AS$74)*(J$4&lt;=$AT$11:$AT$74)&gt;0),$B9,"")</f>
        <v/>
      </c>
      <c r="K9" s="84" t="str">
        <f t="array" aca="1" ref="K9" ca="1">IF(OR((K$4&gt;=$AS$11:$AS$74)*(K$4&lt;=$AT$11:$AT$74)&gt;0),$B9,"")</f>
        <v/>
      </c>
      <c r="L9" s="84" t="str">
        <f t="array" aca="1" ref="L9" ca="1">IF(OR((L$4&gt;=$AS$11:$AS$74)*(L$4&lt;=$AT$11:$AT$74)&gt;0),$B9,"")</f>
        <v/>
      </c>
      <c r="M9" s="84" t="str">
        <f t="array" aca="1" ref="M9" ca="1">IF(OR((M$4&gt;=$AS$11:$AS$74)*(M$4&lt;=$AT$11:$AT$74)&gt;0),$B9,"")</f>
        <v/>
      </c>
      <c r="N9" s="84" t="str">
        <f t="array" aca="1" ref="N9" ca="1">IF(OR((N$4&gt;=$AS$11:$AS$74)*(N$4&lt;=$AT$11:$AT$74)&gt;0),$B9,"")</f>
        <v/>
      </c>
      <c r="O9" s="84" t="str">
        <f t="array" aca="1" ref="O9" ca="1">IF(OR((O$4&gt;=$AS$11:$AS$74)*(O$4&lt;=$AT$11:$AT$74)&gt;0),$B9,"")</f>
        <v/>
      </c>
      <c r="P9" s="84" t="str">
        <f t="array" aca="1" ref="P9" ca="1">IF(OR((P$4&gt;=$AS$11:$AS$74)*(P$4&lt;=$AT$11:$AT$74)&gt;0),$B9,"")</f>
        <v/>
      </c>
      <c r="Q9" s="84" t="str">
        <f t="array" aca="1" ref="Q9" ca="1">IF(OR((Q$4&gt;=$AS$11:$AS$74)*(Q$4&lt;=$AT$11:$AT$74)&gt;0),$B9,"")</f>
        <v/>
      </c>
      <c r="R9" s="84" t="str">
        <f t="array" aca="1" ref="R9" ca="1">IF(OR((R$4&gt;=$AS$11:$AS$74)*(R$4&lt;=$AT$11:$AT$74)&gt;0),$B9,"")</f>
        <v/>
      </c>
      <c r="S9" s="84" t="str">
        <f t="array" aca="1" ref="S9" ca="1">IF(OR((S$4&gt;=$AS$11:$AS$74)*(S$4&lt;=$AT$11:$AT$74)&gt;0),$B9,"")</f>
        <v/>
      </c>
      <c r="T9" s="84" t="str">
        <f t="array" aca="1" ref="T9" ca="1">IF(OR((T$4&gt;=$AS$11:$AS$74)*(T$4&lt;=$AT$11:$AT$74)&gt;0),$B9,"")</f>
        <v/>
      </c>
      <c r="U9" s="84" t="str">
        <f t="array" aca="1" ref="U9" ca="1">IF(OR((U$4&gt;=$AS$11:$AS$74)*(U$4&lt;=$AT$11:$AT$74)&gt;0),$B9,"")</f>
        <v/>
      </c>
      <c r="V9" s="84" t="str">
        <f t="array" aca="1" ref="V9" ca="1">IF(OR((V$4&gt;=$AS$11:$AS$74)*(V$4&lt;=$AT$11:$AT$74)&gt;0),$B9,"")</f>
        <v/>
      </c>
      <c r="W9" s="84" t="str">
        <f t="array" aca="1" ref="W9" ca="1">IF(OR((W$4&gt;=$AS$11:$AS$74)*(W$4&lt;=$AT$11:$AT$74)&gt;0),$B9,"")</f>
        <v/>
      </c>
      <c r="X9" s="84" t="str">
        <f t="array" aca="1" ref="X9" ca="1">IF(OR((X$4&gt;=$AS$11:$AS$74)*(X$4&lt;=$AT$11:$AT$74)&gt;0),$B9,"")</f>
        <v/>
      </c>
      <c r="Y9" s="84" t="str">
        <f t="array" aca="1" ref="Y9" ca="1">IF(OR((Y$4&gt;=$AS$11:$AS$74)*(Y$4&lt;=$AT$11:$AT$74)&gt;0),$B9,"")</f>
        <v/>
      </c>
      <c r="Z9" s="84" t="str">
        <f t="array" aca="1" ref="Z9" ca="1">IF(OR((Z$4&gt;=$AS$11:$AS$74)*(Z$4&lt;=$AT$11:$AT$74)&gt;0),$B9,"")</f>
        <v/>
      </c>
      <c r="AA9" s="84" t="str">
        <f t="array" aca="1" ref="AA9" ca="1">IF(OR((AA$4&gt;=$AS$11:$AS$74)*(AA$4&lt;=$AT$11:$AT$74)&gt;0),$B9,"")</f>
        <v/>
      </c>
      <c r="AB9" s="84" t="str">
        <f t="array" aca="1" ref="AB9" ca="1">IF(OR((AB$4&gt;=$AS$11:$AS$74)*(AB$4&lt;=$AT$11:$AT$74)&gt;0),$B9,"")</f>
        <v/>
      </c>
      <c r="AC9" s="84" t="str">
        <f t="array" aca="1" ref="AC9" ca="1">IF(OR((AC$4&gt;=$AS$11:$AS$74)*(AC$4&lt;=$AT$11:$AT$74)&gt;0),$B9,"")</f>
        <v/>
      </c>
      <c r="AD9" s="84" t="str">
        <f t="array" aca="1" ref="AD9" ca="1">IF(OR((AD$4&gt;=$AS$11:$AS$74)*(AD$4&lt;=$AT$11:$AT$74)&gt;0),$B9,"")</f>
        <v/>
      </c>
      <c r="AE9" s="84" t="str">
        <f t="array" aca="1" ref="AE9" ca="1">IF(OR((AE$4&gt;=$AS$11:$AS$74)*(AE$4&lt;=$AT$11:$AT$74)&gt;0),$B9,"")</f>
        <v/>
      </c>
      <c r="AF9" s="84" t="str">
        <f t="array" aca="1" ref="AF9" ca="1">IF(OR((AF$4&gt;=$AS$11:$AS$74)*(AF$4&lt;=$AT$11:$AT$74)&gt;0),$B9,"")</f>
        <v/>
      </c>
      <c r="AG9" s="84" t="str">
        <f t="array" aca="1" ref="AG9" ca="1">IF(OR((AG$4&gt;=$AS$11:$AS$74)*(AG$4&lt;=$AT$11:$AT$74)&gt;0),$B9,"")</f>
        <v/>
      </c>
      <c r="AH9" s="84" t="str">
        <f t="array" aca="1" ref="AH9" ca="1">IF(OR((AH$4&gt;=$AS$11:$AS$74)*(AH$4&lt;=$AT$11:$AT$74)&gt;0),$B9,"")</f>
        <v/>
      </c>
      <c r="AI9" s="84" t="str">
        <f t="array" aca="1" ref="AI9" ca="1">IF(OR((AI$4&gt;=$AS$11:$AS$74)*(AI$4&lt;=$AT$11:$AT$74)&gt;0),$B9,"")</f>
        <v/>
      </c>
      <c r="AN9" s="126"/>
      <c r="AO9" s="126"/>
      <c r="AP9" s="126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</row>
    <row r="10" spans="1:58">
      <c r="A10" s="75" t="s">
        <v>163</v>
      </c>
      <c r="B10" s="74">
        <v>4</v>
      </c>
      <c r="C10" s="84" t="str">
        <f t="array" aca="1" ref="C10" ca="1">IF(OR((C$4&gt;=$AS$11:$AS$74)*(C$4&lt;=$AT$11:$AT$74)&gt;0),$B10,"")</f>
        <v/>
      </c>
      <c r="D10" s="84" t="str">
        <f t="array" aca="1" ref="D10" ca="1">IF(OR((D$4&gt;=$AS$11:$AS$74)*(D$4&lt;=$AT$11:$AT$74)&gt;0),$B10,"")</f>
        <v/>
      </c>
      <c r="E10" s="84" t="str">
        <f t="array" aca="1" ref="E10" ca="1">IF(OR((E$4&gt;=$AS$11:$AS$74)*(E$4&lt;=$AT$11:$AT$74)&gt;0),$B10,"")</f>
        <v/>
      </c>
      <c r="F10" s="84" t="str">
        <f t="array" aca="1" ref="F10" ca="1">IF(OR((F$4&gt;=$AS$11:$AS$74)*(F$4&lt;=$AT$11:$AT$74)&gt;0),$B10,"")</f>
        <v/>
      </c>
      <c r="G10" s="84" t="str">
        <f t="array" aca="1" ref="G10" ca="1">IF(OR((G$4&gt;=$AS$11:$AS$74)*(G$4&lt;=$AT$11:$AT$74)&gt;0),$B10,"")</f>
        <v/>
      </c>
      <c r="H10" s="84" t="str">
        <f t="array" aca="1" ref="H10" ca="1">IF(OR((H$4&gt;=$AS$11:$AS$74)*(H$4&lt;=$AT$11:$AT$74)&gt;0),$B10,"")</f>
        <v/>
      </c>
      <c r="I10" s="84" t="str">
        <f t="array" aca="1" ref="I10" ca="1">IF(OR((I$4&gt;=$AS$11:$AS$74)*(I$4&lt;=$AT$11:$AT$74)&gt;0),$B10,"")</f>
        <v/>
      </c>
      <c r="J10" s="84" t="str">
        <f t="array" aca="1" ref="J10" ca="1">IF(OR((J$4&gt;=$AS$11:$AS$74)*(J$4&lt;=$AT$11:$AT$74)&gt;0),$B10,"")</f>
        <v/>
      </c>
      <c r="K10" s="84" t="str">
        <f t="array" aca="1" ref="K10" ca="1">IF(OR((K$4&gt;=$AS$11:$AS$74)*(K$4&lt;=$AT$11:$AT$74)&gt;0),$B10,"")</f>
        <v/>
      </c>
      <c r="L10" s="84" t="str">
        <f t="array" aca="1" ref="L10" ca="1">IF(OR((L$4&gt;=$AS$11:$AS$74)*(L$4&lt;=$AT$11:$AT$74)&gt;0),$B10,"")</f>
        <v/>
      </c>
      <c r="M10" s="84" t="str">
        <f t="array" aca="1" ref="M10" ca="1">IF(OR((M$4&gt;=$AS$11:$AS$74)*(M$4&lt;=$AT$11:$AT$74)&gt;0),$B10,"")</f>
        <v/>
      </c>
      <c r="N10" s="84" t="str">
        <f t="array" aca="1" ref="N10" ca="1">IF(OR((N$4&gt;=$AS$11:$AS$74)*(N$4&lt;=$AT$11:$AT$74)&gt;0),$B10,"")</f>
        <v/>
      </c>
      <c r="O10" s="84" t="str">
        <f t="array" aca="1" ref="O10" ca="1">IF(OR((O$4&gt;=$AS$11:$AS$74)*(O$4&lt;=$AT$11:$AT$74)&gt;0),$B10,"")</f>
        <v/>
      </c>
      <c r="P10" s="84" t="str">
        <f t="array" aca="1" ref="P10" ca="1">IF(OR((P$4&gt;=$AS$11:$AS$74)*(P$4&lt;=$AT$11:$AT$74)&gt;0),$B10,"")</f>
        <v/>
      </c>
      <c r="Q10" s="84" t="str">
        <f t="array" aca="1" ref="Q10" ca="1">IF(OR((Q$4&gt;=$AS$11:$AS$74)*(Q$4&lt;=$AT$11:$AT$74)&gt;0),$B10,"")</f>
        <v/>
      </c>
      <c r="R10" s="84" t="str">
        <f t="array" aca="1" ref="R10" ca="1">IF(OR((R$4&gt;=$AS$11:$AS$74)*(R$4&lt;=$AT$11:$AT$74)&gt;0),$B10,"")</f>
        <v/>
      </c>
      <c r="S10" s="84" t="str">
        <f t="array" aca="1" ref="S10" ca="1">IF(OR((S$4&gt;=$AS$11:$AS$74)*(S$4&lt;=$AT$11:$AT$74)&gt;0),$B10,"")</f>
        <v/>
      </c>
      <c r="T10" s="84" t="str">
        <f t="array" aca="1" ref="T10" ca="1">IF(OR((T$4&gt;=$AS$11:$AS$74)*(T$4&lt;=$AT$11:$AT$74)&gt;0),$B10,"")</f>
        <v/>
      </c>
      <c r="U10" s="84" t="str">
        <f t="array" aca="1" ref="U10" ca="1">IF(OR((U$4&gt;=$AS$11:$AS$74)*(U$4&lt;=$AT$11:$AT$74)&gt;0),$B10,"")</f>
        <v/>
      </c>
      <c r="V10" s="84" t="str">
        <f t="array" aca="1" ref="V10" ca="1">IF(OR((V$4&gt;=$AS$11:$AS$74)*(V$4&lt;=$AT$11:$AT$74)&gt;0),$B10,"")</f>
        <v/>
      </c>
      <c r="W10" s="84" t="str">
        <f t="array" aca="1" ref="W10" ca="1">IF(OR((W$4&gt;=$AS$11:$AS$74)*(W$4&lt;=$AT$11:$AT$74)&gt;0),$B10,"")</f>
        <v/>
      </c>
      <c r="X10" s="84" t="str">
        <f t="array" aca="1" ref="X10" ca="1">IF(OR((X$4&gt;=$AS$11:$AS$74)*(X$4&lt;=$AT$11:$AT$74)&gt;0),$B10,"")</f>
        <v/>
      </c>
      <c r="Y10" s="84" t="str">
        <f t="array" aca="1" ref="Y10" ca="1">IF(OR((Y$4&gt;=$AS$11:$AS$74)*(Y$4&lt;=$AT$11:$AT$74)&gt;0),$B10,"")</f>
        <v/>
      </c>
      <c r="Z10" s="84" t="str">
        <f t="array" aca="1" ref="Z10" ca="1">IF(OR((Z$4&gt;=$AS$11:$AS$74)*(Z$4&lt;=$AT$11:$AT$74)&gt;0),$B10,"")</f>
        <v/>
      </c>
      <c r="AA10" s="84" t="str">
        <f t="array" aca="1" ref="AA10" ca="1">IF(OR((AA$4&gt;=$AS$11:$AS$74)*(AA$4&lt;=$AT$11:$AT$74)&gt;0),$B10,"")</f>
        <v/>
      </c>
      <c r="AB10" s="84" t="str">
        <f t="array" aca="1" ref="AB10" ca="1">IF(OR((AB$4&gt;=$AS$11:$AS$74)*(AB$4&lt;=$AT$11:$AT$74)&gt;0),$B10,"")</f>
        <v/>
      </c>
      <c r="AC10" s="84" t="str">
        <f t="array" aca="1" ref="AC10" ca="1">IF(OR((AC$4&gt;=$AS$11:$AS$74)*(AC$4&lt;=$AT$11:$AT$74)&gt;0),$B10,"")</f>
        <v/>
      </c>
      <c r="AD10" s="84" t="str">
        <f t="array" aca="1" ref="AD10" ca="1">IF(OR((AD$4&gt;=$AS$11:$AS$74)*(AD$4&lt;=$AT$11:$AT$74)&gt;0),$B10,"")</f>
        <v/>
      </c>
      <c r="AE10" s="84" t="str">
        <f t="array" aca="1" ref="AE10" ca="1">IF(OR((AE$4&gt;=$AS$11:$AS$74)*(AE$4&lt;=$AT$11:$AT$74)&gt;0),$B10,"")</f>
        <v/>
      </c>
      <c r="AF10" s="84" t="str">
        <f t="array" aca="1" ref="AF10" ca="1">IF(OR((AF$4&gt;=$AS$11:$AS$74)*(AF$4&lt;=$AT$11:$AT$74)&gt;0),$B10,"")</f>
        <v/>
      </c>
      <c r="AG10" s="84" t="str">
        <f t="array" aca="1" ref="AG10" ca="1">IF(OR((AG$4&gt;=$AS$11:$AS$74)*(AG$4&lt;=$AT$11:$AT$74)&gt;0),$B10,"")</f>
        <v/>
      </c>
      <c r="AH10" s="84" t="str">
        <f t="array" aca="1" ref="AH10" ca="1">IF(OR((AH$4&gt;=$AS$11:$AS$74)*(AH$4&lt;=$AT$11:$AT$74)&gt;0),$B10,"")</f>
        <v/>
      </c>
      <c r="AI10" s="84" t="str">
        <f t="array" aca="1" ref="AI10" ca="1">IF(OR((AI$4&gt;=$AS$11:$AS$74)*(AI$4&lt;=$AT$11:$AT$74)&gt;0),$B10,"")</f>
        <v/>
      </c>
      <c r="AM10" t="s">
        <v>151</v>
      </c>
      <c r="AN10" t="s">
        <v>152</v>
      </c>
      <c r="AO10" t="s">
        <v>153</v>
      </c>
      <c r="AP10" t="s">
        <v>151</v>
      </c>
      <c r="AQ10" t="s">
        <v>152</v>
      </c>
      <c r="AR10" t="s">
        <v>153</v>
      </c>
      <c r="AS10" t="s">
        <v>152</v>
      </c>
      <c r="AT10" t="s">
        <v>153</v>
      </c>
      <c r="AU10" t="s">
        <v>152</v>
      </c>
      <c r="AV10" t="s">
        <v>153</v>
      </c>
      <c r="AW10" t="s">
        <v>152</v>
      </c>
      <c r="AX10" t="s">
        <v>153</v>
      </c>
      <c r="AY10" t="s">
        <v>152</v>
      </c>
      <c r="AZ10" t="s">
        <v>153</v>
      </c>
      <c r="BA10" t="s">
        <v>152</v>
      </c>
      <c r="BB10" t="s">
        <v>153</v>
      </c>
      <c r="BC10" t="s">
        <v>152</v>
      </c>
      <c r="BD10" t="s">
        <v>153</v>
      </c>
      <c r="BE10" t="s">
        <v>152</v>
      </c>
      <c r="BF10" t="s">
        <v>153</v>
      </c>
    </row>
    <row r="11" spans="1:58">
      <c r="A11" s="75" t="s">
        <v>164</v>
      </c>
      <c r="B11" s="74">
        <v>8</v>
      </c>
      <c r="C11" s="84" t="str">
        <f t="array" aca="1" ref="C11" ca="1">IF(OR((C$4&gt;=$AS$11:$AS$74)*(C$4&lt;=$AT$11:$AT$74)&gt;0),$B11,"")</f>
        <v/>
      </c>
      <c r="D11" s="84" t="str">
        <f t="array" aca="1" ref="D11" ca="1">IF(OR((D$4&gt;=$AS$11:$AS$74)*(D$4&lt;=$AT$11:$AT$74)&gt;0),$B11,"")</f>
        <v/>
      </c>
      <c r="E11" s="84" t="str">
        <f t="array" aca="1" ref="E11" ca="1">IF(OR((E$4&gt;=$AS$11:$AS$74)*(E$4&lt;=$AT$11:$AT$74)&gt;0),$B11,"")</f>
        <v/>
      </c>
      <c r="F11" s="84" t="str">
        <f t="array" aca="1" ref="F11" ca="1">IF(OR((F$4&gt;=$AS$11:$AS$74)*(F$4&lt;=$AT$11:$AT$74)&gt;0),$B11,"")</f>
        <v/>
      </c>
      <c r="G11" s="84" t="str">
        <f t="array" aca="1" ref="G11" ca="1">IF(OR((G$4&gt;=$AS$11:$AS$74)*(G$4&lt;=$AT$11:$AT$74)&gt;0),$B11,"")</f>
        <v/>
      </c>
      <c r="H11" s="84" t="str">
        <f t="array" aca="1" ref="H11" ca="1">IF(OR((H$4&gt;=$AS$11:$AS$74)*(H$4&lt;=$AT$11:$AT$74)&gt;0),$B11,"")</f>
        <v/>
      </c>
      <c r="I11" s="84" t="str">
        <f t="array" aca="1" ref="I11" ca="1">IF(OR((I$4&gt;=$AS$11:$AS$74)*(I$4&lt;=$AT$11:$AT$74)&gt;0),$B11,"")</f>
        <v/>
      </c>
      <c r="J11" s="84" t="str">
        <f t="array" aca="1" ref="J11" ca="1">IF(OR((J$4&gt;=$AS$11:$AS$74)*(J$4&lt;=$AT$11:$AT$74)&gt;0),$B11,"")</f>
        <v/>
      </c>
      <c r="K11" s="84" t="str">
        <f t="array" aca="1" ref="K11" ca="1">IF(OR((K$4&gt;=$AS$11:$AS$74)*(K$4&lt;=$AT$11:$AT$74)&gt;0),$B11,"")</f>
        <v/>
      </c>
      <c r="L11" s="84" t="str">
        <f t="array" aca="1" ref="L11" ca="1">IF(OR((L$4&gt;=$AS$11:$AS$74)*(L$4&lt;=$AT$11:$AT$74)&gt;0),$B11,"")</f>
        <v/>
      </c>
      <c r="M11" s="84" t="str">
        <f t="array" aca="1" ref="M11" ca="1">IF(OR((M$4&gt;=$AS$11:$AS$74)*(M$4&lt;=$AT$11:$AT$74)&gt;0),$B11,"")</f>
        <v/>
      </c>
      <c r="N11" s="84" t="str">
        <f t="array" aca="1" ref="N11" ca="1">IF(OR((N$4&gt;=$AS$11:$AS$74)*(N$4&lt;=$AT$11:$AT$74)&gt;0),$B11,"")</f>
        <v/>
      </c>
      <c r="O11" s="84" t="str">
        <f t="array" aca="1" ref="O11" ca="1">IF(OR((O$4&gt;=$AS$11:$AS$74)*(O$4&lt;=$AT$11:$AT$74)&gt;0),$B11,"")</f>
        <v/>
      </c>
      <c r="P11" s="84" t="str">
        <f t="array" aca="1" ref="P11" ca="1">IF(OR((P$4&gt;=$AS$11:$AS$74)*(P$4&lt;=$AT$11:$AT$74)&gt;0),$B11,"")</f>
        <v/>
      </c>
      <c r="Q11" s="84" t="str">
        <f t="array" aca="1" ref="Q11" ca="1">IF(OR((Q$4&gt;=$AS$11:$AS$74)*(Q$4&lt;=$AT$11:$AT$74)&gt;0),$B11,"")</f>
        <v/>
      </c>
      <c r="R11" s="84" t="str">
        <f t="array" aca="1" ref="R11" ca="1">IF(OR((R$4&gt;=$AS$11:$AS$74)*(R$4&lt;=$AT$11:$AT$74)&gt;0),$B11,"")</f>
        <v/>
      </c>
      <c r="S11" s="84" t="str">
        <f t="array" aca="1" ref="S11" ca="1">IF(OR((S$4&gt;=$AS$11:$AS$74)*(S$4&lt;=$AT$11:$AT$74)&gt;0),$B11,"")</f>
        <v/>
      </c>
      <c r="T11" s="84" t="str">
        <f t="array" aca="1" ref="T11" ca="1">IF(OR((T$4&gt;=$AS$11:$AS$74)*(T$4&lt;=$AT$11:$AT$74)&gt;0),$B11,"")</f>
        <v/>
      </c>
      <c r="U11" s="84" t="str">
        <f t="array" aca="1" ref="U11" ca="1">IF(OR((U$4&gt;=$AS$11:$AS$74)*(U$4&lt;=$AT$11:$AT$74)&gt;0),$B11,"")</f>
        <v/>
      </c>
      <c r="V11" s="84" t="str">
        <f t="array" aca="1" ref="V11" ca="1">IF(OR((V$4&gt;=$AS$11:$AS$74)*(V$4&lt;=$AT$11:$AT$74)&gt;0),$B11,"")</f>
        <v/>
      </c>
      <c r="W11" s="84" t="str">
        <f t="array" aca="1" ref="W11" ca="1">IF(OR((W$4&gt;=$AS$11:$AS$74)*(W$4&lt;=$AT$11:$AT$74)&gt;0),$B11,"")</f>
        <v/>
      </c>
      <c r="X11" s="84" t="str">
        <f t="array" aca="1" ref="X11" ca="1">IF(OR((X$4&gt;=$AS$11:$AS$74)*(X$4&lt;=$AT$11:$AT$74)&gt;0),$B11,"")</f>
        <v/>
      </c>
      <c r="Y11" s="84" t="str">
        <f t="array" aca="1" ref="Y11" ca="1">IF(OR((Y$4&gt;=$AS$11:$AS$74)*(Y$4&lt;=$AT$11:$AT$74)&gt;0),$B11,"")</f>
        <v/>
      </c>
      <c r="Z11" s="84" t="str">
        <f t="array" aca="1" ref="Z11" ca="1">IF(OR((Z$4&gt;=$AS$11:$AS$74)*(Z$4&lt;=$AT$11:$AT$74)&gt;0),$B11,"")</f>
        <v/>
      </c>
      <c r="AA11" s="84" t="str">
        <f t="array" aca="1" ref="AA11" ca="1">IF(OR((AA$4&gt;=$AS$11:$AS$74)*(AA$4&lt;=$AT$11:$AT$74)&gt;0),$B11,"")</f>
        <v/>
      </c>
      <c r="AB11" s="84" t="str">
        <f t="array" aca="1" ref="AB11" ca="1">IF(OR((AB$4&gt;=$AS$11:$AS$74)*(AB$4&lt;=$AT$11:$AT$74)&gt;0),$B11,"")</f>
        <v/>
      </c>
      <c r="AC11" s="84" t="str">
        <f t="array" aca="1" ref="AC11" ca="1">IF(OR((AC$4&gt;=$AS$11:$AS$74)*(AC$4&lt;=$AT$11:$AT$74)&gt;0),$B11,"")</f>
        <v/>
      </c>
      <c r="AD11" s="84" t="str">
        <f t="array" aca="1" ref="AD11" ca="1">IF(OR((AD$4&gt;=$AS$11:$AS$74)*(AD$4&lt;=$AT$11:$AT$74)&gt;0),$B11,"")</f>
        <v/>
      </c>
      <c r="AE11" s="84" t="str">
        <f t="array" aca="1" ref="AE11" ca="1">IF(OR((AE$4&gt;=$AS$11:$AS$74)*(AE$4&lt;=$AT$11:$AT$74)&gt;0),$B11,"")</f>
        <v/>
      </c>
      <c r="AF11" s="84" t="str">
        <f t="array" aca="1" ref="AF11" ca="1">IF(OR((AF$4&gt;=$AS$11:$AS$74)*(AF$4&lt;=$AT$11:$AT$74)&gt;0),$B11,"")</f>
        <v/>
      </c>
      <c r="AG11" s="84" t="str">
        <f t="array" aca="1" ref="AG11" ca="1">IF(OR((AG$4&gt;=$AS$11:$AS$74)*(AG$4&lt;=$AT$11:$AT$74)&gt;0),$B11,"")</f>
        <v/>
      </c>
      <c r="AH11" s="84" t="str">
        <f t="array" aca="1" ref="AH11" ca="1">IF(OR((AH$4&gt;=$AS$11:$AS$74)*(AH$4&lt;=$AT$11:$AT$74)&gt;0),$B11,"")</f>
        <v/>
      </c>
      <c r="AI11" s="84" t="str">
        <f t="array" aca="1" ref="AI11" ca="1">IF(OR((AI$4&gt;=$AS$11:$AS$74)*(AI$4&lt;=$AT$11:$AT$74)&gt;0),$B11,"")</f>
        <v/>
      </c>
      <c r="AK11" s="190" t="s">
        <v>214</v>
      </c>
      <c r="AL11">
        <v>1</v>
      </c>
      <c r="AM11" t="str">
        <f t="array" aca="1" ref="AM11" ca="1">IFERROR(OFFSET('(Fill In) SIAO'!$A$1,SMALL(IF(Signals="Y",ROW(Signals)),AL11)-1,COLUMN(Conducts)-1),"")</f>
        <v/>
      </c>
      <c r="AN11" s="113" t="str">
        <f t="array" aca="1" ref="AN11" ca="1">IFERROR(OFFSET('(Fill In) SIAO'!$A$1,SMALL(IF(Signals="Y",ROW(Signals)),AL11)-1,COLUMN(StartDate)-1),"")</f>
        <v/>
      </c>
      <c r="AO11" s="113" t="str">
        <f t="array" aca="1" ref="AO11" ca="1">IFERROR(OFFSET('(Fill In) SIAO'!$A$1,SMALL(IF(Signals="Y",ROW(Signals)),AL11)-1,COLUMN(EndDate)-1),"")</f>
        <v/>
      </c>
      <c r="AP11" s="113" t="str">
        <f t="array" aca="1" ref="AP11" ca="1">IFERROR(OFFSET('(Fill In) SIAO'!$A$1,SMALL(IF(Optics="Y",ROW(Optics)),AL11)-1,COLUMN(Conducts)-1),"")</f>
        <v/>
      </c>
      <c r="AQ11" s="113" t="str">
        <f t="array" aca="1" ref="AQ11" ca="1">IFERROR(OFFSET('(Fill In) SIAO'!$A$1,SMALL(IF(Optics="Y",ROW(Optics)),AL11)-1,COLUMN(StartDate)-1),"")</f>
        <v/>
      </c>
      <c r="AR11" s="113" t="str">
        <f t="array" aca="1" ref="AR11" ca="1">IFERROR(OFFSET('(Fill In) SIAO'!$A$1,SMALL(IF(Optics="Y",ROW(Optics)),AL11)-1,COLUMN(EndDate)-1),"")</f>
        <v/>
      </c>
      <c r="AS11" s="113" t="str">
        <f t="array" aca="1" ref="AS11" ca="1">IFERROR(OFFSET('(Fill In) SIAO'!$A$1,SMALL(IF(ACMS="Y",ROW(ACMS)),AL11)-1,COLUMN(StartDate)-1),"")</f>
        <v/>
      </c>
      <c r="AT11" s="113" t="str">
        <f t="array" aca="1" ref="AT11" ca="1">IFERROR(OFFSET('(Fill In) SIAO'!$A$1,SMALL(IF(ACMS="Y",ROW(ACMS)),AL11)-1,COLUMN(EndDate)-1),"")</f>
        <v/>
      </c>
      <c r="AU11" s="113" t="str">
        <f t="array" aca="1" ref="AU11" ca="1">IFERROR(OFFSET('(Fill In) SIAO'!$A$1,SMALL(IF(UOCE="Y",ROW(UOCE)),AL11)-1,COLUMN(StartDate)-1),"")</f>
        <v/>
      </c>
      <c r="AV11" s="113" t="str">
        <f t="array" aca="1" ref="AV11" ca="1">IFERROR(OFFSET('(Fill In) SIAO'!$A$1,SMALL(IF(UOCE="Y",ROW(UOCE)),AL11)-1,COLUMN(EndDate)-1),"")</f>
        <v/>
      </c>
      <c r="AW11" s="113" t="str">
        <f t="array" aca="1" ref="AW11" ca="1">IFERROR(OFFSET('(Fill In) SIAO'!$A$1,SMALL(IF(HLT="Y",ROW(HLT)),AL11)-1,COLUMN(StartDate)-1),"")</f>
        <v/>
      </c>
      <c r="AX11" s="113" t="str">
        <f t="array" aca="1" ref="AX11" ca="1">IFERROR(OFFSET('(Fill In) SIAO'!$A$1,SMALL(IF(HLT="Y",ROW(HLT)),AL11)-1,COLUMN(EndDate)-1),"")</f>
        <v/>
      </c>
      <c r="AY11" s="113" t="str">
        <f t="array" aca="1" ref="AY11" ca="1">IFERROR(OFFSET('(Fill In) SIAO'!$A$1,SMALL(IF(PANTES="Y",ROW(PANTES)),AL11)-1,COLUMN(StartDate)-1),"")</f>
        <v/>
      </c>
      <c r="AZ11" s="113" t="str">
        <f t="array" aca="1" ref="AZ11" ca="1">IFERROR(OFFSET('(Fill In) SIAO'!$A$1,SMALL(IF(PANTES="Y",ROW(PANTES)),AL11)-1,COLUMN(EndDate)-1),"")</f>
        <v/>
      </c>
      <c r="BA11" s="113" t="str">
        <f t="array" aca="1" ref="BA11" ca="1">IFERROR(OFFSET('(Fill In) SIAO'!$A$1,SMALL(IF(Heli="Y",ROW(Heli)),AL11)-1,COLUMN(StartDate)-1),"")</f>
        <v/>
      </c>
      <c r="BB11" s="113" t="str">
        <f t="array" aca="1" ref="BB11" ca="1">IFERROR(OFFSET('(Fill In) SIAO'!$A$1,SMALL(IF(Heli="Y",ROW(Heli)),AL11)-1,COLUMN(EndDate)-1),"")</f>
        <v/>
      </c>
      <c r="BC11" s="113" t="str">
        <f t="array" aca="1" ref="BC11" ca="1">IFERROR(OFFSET('(Fill In) SIAO'!$A$1,SMALL(IF(MMR="Y",ROW(MMR)),AL11)-1,COLUMN(StartDate)-1),"")</f>
        <v/>
      </c>
      <c r="BD11" s="113" t="str">
        <f t="array" aca="1" ref="BD11" ca="1">IFERROR(OFFSET('(Fill In) SIAO'!$A$1,SMALL(IF(MMR="Y",ROW(MMR)),AL11)-1,COLUMN(EndDate)-1),"")</f>
        <v/>
      </c>
      <c r="BE11" s="113" t="str">
        <f t="array" aca="1" ref="BE11" ca="1">IFERROR(OFFSET('(Fill In) SIAO'!$A$1,SMALL(IF(POL="Y",ROW(POL)),AL11)-1,COLUMN(StartDate)-1),"")</f>
        <v/>
      </c>
      <c r="BF11" s="113" t="str">
        <f t="array" aca="1" ref="BF11" ca="1">IFERROR(OFFSET('(Fill In) SIAO'!$A$1,SMALL(IF(POL="Y",ROW(POL)),AL11)-1,COLUMN(EndDate)-1),"")</f>
        <v/>
      </c>
    </row>
    <row r="12" spans="1:58" ht="15" customHeight="1">
      <c r="A12" s="75" t="s">
        <v>165</v>
      </c>
      <c r="B12" s="74">
        <v>24</v>
      </c>
      <c r="C12" s="84" t="str">
        <f t="array" aca="1" ref="C12" ca="1">IF(OR((C$4&gt;=$AS$11:$AS$74)*(C$4&lt;=$AT$11:$AT$74)&gt;0),$B12,"")</f>
        <v/>
      </c>
      <c r="D12" s="84" t="str">
        <f t="array" aca="1" ref="D12" ca="1">IF(OR((D$4&gt;=$AS$11:$AS$74)*(D$4&lt;=$AT$11:$AT$74)&gt;0),$B12,"")</f>
        <v/>
      </c>
      <c r="E12" s="84" t="str">
        <f t="array" aca="1" ref="E12" ca="1">IF(OR((E$4&gt;=$AS$11:$AS$74)*(E$4&lt;=$AT$11:$AT$74)&gt;0),$B12,"")</f>
        <v/>
      </c>
      <c r="F12" s="84" t="str">
        <f t="array" aca="1" ref="F12" ca="1">IF(OR((F$4&gt;=$AS$11:$AS$74)*(F$4&lt;=$AT$11:$AT$74)&gt;0),$B12,"")</f>
        <v/>
      </c>
      <c r="G12" s="84" t="str">
        <f t="array" aca="1" ref="G12" ca="1">IF(OR((G$4&gt;=$AS$11:$AS$74)*(G$4&lt;=$AT$11:$AT$74)&gt;0),$B12,"")</f>
        <v/>
      </c>
      <c r="H12" s="84" t="str">
        <f t="array" aca="1" ref="H12" ca="1">IF(OR((H$4&gt;=$AS$11:$AS$74)*(H$4&lt;=$AT$11:$AT$74)&gt;0),$B12,"")</f>
        <v/>
      </c>
      <c r="I12" s="84" t="str">
        <f t="array" aca="1" ref="I12" ca="1">IF(OR((I$4&gt;=$AS$11:$AS$74)*(I$4&lt;=$AT$11:$AT$74)&gt;0),$B12,"")</f>
        <v/>
      </c>
      <c r="J12" s="84" t="str">
        <f t="array" aca="1" ref="J12" ca="1">IF(OR((J$4&gt;=$AS$11:$AS$74)*(J$4&lt;=$AT$11:$AT$74)&gt;0),$B12,"")</f>
        <v/>
      </c>
      <c r="K12" s="84" t="str">
        <f t="array" aca="1" ref="K12" ca="1">IF(OR((K$4&gt;=$AS$11:$AS$74)*(K$4&lt;=$AT$11:$AT$74)&gt;0),$B12,"")</f>
        <v/>
      </c>
      <c r="L12" s="84" t="str">
        <f t="array" aca="1" ref="L12" ca="1">IF(OR((L$4&gt;=$AS$11:$AS$74)*(L$4&lt;=$AT$11:$AT$74)&gt;0),$B12,"")</f>
        <v/>
      </c>
      <c r="M12" s="84" t="str">
        <f t="array" aca="1" ref="M12" ca="1">IF(OR((M$4&gt;=$AS$11:$AS$74)*(M$4&lt;=$AT$11:$AT$74)&gt;0),$B12,"")</f>
        <v/>
      </c>
      <c r="N12" s="84" t="str">
        <f t="array" aca="1" ref="N12" ca="1">IF(OR((N$4&gt;=$AS$11:$AS$74)*(N$4&lt;=$AT$11:$AT$74)&gt;0),$B12,"")</f>
        <v/>
      </c>
      <c r="O12" s="84" t="str">
        <f t="array" aca="1" ref="O12" ca="1">IF(OR((O$4&gt;=$AS$11:$AS$74)*(O$4&lt;=$AT$11:$AT$74)&gt;0),$B12,"")</f>
        <v/>
      </c>
      <c r="P12" s="84" t="str">
        <f t="array" aca="1" ref="P12" ca="1">IF(OR((P$4&gt;=$AS$11:$AS$74)*(P$4&lt;=$AT$11:$AT$74)&gt;0),$B12,"")</f>
        <v/>
      </c>
      <c r="Q12" s="84" t="str">
        <f t="array" aca="1" ref="Q12" ca="1">IF(OR((Q$4&gt;=$AS$11:$AS$74)*(Q$4&lt;=$AT$11:$AT$74)&gt;0),$B12,"")</f>
        <v/>
      </c>
      <c r="R12" s="84" t="str">
        <f t="array" aca="1" ref="R12" ca="1">IF(OR((R$4&gt;=$AS$11:$AS$74)*(R$4&lt;=$AT$11:$AT$74)&gt;0),$B12,"")</f>
        <v/>
      </c>
      <c r="S12" s="84" t="str">
        <f t="array" aca="1" ref="S12" ca="1">IF(OR((S$4&gt;=$AS$11:$AS$74)*(S$4&lt;=$AT$11:$AT$74)&gt;0),$B12,"")</f>
        <v/>
      </c>
      <c r="T12" s="84" t="str">
        <f t="array" aca="1" ref="T12" ca="1">IF(OR((T$4&gt;=$AS$11:$AS$74)*(T$4&lt;=$AT$11:$AT$74)&gt;0),$B12,"")</f>
        <v/>
      </c>
      <c r="U12" s="84" t="str">
        <f t="array" aca="1" ref="U12" ca="1">IF(OR((U$4&gt;=$AS$11:$AS$74)*(U$4&lt;=$AT$11:$AT$74)&gt;0),$B12,"")</f>
        <v/>
      </c>
      <c r="V12" s="84" t="str">
        <f t="array" aca="1" ref="V12" ca="1">IF(OR((V$4&gt;=$AS$11:$AS$74)*(V$4&lt;=$AT$11:$AT$74)&gt;0),$B12,"")</f>
        <v/>
      </c>
      <c r="W12" s="84" t="str">
        <f t="array" aca="1" ref="W12" ca="1">IF(OR((W$4&gt;=$AS$11:$AS$74)*(W$4&lt;=$AT$11:$AT$74)&gt;0),$B12,"")</f>
        <v/>
      </c>
      <c r="X12" s="84" t="str">
        <f t="array" aca="1" ref="X12" ca="1">IF(OR((X$4&gt;=$AS$11:$AS$74)*(X$4&lt;=$AT$11:$AT$74)&gt;0),$B12,"")</f>
        <v/>
      </c>
      <c r="Y12" s="84" t="str">
        <f t="array" aca="1" ref="Y12" ca="1">IF(OR((Y$4&gt;=$AS$11:$AS$74)*(Y$4&lt;=$AT$11:$AT$74)&gt;0),$B12,"")</f>
        <v/>
      </c>
      <c r="Z12" s="84" t="str">
        <f t="array" aca="1" ref="Z12" ca="1">IF(OR((Z$4&gt;=$AS$11:$AS$74)*(Z$4&lt;=$AT$11:$AT$74)&gt;0),$B12,"")</f>
        <v/>
      </c>
      <c r="AA12" s="84" t="str">
        <f t="array" aca="1" ref="AA12" ca="1">IF(OR((AA$4&gt;=$AS$11:$AS$74)*(AA$4&lt;=$AT$11:$AT$74)&gt;0),$B12,"")</f>
        <v/>
      </c>
      <c r="AB12" s="84" t="str">
        <f t="array" aca="1" ref="AB12" ca="1">IF(OR((AB$4&gt;=$AS$11:$AS$74)*(AB$4&lt;=$AT$11:$AT$74)&gt;0),$B12,"")</f>
        <v/>
      </c>
      <c r="AC12" s="84" t="str">
        <f t="array" aca="1" ref="AC12" ca="1">IF(OR((AC$4&gt;=$AS$11:$AS$74)*(AC$4&lt;=$AT$11:$AT$74)&gt;0),$B12,"")</f>
        <v/>
      </c>
      <c r="AD12" s="84" t="str">
        <f t="array" aca="1" ref="AD12" ca="1">IF(OR((AD$4&gt;=$AS$11:$AS$74)*(AD$4&lt;=$AT$11:$AT$74)&gt;0),$B12,"")</f>
        <v/>
      </c>
      <c r="AE12" s="84" t="str">
        <f t="array" aca="1" ref="AE12" ca="1">IF(OR((AE$4&gt;=$AS$11:$AS$74)*(AE$4&lt;=$AT$11:$AT$74)&gt;0),$B12,"")</f>
        <v/>
      </c>
      <c r="AF12" s="84" t="str">
        <f t="array" aca="1" ref="AF12" ca="1">IF(OR((AF$4&gt;=$AS$11:$AS$74)*(AF$4&lt;=$AT$11:$AT$74)&gt;0),$B12,"")</f>
        <v/>
      </c>
      <c r="AG12" s="84" t="str">
        <f t="array" aca="1" ref="AG12" ca="1">IF(OR((AG$4&gt;=$AS$11:$AS$74)*(AG$4&lt;=$AT$11:$AT$74)&gt;0),$B12,"")</f>
        <v/>
      </c>
      <c r="AH12" s="84" t="str">
        <f t="array" aca="1" ref="AH12" ca="1">IF(OR((AH$4&gt;=$AS$11:$AS$74)*(AH$4&lt;=$AT$11:$AT$74)&gt;0),$B12,"")</f>
        <v/>
      </c>
      <c r="AI12" s="84" t="str">
        <f t="array" aca="1" ref="AI12" ca="1">IF(OR((AI$4&gt;=$AS$11:$AS$74)*(AI$4&lt;=$AT$11:$AT$74)&gt;0),$B12,"")</f>
        <v/>
      </c>
      <c r="AK12" s="191"/>
      <c r="AL12">
        <v>2</v>
      </c>
      <c r="AM12" t="str">
        <f t="array" aca="1" ref="AM12" ca="1">IFERROR(OFFSET('(Fill In) SIAO'!$A$1,SMALL(IF(Signals="Y",ROW(Signals)),AL12)-1,COLUMN(Conducts)-1),"")</f>
        <v/>
      </c>
      <c r="AN12" s="113" t="str">
        <f t="array" aca="1" ref="AN12" ca="1">IFERROR(OFFSET('(Fill In) SIAO'!$A$1,SMALL(IF(Signals="Y",ROW(Signals)),AL12)-1,COLUMN(StartDate)-1),"")</f>
        <v/>
      </c>
      <c r="AO12" s="113" t="str">
        <f t="array" aca="1" ref="AO12" ca="1">IFERROR(OFFSET('(Fill In) SIAO'!$A$1,SMALL(IF(Signals="Y",ROW(Signals)),AL12)-1,COLUMN(EndDate)-1),"")</f>
        <v/>
      </c>
      <c r="AP12" s="113" t="str">
        <f t="array" aca="1" ref="AP12" ca="1">IFERROR(OFFSET('(Fill In) SIAO'!$A$1,SMALL(IF(Optics="Y",ROW(Optics)),AL12)-1,COLUMN(Conducts)-1),"")</f>
        <v/>
      </c>
      <c r="AQ12" s="113" t="str">
        <f t="array" aca="1" ref="AQ12" ca="1">IFERROR(OFFSET('(Fill In) SIAO'!$A$1,SMALL(IF(Optics="Y",ROW(Optics)),AL12)-1,COLUMN(StartDate)-1),"")</f>
        <v/>
      </c>
      <c r="AR12" s="113" t="str">
        <f t="array" aca="1" ref="AR12" ca="1">IFERROR(OFFSET('(Fill In) SIAO'!$A$1,SMALL(IF(Optics="Y",ROW(Optics)),AL12)-1,COLUMN(EndDate)-1),"")</f>
        <v/>
      </c>
      <c r="AS12" s="113" t="str">
        <f t="array" aca="1" ref="AS12" ca="1">IFERROR(OFFSET('(Fill In) SIAO'!$A$1,SMALL(IF(ACMS="Y",ROW(ACMS)),AL12)-1,COLUMN(StartDate)-1),"")</f>
        <v/>
      </c>
      <c r="AT12" s="113" t="str">
        <f t="array" aca="1" ref="AT12" ca="1">IFERROR(OFFSET('(Fill In) SIAO'!$A$1,SMALL(IF(ACMS="Y",ROW(ACMS)),AL12)-1,COLUMN(EndDate)-1),"")</f>
        <v/>
      </c>
      <c r="AU12" s="113" t="str">
        <f t="array" aca="1" ref="AU12" ca="1">IFERROR(OFFSET('(Fill In) SIAO'!$A$1,SMALL(IF(UOCE="Y",ROW(UOCE)),AL12)-1,COLUMN(StartDate)-1),"")</f>
        <v/>
      </c>
      <c r="AV12" s="113" t="str">
        <f t="array" aca="1" ref="AV12" ca="1">IFERROR(OFFSET('(Fill In) SIAO'!$A$1,SMALL(IF(UOCE="Y",ROW(UOCE)),AL12)-1,COLUMN(EndDate)-1),"")</f>
        <v/>
      </c>
      <c r="AW12" s="113" t="str">
        <f t="array" aca="1" ref="AW12" ca="1">IFERROR(OFFSET('(Fill In) SIAO'!$A$1,SMALL(IF(HLT="Y",ROW(HLT)),AL12)-1,COLUMN(StartDate)-1),"")</f>
        <v/>
      </c>
      <c r="AX12" s="113" t="str">
        <f t="array" aca="1" ref="AX12" ca="1">IFERROR(OFFSET('(Fill In) SIAO'!$A$1,SMALL(IF(HLT="Y",ROW(HLT)),AL12)-1,COLUMN(EndDate)-1),"")</f>
        <v/>
      </c>
      <c r="AY12" s="113" t="str">
        <f t="array" aca="1" ref="AY12" ca="1">IFERROR(OFFSET('(Fill In) SIAO'!$A$1,SMALL(IF(PANTES="Y",ROW(PANTES)),AL12)-1,COLUMN(StartDate)-1),"")</f>
        <v/>
      </c>
      <c r="AZ12" s="113" t="str">
        <f t="array" aca="1" ref="AZ12" ca="1">IFERROR(OFFSET('(Fill In) SIAO'!$A$1,SMALL(IF(PANTES="Y",ROW(PANTES)),AL12)-1,COLUMN(EndDate)-1),"")</f>
        <v/>
      </c>
      <c r="BA12" s="113" t="str">
        <f t="array" aca="1" ref="BA12" ca="1">IFERROR(OFFSET('(Fill In) SIAO'!$A$1,SMALL(IF(Heli="Y",ROW(Heli)),AL12)-1,COLUMN(StartDate)-1),"")</f>
        <v/>
      </c>
      <c r="BB12" s="113" t="str">
        <f t="array" aca="1" ref="BB12" ca="1">IFERROR(OFFSET('(Fill In) SIAO'!$A$1,SMALL(IF(Heli="Y",ROW(Heli)),AL12)-1,COLUMN(EndDate)-1),"")</f>
        <v/>
      </c>
      <c r="BC12" s="113" t="str">
        <f t="array" aca="1" ref="BC12" ca="1">IFERROR(OFFSET('(Fill In) SIAO'!$A$1,SMALL(IF(MMR="Y",ROW(MMR)),AL12)-1,COLUMN(StartDate)-1),"")</f>
        <v/>
      </c>
      <c r="BD12" s="113" t="str">
        <f t="array" aca="1" ref="BD12" ca="1">IFERROR(OFFSET('(Fill In) SIAO'!$A$1,SMALL(IF(MMR="Y",ROW(MMR)),AL12)-1,COLUMN(EndDate)-1),"")</f>
        <v/>
      </c>
      <c r="BE12" s="113" t="str">
        <f t="array" aca="1" ref="BE12" ca="1">IFERROR(OFFSET('(Fill In) SIAO'!$A$1,SMALL(IF(POL="Y",ROW(POL)),AL12)-1,COLUMN(StartDate)-1),"")</f>
        <v/>
      </c>
      <c r="BF12" s="113" t="str">
        <f t="array" aca="1" ref="BF12" ca="1">IFERROR(OFFSET('(Fill In) SIAO'!$A$1,SMALL(IF(POL="Y",ROW(POL)),AL12)-1,COLUMN(EndDate)-1),"")</f>
        <v/>
      </c>
    </row>
    <row r="13" spans="1:58">
      <c r="A13" s="75" t="s">
        <v>166</v>
      </c>
      <c r="B13" s="74">
        <v>24</v>
      </c>
      <c r="C13" s="84" t="str">
        <f t="array" aca="1" ref="C13" ca="1">IF(OR((C$4&gt;=$AS$11:$AS$74)*(C$4&lt;=$AT$11:$AT$74)&gt;0),$B13,"")</f>
        <v/>
      </c>
      <c r="D13" s="84" t="str">
        <f t="array" aca="1" ref="D13" ca="1">IF(OR((D$4&gt;=$AS$11:$AS$74)*(D$4&lt;=$AT$11:$AT$74)&gt;0),$B13,"")</f>
        <v/>
      </c>
      <c r="E13" s="84" t="str">
        <f t="array" aca="1" ref="E13" ca="1">IF(OR((E$4&gt;=$AS$11:$AS$74)*(E$4&lt;=$AT$11:$AT$74)&gt;0),$B13,"")</f>
        <v/>
      </c>
      <c r="F13" s="84" t="str">
        <f t="array" aca="1" ref="F13" ca="1">IF(OR((F$4&gt;=$AS$11:$AS$74)*(F$4&lt;=$AT$11:$AT$74)&gt;0),$B13,"")</f>
        <v/>
      </c>
      <c r="G13" s="84" t="str">
        <f t="array" aca="1" ref="G13" ca="1">IF(OR((G$4&gt;=$AS$11:$AS$74)*(G$4&lt;=$AT$11:$AT$74)&gt;0),$B13,"")</f>
        <v/>
      </c>
      <c r="H13" s="84" t="str">
        <f t="array" aca="1" ref="H13" ca="1">IF(OR((H$4&gt;=$AS$11:$AS$74)*(H$4&lt;=$AT$11:$AT$74)&gt;0),$B13,"")</f>
        <v/>
      </c>
      <c r="I13" s="84" t="str">
        <f t="array" aca="1" ref="I13" ca="1">IF(OR((I$4&gt;=$AS$11:$AS$74)*(I$4&lt;=$AT$11:$AT$74)&gt;0),$B13,"")</f>
        <v/>
      </c>
      <c r="J13" s="84" t="str">
        <f t="array" aca="1" ref="J13" ca="1">IF(OR((J$4&gt;=$AS$11:$AS$74)*(J$4&lt;=$AT$11:$AT$74)&gt;0),$B13,"")</f>
        <v/>
      </c>
      <c r="K13" s="84" t="str">
        <f t="array" aca="1" ref="K13" ca="1">IF(OR((K$4&gt;=$AS$11:$AS$74)*(K$4&lt;=$AT$11:$AT$74)&gt;0),$B13,"")</f>
        <v/>
      </c>
      <c r="L13" s="84" t="str">
        <f t="array" aca="1" ref="L13" ca="1">IF(OR((L$4&gt;=$AS$11:$AS$74)*(L$4&lt;=$AT$11:$AT$74)&gt;0),$B13,"")</f>
        <v/>
      </c>
      <c r="M13" s="84" t="str">
        <f t="array" aca="1" ref="M13" ca="1">IF(OR((M$4&gt;=$AS$11:$AS$74)*(M$4&lt;=$AT$11:$AT$74)&gt;0),$B13,"")</f>
        <v/>
      </c>
      <c r="N13" s="84" t="str">
        <f t="array" aca="1" ref="N13" ca="1">IF(OR((N$4&gt;=$AS$11:$AS$74)*(N$4&lt;=$AT$11:$AT$74)&gt;0),$B13,"")</f>
        <v/>
      </c>
      <c r="O13" s="84" t="str">
        <f t="array" aca="1" ref="O13" ca="1">IF(OR((O$4&gt;=$AS$11:$AS$74)*(O$4&lt;=$AT$11:$AT$74)&gt;0),$B13,"")</f>
        <v/>
      </c>
      <c r="P13" s="84" t="str">
        <f t="array" aca="1" ref="P13" ca="1">IF(OR((P$4&gt;=$AS$11:$AS$74)*(P$4&lt;=$AT$11:$AT$74)&gt;0),$B13,"")</f>
        <v/>
      </c>
      <c r="Q13" s="84" t="str">
        <f t="array" aca="1" ref="Q13" ca="1">IF(OR((Q$4&gt;=$AS$11:$AS$74)*(Q$4&lt;=$AT$11:$AT$74)&gt;0),$B13,"")</f>
        <v/>
      </c>
      <c r="R13" s="84" t="str">
        <f t="array" aca="1" ref="R13" ca="1">IF(OR((R$4&gt;=$AS$11:$AS$74)*(R$4&lt;=$AT$11:$AT$74)&gt;0),$B13,"")</f>
        <v/>
      </c>
      <c r="S13" s="84" t="str">
        <f t="array" aca="1" ref="S13" ca="1">IF(OR((S$4&gt;=$AS$11:$AS$74)*(S$4&lt;=$AT$11:$AT$74)&gt;0),$B13,"")</f>
        <v/>
      </c>
      <c r="T13" s="84" t="str">
        <f t="array" aca="1" ref="T13" ca="1">IF(OR((T$4&gt;=$AS$11:$AS$74)*(T$4&lt;=$AT$11:$AT$74)&gt;0),$B13,"")</f>
        <v/>
      </c>
      <c r="U13" s="84" t="str">
        <f t="array" aca="1" ref="U13" ca="1">IF(OR((U$4&gt;=$AS$11:$AS$74)*(U$4&lt;=$AT$11:$AT$74)&gt;0),$B13,"")</f>
        <v/>
      </c>
      <c r="V13" s="84" t="str">
        <f t="array" aca="1" ref="V13" ca="1">IF(OR((V$4&gt;=$AS$11:$AS$74)*(V$4&lt;=$AT$11:$AT$74)&gt;0),$B13,"")</f>
        <v/>
      </c>
      <c r="W13" s="84" t="str">
        <f t="array" aca="1" ref="W13" ca="1">IF(OR((W$4&gt;=$AS$11:$AS$74)*(W$4&lt;=$AT$11:$AT$74)&gt;0),$B13,"")</f>
        <v/>
      </c>
      <c r="X13" s="84" t="str">
        <f t="array" aca="1" ref="X13" ca="1">IF(OR((X$4&gt;=$AS$11:$AS$74)*(X$4&lt;=$AT$11:$AT$74)&gt;0),$B13,"")</f>
        <v/>
      </c>
      <c r="Y13" s="84" t="str">
        <f t="array" aca="1" ref="Y13" ca="1">IF(OR((Y$4&gt;=$AS$11:$AS$74)*(Y$4&lt;=$AT$11:$AT$74)&gt;0),$B13,"")</f>
        <v/>
      </c>
      <c r="Z13" s="84" t="str">
        <f t="array" aca="1" ref="Z13" ca="1">IF(OR((Z$4&gt;=$AS$11:$AS$74)*(Z$4&lt;=$AT$11:$AT$74)&gt;0),$B13,"")</f>
        <v/>
      </c>
      <c r="AA13" s="84" t="str">
        <f t="array" aca="1" ref="AA13" ca="1">IF(OR((AA$4&gt;=$AS$11:$AS$74)*(AA$4&lt;=$AT$11:$AT$74)&gt;0),$B13,"")</f>
        <v/>
      </c>
      <c r="AB13" s="84" t="str">
        <f t="array" aca="1" ref="AB13" ca="1">IF(OR((AB$4&gt;=$AS$11:$AS$74)*(AB$4&lt;=$AT$11:$AT$74)&gt;0),$B13,"")</f>
        <v/>
      </c>
      <c r="AC13" s="84" t="str">
        <f t="array" aca="1" ref="AC13" ca="1">IF(OR((AC$4&gt;=$AS$11:$AS$74)*(AC$4&lt;=$AT$11:$AT$74)&gt;0),$B13,"")</f>
        <v/>
      </c>
      <c r="AD13" s="84" t="str">
        <f t="array" aca="1" ref="AD13" ca="1">IF(OR((AD$4&gt;=$AS$11:$AS$74)*(AD$4&lt;=$AT$11:$AT$74)&gt;0),$B13,"")</f>
        <v/>
      </c>
      <c r="AE13" s="84" t="str">
        <f t="array" aca="1" ref="AE13" ca="1">IF(OR((AE$4&gt;=$AS$11:$AS$74)*(AE$4&lt;=$AT$11:$AT$74)&gt;0),$B13,"")</f>
        <v/>
      </c>
      <c r="AF13" s="84" t="str">
        <f t="array" aca="1" ref="AF13" ca="1">IF(OR((AF$4&gt;=$AS$11:$AS$74)*(AF$4&lt;=$AT$11:$AT$74)&gt;0),$B13,"")</f>
        <v/>
      </c>
      <c r="AG13" s="84" t="str">
        <f t="array" aca="1" ref="AG13" ca="1">IF(OR((AG$4&gt;=$AS$11:$AS$74)*(AG$4&lt;=$AT$11:$AT$74)&gt;0),$B13,"")</f>
        <v/>
      </c>
      <c r="AH13" s="84" t="str">
        <f t="array" aca="1" ref="AH13" ca="1">IF(OR((AH$4&gt;=$AS$11:$AS$74)*(AH$4&lt;=$AT$11:$AT$74)&gt;0),$B13,"")</f>
        <v/>
      </c>
      <c r="AI13" s="84" t="str">
        <f t="array" aca="1" ref="AI13" ca="1">IF(OR((AI$4&gt;=$AS$11:$AS$74)*(AI$4&lt;=$AT$11:$AT$74)&gt;0),$B13,"")</f>
        <v/>
      </c>
      <c r="AK13" s="191"/>
      <c r="AL13">
        <v>3</v>
      </c>
      <c r="AM13" t="str">
        <f t="array" aca="1" ref="AM13" ca="1">IFERROR(OFFSET('(Fill In) SIAO'!$A$1,SMALL(IF(Signals="Y",ROW(Signals)),AL13)-1,COLUMN(Conducts)-1),"")</f>
        <v/>
      </c>
      <c r="AN13" s="113" t="str">
        <f t="array" aca="1" ref="AN13" ca="1">IFERROR(OFFSET('(Fill In) SIAO'!$A$1,SMALL(IF(Signals="Y",ROW(Signals)),AL13)-1,COLUMN(StartDate)-1),"")</f>
        <v/>
      </c>
      <c r="AO13" s="113" t="str">
        <f t="array" aca="1" ref="AO13" ca="1">IFERROR(OFFSET('(Fill In) SIAO'!$A$1,SMALL(IF(Signals="Y",ROW(Signals)),AL13)-1,COLUMN(EndDate)-1),"")</f>
        <v/>
      </c>
      <c r="AP13" s="113" t="str">
        <f t="array" aca="1" ref="AP13" ca="1">IFERROR(OFFSET('(Fill In) SIAO'!$A$1,SMALL(IF(Optics="Y",ROW(Optics)),AL13)-1,COLUMN(Conducts)-1),"")</f>
        <v/>
      </c>
      <c r="AQ13" s="113" t="str">
        <f t="array" aca="1" ref="AQ13" ca="1">IFERROR(OFFSET('(Fill In) SIAO'!$A$1,SMALL(IF(Optics="Y",ROW(Optics)),AL13)-1,COLUMN(StartDate)-1),"")</f>
        <v/>
      </c>
      <c r="AR13" s="113" t="str">
        <f t="array" aca="1" ref="AR13" ca="1">IFERROR(OFFSET('(Fill In) SIAO'!$A$1,SMALL(IF(Optics="Y",ROW(Optics)),AL13)-1,COLUMN(EndDate)-1),"")</f>
        <v/>
      </c>
      <c r="AS13" s="113" t="str">
        <f t="array" aca="1" ref="AS13" ca="1">IFERROR(OFFSET('(Fill In) SIAO'!$A$1,SMALL(IF(ACMS="Y",ROW(ACMS)),AL13)-1,COLUMN(StartDate)-1),"")</f>
        <v/>
      </c>
      <c r="AT13" s="113" t="str">
        <f t="array" aca="1" ref="AT13" ca="1">IFERROR(OFFSET('(Fill In) SIAO'!$A$1,SMALL(IF(ACMS="Y",ROW(ACMS)),AL13)-1,COLUMN(EndDate)-1),"")</f>
        <v/>
      </c>
      <c r="AU13" s="113" t="str">
        <f t="array" aca="1" ref="AU13" ca="1">IFERROR(OFFSET('(Fill In) SIAO'!$A$1,SMALL(IF(UOCE="Y",ROW(UOCE)),AL13)-1,COLUMN(StartDate)-1),"")</f>
        <v/>
      </c>
      <c r="AV13" s="113" t="str">
        <f t="array" aca="1" ref="AV13" ca="1">IFERROR(OFFSET('(Fill In) SIAO'!$A$1,SMALL(IF(UOCE="Y",ROW(UOCE)),AL13)-1,COLUMN(EndDate)-1),"")</f>
        <v/>
      </c>
      <c r="AW13" s="113" t="str">
        <f t="array" aca="1" ref="AW13" ca="1">IFERROR(OFFSET('(Fill In) SIAO'!$A$1,SMALL(IF(HLT="Y",ROW(HLT)),AL13)-1,COLUMN(StartDate)-1),"")</f>
        <v/>
      </c>
      <c r="AX13" s="113" t="str">
        <f t="array" aca="1" ref="AX13" ca="1">IFERROR(OFFSET('(Fill In) SIAO'!$A$1,SMALL(IF(HLT="Y",ROW(HLT)),AL13)-1,COLUMN(EndDate)-1),"")</f>
        <v/>
      </c>
      <c r="AY13" s="113" t="str">
        <f t="array" aca="1" ref="AY13" ca="1">IFERROR(OFFSET('(Fill In) SIAO'!$A$1,SMALL(IF(PANTES="Y",ROW(PANTES)),AL13)-1,COLUMN(StartDate)-1),"")</f>
        <v/>
      </c>
      <c r="AZ13" s="113" t="str">
        <f t="array" aca="1" ref="AZ13" ca="1">IFERROR(OFFSET('(Fill In) SIAO'!$A$1,SMALL(IF(PANTES="Y",ROW(PANTES)),AL13)-1,COLUMN(EndDate)-1),"")</f>
        <v/>
      </c>
      <c r="BA13" s="113" t="str">
        <f t="array" aca="1" ref="BA13" ca="1">IFERROR(OFFSET('(Fill In) SIAO'!$A$1,SMALL(IF(Heli="Y",ROW(Heli)),AL13)-1,COLUMN(StartDate)-1),"")</f>
        <v/>
      </c>
      <c r="BB13" s="113" t="str">
        <f t="array" aca="1" ref="BB13" ca="1">IFERROR(OFFSET('(Fill In) SIAO'!$A$1,SMALL(IF(Heli="Y",ROW(Heli)),AL13)-1,COLUMN(EndDate)-1),"")</f>
        <v/>
      </c>
      <c r="BC13" s="113" t="str">
        <f t="array" aca="1" ref="BC13" ca="1">IFERROR(OFFSET('(Fill In) SIAO'!$A$1,SMALL(IF(MMR="Y",ROW(MMR)),AL13)-1,COLUMN(StartDate)-1),"")</f>
        <v/>
      </c>
      <c r="BD13" s="113" t="str">
        <f t="array" aca="1" ref="BD13" ca="1">IFERROR(OFFSET('(Fill In) SIAO'!$A$1,SMALL(IF(MMR="Y",ROW(MMR)),AL13)-1,COLUMN(EndDate)-1),"")</f>
        <v/>
      </c>
      <c r="BE13" s="113" t="str">
        <f t="array" aca="1" ref="BE13" ca="1">IFERROR(OFFSET('(Fill In) SIAO'!$A$1,SMALL(IF(POL="Y",ROW(POL)),AL13)-1,COLUMN(StartDate)-1),"")</f>
        <v/>
      </c>
      <c r="BF13" s="113" t="str">
        <f t="array" aca="1" ref="BF13" ca="1">IFERROR(OFFSET('(Fill In) SIAO'!$A$1,SMALL(IF(POL="Y",ROW(POL)),AL13)-1,COLUMN(EndDate)-1),"")</f>
        <v/>
      </c>
    </row>
    <row r="14" spans="1:58">
      <c r="A14" s="8"/>
      <c r="B14" s="12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K14" s="191"/>
      <c r="AL14">
        <v>4</v>
      </c>
      <c r="AM14" t="str">
        <f t="array" aca="1" ref="AM14" ca="1">IFERROR(OFFSET('(Fill In) SIAO'!$A$1,SMALL(IF(Signals="Y",ROW(Signals)),AL14)-1,COLUMN(Conducts)-1),"")</f>
        <v/>
      </c>
      <c r="AN14" s="113" t="str">
        <f t="array" aca="1" ref="AN14" ca="1">IFERROR(OFFSET('(Fill In) SIAO'!$A$1,SMALL(IF(Signals="Y",ROW(Signals)),AL14)-1,COLUMN(StartDate)-1),"")</f>
        <v/>
      </c>
      <c r="AO14" s="113" t="str">
        <f t="array" aca="1" ref="AO14" ca="1">IFERROR(OFFSET('(Fill In) SIAO'!$A$1,SMALL(IF(Signals="Y",ROW(Signals)),AL14)-1,COLUMN(EndDate)-1),"")</f>
        <v/>
      </c>
      <c r="AP14" s="113" t="str">
        <f t="array" aca="1" ref="AP14" ca="1">IFERROR(OFFSET('(Fill In) SIAO'!$A$1,SMALL(IF(Optics="Y",ROW(Optics)),AL14)-1,COLUMN(Conducts)-1),"")</f>
        <v/>
      </c>
      <c r="AQ14" s="113" t="str">
        <f t="array" aca="1" ref="AQ14" ca="1">IFERROR(OFFSET('(Fill In) SIAO'!$A$1,SMALL(IF(Optics="Y",ROW(Optics)),AL14)-1,COLUMN(StartDate)-1),"")</f>
        <v/>
      </c>
      <c r="AR14" s="113" t="str">
        <f t="array" aca="1" ref="AR14" ca="1">IFERROR(OFFSET('(Fill In) SIAO'!$A$1,SMALL(IF(Optics="Y",ROW(Optics)),AL14)-1,COLUMN(EndDate)-1),"")</f>
        <v/>
      </c>
      <c r="AS14" s="113" t="str">
        <f t="array" aca="1" ref="AS14" ca="1">IFERROR(OFFSET('(Fill In) SIAO'!$A$1,SMALL(IF(ACMS="Y",ROW(ACMS)),AL14)-1,COLUMN(StartDate)-1),"")</f>
        <v/>
      </c>
      <c r="AT14" s="113" t="str">
        <f t="array" aca="1" ref="AT14" ca="1">IFERROR(OFFSET('(Fill In) SIAO'!$A$1,SMALL(IF(ACMS="Y",ROW(ACMS)),AL14)-1,COLUMN(EndDate)-1),"")</f>
        <v/>
      </c>
      <c r="AU14" s="113" t="str">
        <f t="array" aca="1" ref="AU14" ca="1">IFERROR(OFFSET('(Fill In) SIAO'!$A$1,SMALL(IF(UOCE="Y",ROW(UOCE)),AL14)-1,COLUMN(StartDate)-1),"")</f>
        <v/>
      </c>
      <c r="AV14" s="113" t="str">
        <f t="array" aca="1" ref="AV14" ca="1">IFERROR(OFFSET('(Fill In) SIAO'!$A$1,SMALL(IF(UOCE="Y",ROW(UOCE)),AL14)-1,COLUMN(EndDate)-1),"")</f>
        <v/>
      </c>
      <c r="AW14" s="113" t="str">
        <f t="array" aca="1" ref="AW14" ca="1">IFERROR(OFFSET('(Fill In) SIAO'!$A$1,SMALL(IF(HLT="Y",ROW(HLT)),AL14)-1,COLUMN(StartDate)-1),"")</f>
        <v/>
      </c>
      <c r="AX14" s="113" t="str">
        <f t="array" aca="1" ref="AX14" ca="1">IFERROR(OFFSET('(Fill In) SIAO'!$A$1,SMALL(IF(HLT="Y",ROW(HLT)),AL14)-1,COLUMN(EndDate)-1),"")</f>
        <v/>
      </c>
      <c r="AY14" s="113" t="str">
        <f t="array" aca="1" ref="AY14" ca="1">IFERROR(OFFSET('(Fill In) SIAO'!$A$1,SMALL(IF(PANTES="Y",ROW(PANTES)),AL14)-1,COLUMN(StartDate)-1),"")</f>
        <v/>
      </c>
      <c r="AZ14" s="113" t="str">
        <f t="array" aca="1" ref="AZ14" ca="1">IFERROR(OFFSET('(Fill In) SIAO'!$A$1,SMALL(IF(PANTES="Y",ROW(PANTES)),AL14)-1,COLUMN(EndDate)-1),"")</f>
        <v/>
      </c>
      <c r="BA14" s="113" t="str">
        <f t="array" aca="1" ref="BA14" ca="1">IFERROR(OFFSET('(Fill In) SIAO'!$A$1,SMALL(IF(Heli="Y",ROW(Heli)),AL14)-1,COLUMN(StartDate)-1),"")</f>
        <v/>
      </c>
      <c r="BB14" s="113" t="str">
        <f t="array" aca="1" ref="BB14" ca="1">IFERROR(OFFSET('(Fill In) SIAO'!$A$1,SMALL(IF(Heli="Y",ROW(Heli)),AL14)-1,COLUMN(EndDate)-1),"")</f>
        <v/>
      </c>
      <c r="BC14" s="113" t="str">
        <f t="array" aca="1" ref="BC14" ca="1">IFERROR(OFFSET('(Fill In) SIAO'!$A$1,SMALL(IF(MMR="Y",ROW(MMR)),AL14)-1,COLUMN(StartDate)-1),"")</f>
        <v/>
      </c>
      <c r="BD14" s="113" t="str">
        <f t="array" aca="1" ref="BD14" ca="1">IFERROR(OFFSET('(Fill In) SIAO'!$A$1,SMALL(IF(MMR="Y",ROW(MMR)),AL14)-1,COLUMN(EndDate)-1),"")</f>
        <v/>
      </c>
      <c r="BE14" s="113" t="str">
        <f t="array" aca="1" ref="BE14" ca="1">IFERROR(OFFSET('(Fill In) SIAO'!$A$1,SMALL(IF(POL="Y",ROW(POL)),AL14)-1,COLUMN(StartDate)-1),"")</f>
        <v/>
      </c>
      <c r="BF14" s="113" t="str">
        <f t="array" aca="1" ref="BF14" ca="1">IFERROR(OFFSET('(Fill In) SIAO'!$A$1,SMALL(IF(POL="Y",ROW(POL)),AL14)-1,COLUMN(EndDate)-1),"")</f>
        <v/>
      </c>
    </row>
    <row r="15" spans="1:58">
      <c r="A15" s="7" t="s">
        <v>90</v>
      </c>
      <c r="B15" s="1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K15" s="191"/>
      <c r="AL15">
        <v>5</v>
      </c>
      <c r="AM15" t="str">
        <f t="array" aca="1" ref="AM15" ca="1">IFERROR(OFFSET('(Fill In) SIAO'!$A$1,SMALL(IF(Signals="Y",ROW(Signals)),AL15)-1,COLUMN(Conducts)-1),"")</f>
        <v/>
      </c>
      <c r="AN15" s="113" t="str">
        <f t="array" aca="1" ref="AN15" ca="1">IFERROR(OFFSET('(Fill In) SIAO'!$A$1,SMALL(IF(Signals="Y",ROW(Signals)),AL15)-1,COLUMN(StartDate)-1),"")</f>
        <v/>
      </c>
      <c r="AO15" s="113" t="str">
        <f t="array" aca="1" ref="AO15" ca="1">IFERROR(OFFSET('(Fill In) SIAO'!$A$1,SMALL(IF(Signals="Y",ROW(Signals)),AL15)-1,COLUMN(EndDate)-1),"")</f>
        <v/>
      </c>
      <c r="AP15" s="113" t="str">
        <f t="array" aca="1" ref="AP15" ca="1">IFERROR(OFFSET('(Fill In) SIAO'!$A$1,SMALL(IF(Optics="Y",ROW(Optics)),AL15)-1,COLUMN(Conducts)-1),"")</f>
        <v/>
      </c>
      <c r="AQ15" s="113" t="str">
        <f t="array" aca="1" ref="AQ15" ca="1">IFERROR(OFFSET('(Fill In) SIAO'!$A$1,SMALL(IF(Optics="Y",ROW(Optics)),AL15)-1,COLUMN(StartDate)-1),"")</f>
        <v/>
      </c>
      <c r="AR15" s="113" t="str">
        <f t="array" aca="1" ref="AR15" ca="1">IFERROR(OFFSET('(Fill In) SIAO'!$A$1,SMALL(IF(Optics="Y",ROW(Optics)),AL15)-1,COLUMN(EndDate)-1),"")</f>
        <v/>
      </c>
      <c r="AS15" s="113" t="str">
        <f t="array" aca="1" ref="AS15" ca="1">IFERROR(OFFSET('(Fill In) SIAO'!$A$1,SMALL(IF(ACMS="Y",ROW(ACMS)),AL15)-1,COLUMN(StartDate)-1),"")</f>
        <v/>
      </c>
      <c r="AT15" s="113" t="str">
        <f t="array" aca="1" ref="AT15" ca="1">IFERROR(OFFSET('(Fill In) SIAO'!$A$1,SMALL(IF(ACMS="Y",ROW(ACMS)),AL15)-1,COLUMN(EndDate)-1),"")</f>
        <v/>
      </c>
      <c r="AU15" s="113" t="str">
        <f t="array" aca="1" ref="AU15" ca="1">IFERROR(OFFSET('(Fill In) SIAO'!$A$1,SMALL(IF(UOCE="Y",ROW(UOCE)),AL15)-1,COLUMN(StartDate)-1),"")</f>
        <v/>
      </c>
      <c r="AV15" s="113" t="str">
        <f t="array" aca="1" ref="AV15" ca="1">IFERROR(OFFSET('(Fill In) SIAO'!$A$1,SMALL(IF(UOCE="Y",ROW(UOCE)),AL15)-1,COLUMN(EndDate)-1),"")</f>
        <v/>
      </c>
      <c r="AW15" s="113" t="str">
        <f t="array" aca="1" ref="AW15" ca="1">IFERROR(OFFSET('(Fill In) SIAO'!$A$1,SMALL(IF(HLT="Y",ROW(HLT)),AL15)-1,COLUMN(StartDate)-1),"")</f>
        <v/>
      </c>
      <c r="AX15" s="113" t="str">
        <f t="array" aca="1" ref="AX15" ca="1">IFERROR(OFFSET('(Fill In) SIAO'!$A$1,SMALL(IF(HLT="Y",ROW(HLT)),AL15)-1,COLUMN(EndDate)-1),"")</f>
        <v/>
      </c>
      <c r="AY15" s="113" t="str">
        <f t="array" aca="1" ref="AY15" ca="1">IFERROR(OFFSET('(Fill In) SIAO'!$A$1,SMALL(IF(PANTES="Y",ROW(PANTES)),AL15)-1,COLUMN(StartDate)-1),"")</f>
        <v/>
      </c>
      <c r="AZ15" s="113" t="str">
        <f t="array" aca="1" ref="AZ15" ca="1">IFERROR(OFFSET('(Fill In) SIAO'!$A$1,SMALL(IF(PANTES="Y",ROW(PANTES)),AL15)-1,COLUMN(EndDate)-1),"")</f>
        <v/>
      </c>
      <c r="BA15" s="113" t="str">
        <f t="array" aca="1" ref="BA15" ca="1">IFERROR(OFFSET('(Fill In) SIAO'!$A$1,SMALL(IF(Heli="Y",ROW(Heli)),AL15)-1,COLUMN(StartDate)-1),"")</f>
        <v/>
      </c>
      <c r="BB15" s="113" t="str">
        <f t="array" aca="1" ref="BB15" ca="1">IFERROR(OFFSET('(Fill In) SIAO'!$A$1,SMALL(IF(Heli="Y",ROW(Heli)),AL15)-1,COLUMN(EndDate)-1),"")</f>
        <v/>
      </c>
      <c r="BC15" s="113" t="str">
        <f t="array" aca="1" ref="BC15" ca="1">IFERROR(OFFSET('(Fill In) SIAO'!$A$1,SMALL(IF(MMR="Y",ROW(MMR)),AL15)-1,COLUMN(StartDate)-1),"")</f>
        <v/>
      </c>
      <c r="BD15" s="113" t="str">
        <f t="array" aca="1" ref="BD15" ca="1">IFERROR(OFFSET('(Fill In) SIAO'!$A$1,SMALL(IF(MMR="Y",ROW(MMR)),AL15)-1,COLUMN(EndDate)-1),"")</f>
        <v/>
      </c>
      <c r="BE15" s="113" t="str">
        <f t="array" aca="1" ref="BE15" ca="1">IFERROR(OFFSET('(Fill In) SIAO'!$A$1,SMALL(IF(POL="Y",ROW(POL)),AL15)-1,COLUMN(StartDate)-1),"")</f>
        <v/>
      </c>
      <c r="BF15" s="113" t="str">
        <f t="array" aca="1" ref="BF15" ca="1">IFERROR(OFFSET('(Fill In) SIAO'!$A$1,SMALL(IF(POL="Y",ROW(POL)),AL15)-1,COLUMN(EndDate)-1),"")</f>
        <v/>
      </c>
    </row>
    <row r="16" spans="1:58">
      <c r="A16" s="75"/>
      <c r="B16" s="11" t="s">
        <v>154</v>
      </c>
      <c r="C16" s="112">
        <f>EOMONTH($A$1,-1)</f>
        <v>45016</v>
      </c>
      <c r="D16" s="112">
        <f t="shared" ref="D16:AI16" si="1">C16+1</f>
        <v>45017</v>
      </c>
      <c r="E16" s="112">
        <f t="shared" si="1"/>
        <v>45018</v>
      </c>
      <c r="F16" s="112">
        <f t="shared" si="1"/>
        <v>45019</v>
      </c>
      <c r="G16" s="112">
        <f t="shared" si="1"/>
        <v>45020</v>
      </c>
      <c r="H16" s="112">
        <f t="shared" si="1"/>
        <v>45021</v>
      </c>
      <c r="I16" s="112">
        <f t="shared" si="1"/>
        <v>45022</v>
      </c>
      <c r="J16" s="112">
        <f t="shared" si="1"/>
        <v>45023</v>
      </c>
      <c r="K16" s="112">
        <f t="shared" si="1"/>
        <v>45024</v>
      </c>
      <c r="L16" s="112">
        <f t="shared" si="1"/>
        <v>45025</v>
      </c>
      <c r="M16" s="112">
        <f t="shared" si="1"/>
        <v>45026</v>
      </c>
      <c r="N16" s="112">
        <f t="shared" si="1"/>
        <v>45027</v>
      </c>
      <c r="O16" s="112">
        <f t="shared" si="1"/>
        <v>45028</v>
      </c>
      <c r="P16" s="112">
        <f t="shared" si="1"/>
        <v>45029</v>
      </c>
      <c r="Q16" s="112">
        <f t="shared" si="1"/>
        <v>45030</v>
      </c>
      <c r="R16" s="112">
        <f t="shared" si="1"/>
        <v>45031</v>
      </c>
      <c r="S16" s="112">
        <f t="shared" si="1"/>
        <v>45032</v>
      </c>
      <c r="T16" s="112">
        <f t="shared" si="1"/>
        <v>45033</v>
      </c>
      <c r="U16" s="112">
        <f t="shared" si="1"/>
        <v>45034</v>
      </c>
      <c r="V16" s="112">
        <f t="shared" si="1"/>
        <v>45035</v>
      </c>
      <c r="W16" s="112">
        <f t="shared" si="1"/>
        <v>45036</v>
      </c>
      <c r="X16" s="112">
        <f t="shared" si="1"/>
        <v>45037</v>
      </c>
      <c r="Y16" s="112">
        <f t="shared" si="1"/>
        <v>45038</v>
      </c>
      <c r="Z16" s="112">
        <f t="shared" si="1"/>
        <v>45039</v>
      </c>
      <c r="AA16" s="112">
        <f t="shared" si="1"/>
        <v>45040</v>
      </c>
      <c r="AB16" s="112">
        <f t="shared" si="1"/>
        <v>45041</v>
      </c>
      <c r="AC16" s="112">
        <f t="shared" si="1"/>
        <v>45042</v>
      </c>
      <c r="AD16" s="112">
        <f t="shared" si="1"/>
        <v>45043</v>
      </c>
      <c r="AE16" s="112">
        <f t="shared" si="1"/>
        <v>45044</v>
      </c>
      <c r="AF16" s="112">
        <f t="shared" si="1"/>
        <v>45045</v>
      </c>
      <c r="AG16" s="112">
        <f t="shared" si="1"/>
        <v>45046</v>
      </c>
      <c r="AH16" s="112">
        <f t="shared" si="1"/>
        <v>45047</v>
      </c>
      <c r="AI16" s="112">
        <f t="shared" si="1"/>
        <v>45048</v>
      </c>
      <c r="AK16" s="191"/>
      <c r="AL16">
        <v>6</v>
      </c>
      <c r="AM16" t="str">
        <f t="array" aca="1" ref="AM16" ca="1">IFERROR(OFFSET('(Fill In) SIAO'!$A$1,SMALL(IF(Signals="Y",ROW(Signals)),AL16)-1,COLUMN(Conducts)-1),"")</f>
        <v/>
      </c>
      <c r="AN16" s="113" t="str">
        <f t="array" aca="1" ref="AN16" ca="1">IFERROR(OFFSET('(Fill In) SIAO'!$A$1,SMALL(IF(Signals="Y",ROW(Signals)),AL16)-1,COLUMN(StartDate)-1),"")</f>
        <v/>
      </c>
      <c r="AO16" s="113" t="str">
        <f t="array" aca="1" ref="AO16" ca="1">IFERROR(OFFSET('(Fill In) SIAO'!$A$1,SMALL(IF(Signals="Y",ROW(Signals)),AL16)-1,COLUMN(EndDate)-1),"")</f>
        <v/>
      </c>
      <c r="AP16" s="113" t="str">
        <f t="array" aca="1" ref="AP16" ca="1">IFERROR(OFFSET('(Fill In) SIAO'!$A$1,SMALL(IF(Optics="Y",ROW(Optics)),AL16)-1,COLUMN(Conducts)-1),"")</f>
        <v/>
      </c>
      <c r="AQ16" s="113" t="str">
        <f t="array" aca="1" ref="AQ16" ca="1">IFERROR(OFFSET('(Fill In) SIAO'!$A$1,SMALL(IF(Optics="Y",ROW(Optics)),AL16)-1,COLUMN(StartDate)-1),"")</f>
        <v/>
      </c>
      <c r="AR16" s="113" t="str">
        <f t="array" aca="1" ref="AR16" ca="1">IFERROR(OFFSET('(Fill In) SIAO'!$A$1,SMALL(IF(Optics="Y",ROW(Optics)),AL16)-1,COLUMN(EndDate)-1),"")</f>
        <v/>
      </c>
      <c r="AS16" s="113" t="str">
        <f t="array" aca="1" ref="AS16" ca="1">IFERROR(OFFSET('(Fill In) SIAO'!$A$1,SMALL(IF(ACMS="Y",ROW(ACMS)),AL16)-1,COLUMN(StartDate)-1),"")</f>
        <v/>
      </c>
      <c r="AT16" s="113" t="str">
        <f t="array" aca="1" ref="AT16" ca="1">IFERROR(OFFSET('(Fill In) SIAO'!$A$1,SMALL(IF(ACMS="Y",ROW(ACMS)),AL16)-1,COLUMN(EndDate)-1),"")</f>
        <v/>
      </c>
      <c r="AU16" s="113" t="str">
        <f t="array" aca="1" ref="AU16" ca="1">IFERROR(OFFSET('(Fill In) SIAO'!$A$1,SMALL(IF(UOCE="Y",ROW(UOCE)),AL16)-1,COLUMN(StartDate)-1),"")</f>
        <v/>
      </c>
      <c r="AV16" s="113" t="str">
        <f t="array" aca="1" ref="AV16" ca="1">IFERROR(OFFSET('(Fill In) SIAO'!$A$1,SMALL(IF(UOCE="Y",ROW(UOCE)),AL16)-1,COLUMN(EndDate)-1),"")</f>
        <v/>
      </c>
      <c r="AW16" s="113" t="str">
        <f t="array" aca="1" ref="AW16" ca="1">IFERROR(OFFSET('(Fill In) SIAO'!$A$1,SMALL(IF(HLT="Y",ROW(HLT)),AL16)-1,COLUMN(StartDate)-1),"")</f>
        <v/>
      </c>
      <c r="AX16" s="113" t="str">
        <f t="array" aca="1" ref="AX16" ca="1">IFERROR(OFFSET('(Fill In) SIAO'!$A$1,SMALL(IF(HLT="Y",ROW(HLT)),AL16)-1,COLUMN(EndDate)-1),"")</f>
        <v/>
      </c>
      <c r="AY16" s="113" t="str">
        <f t="array" aca="1" ref="AY16" ca="1">IFERROR(OFFSET('(Fill In) SIAO'!$A$1,SMALL(IF(PANTES="Y",ROW(PANTES)),AL16)-1,COLUMN(StartDate)-1),"")</f>
        <v/>
      </c>
      <c r="AZ16" s="113" t="str">
        <f t="array" aca="1" ref="AZ16" ca="1">IFERROR(OFFSET('(Fill In) SIAO'!$A$1,SMALL(IF(PANTES="Y",ROW(PANTES)),AL16)-1,COLUMN(EndDate)-1),"")</f>
        <v/>
      </c>
      <c r="BA16" s="113" t="str">
        <f t="array" aca="1" ref="BA16" ca="1">IFERROR(OFFSET('(Fill In) SIAO'!$A$1,SMALL(IF(Heli="Y",ROW(Heli)),AL16)-1,COLUMN(StartDate)-1),"")</f>
        <v/>
      </c>
      <c r="BB16" s="113" t="str">
        <f t="array" aca="1" ref="BB16" ca="1">IFERROR(OFFSET('(Fill In) SIAO'!$A$1,SMALL(IF(Heli="Y",ROW(Heli)),AL16)-1,COLUMN(EndDate)-1),"")</f>
        <v/>
      </c>
      <c r="BC16" s="113" t="str">
        <f t="array" aca="1" ref="BC16" ca="1">IFERROR(OFFSET('(Fill In) SIAO'!$A$1,SMALL(IF(MMR="Y",ROW(MMR)),AL16)-1,COLUMN(StartDate)-1),"")</f>
        <v/>
      </c>
      <c r="BD16" s="113" t="str">
        <f t="array" aca="1" ref="BD16" ca="1">IFERROR(OFFSET('(Fill In) SIAO'!$A$1,SMALL(IF(MMR="Y",ROW(MMR)),AL16)-1,COLUMN(EndDate)-1),"")</f>
        <v/>
      </c>
      <c r="BE16" s="113" t="str">
        <f t="array" aca="1" ref="BE16" ca="1">IFERROR(OFFSET('(Fill In) SIAO'!$A$1,SMALL(IF(POL="Y",ROW(POL)),AL16)-1,COLUMN(StartDate)-1),"")</f>
        <v/>
      </c>
      <c r="BF16" s="113" t="str">
        <f t="array" aca="1" ref="BF16" ca="1">IFERROR(OFFSET('(Fill In) SIAO'!$A$1,SMALL(IF(POL="Y",ROW(POL)),AL16)-1,COLUMN(EndDate)-1),"")</f>
        <v/>
      </c>
    </row>
    <row r="17" spans="1:58">
      <c r="A17" s="75" t="s">
        <v>167</v>
      </c>
      <c r="B17" s="74">
        <v>12</v>
      </c>
      <c r="C17" s="84" t="str">
        <f t="array" aca="1" ref="C17" ca="1">IF(OR((C$16&gt;=$AU$11:$AU$74)*(C$4&lt;=$AV$11:$AV$74)&gt;0),$B17,"")</f>
        <v/>
      </c>
      <c r="D17" s="84" t="str">
        <f t="array" aca="1" ref="D17" ca="1">IF(OR((D$16&gt;=$AU$11:$AU$74)*(D$4&lt;=$AV$11:$AV$74)&gt;0),$B17,"")</f>
        <v/>
      </c>
      <c r="E17" s="84" t="str">
        <f t="array" aca="1" ref="E17" ca="1">IF(OR((E$16&gt;=$AU$11:$AU$74)*(E$4&lt;=$AV$11:$AV$74)&gt;0),$B17,"")</f>
        <v/>
      </c>
      <c r="F17" s="84" t="str">
        <f t="array" aca="1" ref="F17" ca="1">IF(OR((F$16&gt;=$AU$11:$AU$74)*(F$4&lt;=$AV$11:$AV$74)&gt;0),$B17,"")</f>
        <v/>
      </c>
      <c r="G17" s="84" t="str">
        <f t="array" aca="1" ref="G17" ca="1">IF(OR((G$16&gt;=$AU$11:$AU$74)*(G$4&lt;=$AV$11:$AV$74)&gt;0),$B17,"")</f>
        <v/>
      </c>
      <c r="H17" s="84" t="str">
        <f t="array" aca="1" ref="H17" ca="1">IF(OR((H$16&gt;=$AU$11:$AU$74)*(H$4&lt;=$AV$11:$AV$74)&gt;0),$B17,"")</f>
        <v/>
      </c>
      <c r="I17" s="84" t="str">
        <f t="array" aca="1" ref="I17" ca="1">IF(OR((I$16&gt;=$AU$11:$AU$74)*(I$4&lt;=$AV$11:$AV$74)&gt;0),$B17,"")</f>
        <v/>
      </c>
      <c r="J17" s="84" t="str">
        <f t="array" aca="1" ref="J17" ca="1">IF(OR((J$16&gt;=$AU$11:$AU$74)*(J$4&lt;=$AV$11:$AV$74)&gt;0),$B17,"")</f>
        <v/>
      </c>
      <c r="K17" s="84" t="str">
        <f t="array" aca="1" ref="K17" ca="1">IF(OR((K$16&gt;=$AU$11:$AU$74)*(K$4&lt;=$AV$11:$AV$74)&gt;0),$B17,"")</f>
        <v/>
      </c>
      <c r="L17" s="84" t="str">
        <f t="array" aca="1" ref="L17" ca="1">IF(OR((L$16&gt;=$AU$11:$AU$74)*(L$4&lt;=$AV$11:$AV$74)&gt;0),$B17,"")</f>
        <v/>
      </c>
      <c r="M17" s="84">
        <v>12</v>
      </c>
      <c r="N17" s="84">
        <v>12</v>
      </c>
      <c r="O17" s="84">
        <v>12</v>
      </c>
      <c r="P17" s="84">
        <v>12</v>
      </c>
      <c r="Q17" s="84">
        <v>12</v>
      </c>
      <c r="R17" s="84">
        <v>12</v>
      </c>
      <c r="S17" s="84">
        <v>12</v>
      </c>
      <c r="T17" s="84">
        <v>12</v>
      </c>
      <c r="U17" s="84">
        <v>12</v>
      </c>
      <c r="V17" s="84">
        <v>12</v>
      </c>
      <c r="W17" s="84">
        <v>12</v>
      </c>
      <c r="X17" s="84">
        <v>12</v>
      </c>
      <c r="Y17" s="84">
        <v>12</v>
      </c>
      <c r="Z17" s="84">
        <v>12</v>
      </c>
      <c r="AA17" s="84">
        <v>12</v>
      </c>
      <c r="AB17" s="84">
        <v>12</v>
      </c>
      <c r="AC17" s="84">
        <v>12</v>
      </c>
      <c r="AD17" s="84">
        <v>12</v>
      </c>
      <c r="AE17" s="84">
        <v>12</v>
      </c>
      <c r="AF17" s="84">
        <v>12</v>
      </c>
      <c r="AG17" s="84">
        <v>12</v>
      </c>
      <c r="AH17" s="84">
        <v>12</v>
      </c>
      <c r="AI17" s="84">
        <v>12</v>
      </c>
      <c r="AK17" s="191"/>
      <c r="AL17">
        <v>7</v>
      </c>
      <c r="AM17" t="str">
        <f t="array" aca="1" ref="AM17" ca="1">IFERROR(OFFSET('(Fill In) SIAO'!$A$1,SMALL(IF(Signals="Y",ROW(Signals)),AL17)-1,COLUMN(Conducts)-1),"")</f>
        <v/>
      </c>
      <c r="AN17" s="113" t="str">
        <f t="array" aca="1" ref="AN17" ca="1">IFERROR(OFFSET('(Fill In) SIAO'!$A$1,SMALL(IF(Signals="Y",ROW(Signals)),AL17)-1,COLUMN(StartDate)-1),"")</f>
        <v/>
      </c>
      <c r="AO17" s="113" t="str">
        <f t="array" aca="1" ref="AO17" ca="1">IFERROR(OFFSET('(Fill In) SIAO'!$A$1,SMALL(IF(Signals="Y",ROW(Signals)),AL17)-1,COLUMN(EndDate)-1),"")</f>
        <v/>
      </c>
      <c r="AP17" s="113" t="str">
        <f t="array" aca="1" ref="AP17" ca="1">IFERROR(OFFSET('(Fill In) SIAO'!$A$1,SMALL(IF(Optics="Y",ROW(Optics)),AL17)-1,COLUMN(Conducts)-1),"")</f>
        <v/>
      </c>
      <c r="AQ17" s="113" t="str">
        <f t="array" aca="1" ref="AQ17" ca="1">IFERROR(OFFSET('(Fill In) SIAO'!$A$1,SMALL(IF(Optics="Y",ROW(Optics)),AL17)-1,COLUMN(StartDate)-1),"")</f>
        <v/>
      </c>
      <c r="AR17" s="113" t="str">
        <f t="array" aca="1" ref="AR17" ca="1">IFERROR(OFFSET('(Fill In) SIAO'!$A$1,SMALL(IF(Optics="Y",ROW(Optics)),AL17)-1,COLUMN(EndDate)-1),"")</f>
        <v/>
      </c>
      <c r="AS17" s="113" t="str">
        <f t="array" aca="1" ref="AS17" ca="1">IFERROR(OFFSET('(Fill In) SIAO'!$A$1,SMALL(IF(ACMS="Y",ROW(ACMS)),AL17)-1,COLUMN(StartDate)-1),"")</f>
        <v/>
      </c>
      <c r="AT17" s="113" t="str">
        <f t="array" aca="1" ref="AT17" ca="1">IFERROR(OFFSET('(Fill In) SIAO'!$A$1,SMALL(IF(ACMS="Y",ROW(ACMS)),AL17)-1,COLUMN(EndDate)-1),"")</f>
        <v/>
      </c>
      <c r="AU17" s="113" t="str">
        <f t="array" aca="1" ref="AU17" ca="1">IFERROR(OFFSET('(Fill In) SIAO'!$A$1,SMALL(IF(UOCE="Y",ROW(UOCE)),AL17)-1,COLUMN(StartDate)-1),"")</f>
        <v/>
      </c>
      <c r="AV17" s="113" t="str">
        <f t="array" aca="1" ref="AV17" ca="1">IFERROR(OFFSET('(Fill In) SIAO'!$A$1,SMALL(IF(UOCE="Y",ROW(UOCE)),AL17)-1,COLUMN(EndDate)-1),"")</f>
        <v/>
      </c>
      <c r="AW17" s="113" t="str">
        <f t="array" aca="1" ref="AW17" ca="1">IFERROR(OFFSET('(Fill In) SIAO'!$A$1,SMALL(IF(HLT="Y",ROW(HLT)),AL17)-1,COLUMN(StartDate)-1),"")</f>
        <v/>
      </c>
      <c r="AX17" s="113" t="str">
        <f t="array" aca="1" ref="AX17" ca="1">IFERROR(OFFSET('(Fill In) SIAO'!$A$1,SMALL(IF(HLT="Y",ROW(HLT)),AL17)-1,COLUMN(EndDate)-1),"")</f>
        <v/>
      </c>
      <c r="AY17" s="113" t="str">
        <f t="array" aca="1" ref="AY17" ca="1">IFERROR(OFFSET('(Fill In) SIAO'!$A$1,SMALL(IF(PANTES="Y",ROW(PANTES)),AL17)-1,COLUMN(StartDate)-1),"")</f>
        <v/>
      </c>
      <c r="AZ17" s="113" t="str">
        <f t="array" aca="1" ref="AZ17" ca="1">IFERROR(OFFSET('(Fill In) SIAO'!$A$1,SMALL(IF(PANTES="Y",ROW(PANTES)),AL17)-1,COLUMN(EndDate)-1),"")</f>
        <v/>
      </c>
      <c r="BA17" s="113" t="str">
        <f t="array" aca="1" ref="BA17" ca="1">IFERROR(OFFSET('(Fill In) SIAO'!$A$1,SMALL(IF(Heli="Y",ROW(Heli)),AL17)-1,COLUMN(StartDate)-1),"")</f>
        <v/>
      </c>
      <c r="BB17" s="113" t="str">
        <f t="array" aca="1" ref="BB17" ca="1">IFERROR(OFFSET('(Fill In) SIAO'!$A$1,SMALL(IF(Heli="Y",ROW(Heli)),AL17)-1,COLUMN(EndDate)-1),"")</f>
        <v/>
      </c>
      <c r="BC17" s="113" t="str">
        <f t="array" aca="1" ref="BC17" ca="1">IFERROR(OFFSET('(Fill In) SIAO'!$A$1,SMALL(IF(MMR="Y",ROW(MMR)),AL17)-1,COLUMN(StartDate)-1),"")</f>
        <v/>
      </c>
      <c r="BD17" s="113" t="str">
        <f t="array" aca="1" ref="BD17" ca="1">IFERROR(OFFSET('(Fill In) SIAO'!$A$1,SMALL(IF(MMR="Y",ROW(MMR)),AL17)-1,COLUMN(EndDate)-1),"")</f>
        <v/>
      </c>
      <c r="BE17" s="113" t="str">
        <f t="array" aca="1" ref="BE17" ca="1">IFERROR(OFFSET('(Fill In) SIAO'!$A$1,SMALL(IF(POL="Y",ROW(POL)),AL17)-1,COLUMN(StartDate)-1),"")</f>
        <v/>
      </c>
      <c r="BF17" s="113" t="str">
        <f t="array" aca="1" ref="BF17" ca="1">IFERROR(OFFSET('(Fill In) SIAO'!$A$1,SMALL(IF(POL="Y",ROW(POL)),AL17)-1,COLUMN(EndDate)-1),"")</f>
        <v/>
      </c>
    </row>
    <row r="18" spans="1:58">
      <c r="A18" s="75" t="s">
        <v>168</v>
      </c>
      <c r="B18" s="74">
        <v>12</v>
      </c>
      <c r="C18" s="84" t="str">
        <f t="array" aca="1" ref="C18" ca="1">IF(OR((C$16&gt;=$AU$11:$AU$74)*(C$4&lt;=$AV$11:$AV$74)&gt;0),$B18,"")</f>
        <v/>
      </c>
      <c r="D18" s="84" t="str">
        <f t="array" aca="1" ref="D18" ca="1">IF(OR((D$16&gt;=$AU$11:$AU$74)*(D$4&lt;=$AV$11:$AV$74)&gt;0),$B18,"")</f>
        <v/>
      </c>
      <c r="E18" s="84" t="str">
        <f t="array" aca="1" ref="E18" ca="1">IF(OR((E$16&gt;=$AU$11:$AU$74)*(E$4&lt;=$AV$11:$AV$74)&gt;0),$B18,"")</f>
        <v/>
      </c>
      <c r="F18" s="84" t="str">
        <f t="array" aca="1" ref="F18" ca="1">IF(OR((F$16&gt;=$AU$11:$AU$74)*(F$4&lt;=$AV$11:$AV$74)&gt;0),$B18,"")</f>
        <v/>
      </c>
      <c r="G18" s="84" t="str">
        <f t="array" aca="1" ref="G18" ca="1">IF(OR((G$16&gt;=$AU$11:$AU$74)*(G$4&lt;=$AV$11:$AV$74)&gt;0),$B18,"")</f>
        <v/>
      </c>
      <c r="H18" s="84" t="str">
        <f t="array" aca="1" ref="H18" ca="1">IF(OR((H$16&gt;=$AU$11:$AU$74)*(H$4&lt;=$AV$11:$AV$74)&gt;0),$B18,"")</f>
        <v/>
      </c>
      <c r="I18" s="84" t="str">
        <f t="array" aca="1" ref="I18" ca="1">IF(OR((I$16&gt;=$AU$11:$AU$74)*(I$4&lt;=$AV$11:$AV$74)&gt;0),$B18,"")</f>
        <v/>
      </c>
      <c r="J18" s="84" t="str">
        <f t="array" aca="1" ref="J18" ca="1">IF(OR((J$16&gt;=$AU$11:$AU$74)*(J$4&lt;=$AV$11:$AV$74)&gt;0),$B18,"")</f>
        <v/>
      </c>
      <c r="K18" s="84" t="str">
        <f t="array" aca="1" ref="K18" ca="1">IF(OR((K$16&gt;=$AU$11:$AU$74)*(K$4&lt;=$AV$11:$AV$74)&gt;0),$B18,"")</f>
        <v/>
      </c>
      <c r="L18" s="84" t="str">
        <f t="array" aca="1" ref="L18" ca="1">IF(OR((L$16&gt;=$AU$11:$AU$74)*(L$4&lt;=$AV$11:$AV$74)&gt;0),$B18,"")</f>
        <v/>
      </c>
      <c r="M18" s="84">
        <v>12</v>
      </c>
      <c r="N18" s="84">
        <v>12</v>
      </c>
      <c r="O18" s="84">
        <v>12</v>
      </c>
      <c r="P18" s="84">
        <v>12</v>
      </c>
      <c r="Q18" s="84">
        <v>12</v>
      </c>
      <c r="R18" s="84">
        <v>12</v>
      </c>
      <c r="S18" s="84">
        <v>12</v>
      </c>
      <c r="T18" s="84">
        <v>12</v>
      </c>
      <c r="U18" s="84">
        <v>12</v>
      </c>
      <c r="V18" s="84">
        <v>12</v>
      </c>
      <c r="W18" s="84">
        <v>12</v>
      </c>
      <c r="X18" s="84">
        <v>12</v>
      </c>
      <c r="Y18" s="84">
        <v>12</v>
      </c>
      <c r="Z18" s="84">
        <v>12</v>
      </c>
      <c r="AA18" s="84">
        <v>12</v>
      </c>
      <c r="AB18" s="84">
        <v>12</v>
      </c>
      <c r="AC18" s="84">
        <v>12</v>
      </c>
      <c r="AD18" s="84">
        <v>12</v>
      </c>
      <c r="AE18" s="84">
        <v>12</v>
      </c>
      <c r="AF18" s="84">
        <v>12</v>
      </c>
      <c r="AG18" s="84">
        <v>12</v>
      </c>
      <c r="AH18" s="84">
        <v>12</v>
      </c>
      <c r="AI18" s="84">
        <v>12</v>
      </c>
      <c r="AK18" s="191"/>
      <c r="AL18">
        <v>8</v>
      </c>
      <c r="AM18" t="str">
        <f t="array" aca="1" ref="AM18" ca="1">IFERROR(OFFSET('(Fill In) SIAO'!$A$1,SMALL(IF(Signals="Y",ROW(Signals)),AL18)-1,COLUMN(Conducts)-1),"")</f>
        <v/>
      </c>
      <c r="AN18" s="113" t="str">
        <f t="array" aca="1" ref="AN18" ca="1">IFERROR(OFFSET('(Fill In) SIAO'!$A$1,SMALL(IF(Signals="Y",ROW(Signals)),AL18)-1,COLUMN(StartDate)-1),"")</f>
        <v/>
      </c>
      <c r="AO18" s="113" t="str">
        <f t="array" aca="1" ref="AO18" ca="1">IFERROR(OFFSET('(Fill In) SIAO'!$A$1,SMALL(IF(Signals="Y",ROW(Signals)),AL18)-1,COLUMN(EndDate)-1),"")</f>
        <v/>
      </c>
      <c r="AP18" s="113" t="str">
        <f t="array" aca="1" ref="AP18" ca="1">IFERROR(OFFSET('(Fill In) SIAO'!$A$1,SMALL(IF(Optics="Y",ROW(Optics)),AL18)-1,COLUMN(Conducts)-1),"")</f>
        <v/>
      </c>
      <c r="AQ18" s="113" t="str">
        <f t="array" aca="1" ref="AQ18" ca="1">IFERROR(OFFSET('(Fill In) SIAO'!$A$1,SMALL(IF(Optics="Y",ROW(Optics)),AL18)-1,COLUMN(StartDate)-1),"")</f>
        <v/>
      </c>
      <c r="AR18" s="113" t="str">
        <f t="array" aca="1" ref="AR18" ca="1">IFERROR(OFFSET('(Fill In) SIAO'!$A$1,SMALL(IF(Optics="Y",ROW(Optics)),AL18)-1,COLUMN(EndDate)-1),"")</f>
        <v/>
      </c>
      <c r="AS18" s="113" t="str">
        <f t="array" aca="1" ref="AS18" ca="1">IFERROR(OFFSET('(Fill In) SIAO'!$A$1,SMALL(IF(ACMS="Y",ROW(ACMS)),AL18)-1,COLUMN(StartDate)-1),"")</f>
        <v/>
      </c>
      <c r="AT18" s="113" t="str">
        <f t="array" aca="1" ref="AT18" ca="1">IFERROR(OFFSET('(Fill In) SIAO'!$A$1,SMALL(IF(ACMS="Y",ROW(ACMS)),AL18)-1,COLUMN(EndDate)-1),"")</f>
        <v/>
      </c>
      <c r="AU18" s="113" t="str">
        <f t="array" aca="1" ref="AU18" ca="1">IFERROR(OFFSET('(Fill In) SIAO'!$A$1,SMALL(IF(UOCE="Y",ROW(UOCE)),AL18)-1,COLUMN(StartDate)-1),"")</f>
        <v/>
      </c>
      <c r="AV18" s="113" t="str">
        <f t="array" aca="1" ref="AV18" ca="1">IFERROR(OFFSET('(Fill In) SIAO'!$A$1,SMALL(IF(UOCE="Y",ROW(UOCE)),AL18)-1,COLUMN(EndDate)-1),"")</f>
        <v/>
      </c>
      <c r="AW18" s="113" t="str">
        <f t="array" aca="1" ref="AW18" ca="1">IFERROR(OFFSET('(Fill In) SIAO'!$A$1,SMALL(IF(HLT="Y",ROW(HLT)),AL18)-1,COLUMN(StartDate)-1),"")</f>
        <v/>
      </c>
      <c r="AX18" s="113" t="str">
        <f t="array" aca="1" ref="AX18" ca="1">IFERROR(OFFSET('(Fill In) SIAO'!$A$1,SMALL(IF(HLT="Y",ROW(HLT)),AL18)-1,COLUMN(EndDate)-1),"")</f>
        <v/>
      </c>
      <c r="AY18" s="113" t="str">
        <f t="array" aca="1" ref="AY18" ca="1">IFERROR(OFFSET('(Fill In) SIAO'!$A$1,SMALL(IF(PANTES="Y",ROW(PANTES)),AL18)-1,COLUMN(StartDate)-1),"")</f>
        <v/>
      </c>
      <c r="AZ18" s="113" t="str">
        <f t="array" aca="1" ref="AZ18" ca="1">IFERROR(OFFSET('(Fill In) SIAO'!$A$1,SMALL(IF(PANTES="Y",ROW(PANTES)),AL18)-1,COLUMN(EndDate)-1),"")</f>
        <v/>
      </c>
      <c r="BA18" s="113" t="str">
        <f t="array" aca="1" ref="BA18" ca="1">IFERROR(OFFSET('(Fill In) SIAO'!$A$1,SMALL(IF(Heli="Y",ROW(Heli)),AL18)-1,COLUMN(StartDate)-1),"")</f>
        <v/>
      </c>
      <c r="BB18" s="113" t="str">
        <f t="array" aca="1" ref="BB18" ca="1">IFERROR(OFFSET('(Fill In) SIAO'!$A$1,SMALL(IF(Heli="Y",ROW(Heli)),AL18)-1,COLUMN(EndDate)-1),"")</f>
        <v/>
      </c>
      <c r="BC18" s="113" t="str">
        <f t="array" aca="1" ref="BC18" ca="1">IFERROR(OFFSET('(Fill In) SIAO'!$A$1,SMALL(IF(MMR="Y",ROW(MMR)),AL18)-1,COLUMN(StartDate)-1),"")</f>
        <v/>
      </c>
      <c r="BD18" s="113" t="str">
        <f t="array" aca="1" ref="BD18" ca="1">IFERROR(OFFSET('(Fill In) SIAO'!$A$1,SMALL(IF(MMR="Y",ROW(MMR)),AL18)-1,COLUMN(EndDate)-1),"")</f>
        <v/>
      </c>
      <c r="BE18" s="113" t="str">
        <f t="array" aca="1" ref="BE18" ca="1">IFERROR(OFFSET('(Fill In) SIAO'!$A$1,SMALL(IF(POL="Y",ROW(POL)),AL18)-1,COLUMN(StartDate)-1),"")</f>
        <v/>
      </c>
      <c r="BF18" s="113" t="str">
        <f t="array" aca="1" ref="BF18" ca="1">IFERROR(OFFSET('(Fill In) SIAO'!$A$1,SMALL(IF(POL="Y",ROW(POL)),AL18)-1,COLUMN(EndDate)-1),"")</f>
        <v/>
      </c>
    </row>
    <row r="19" spans="1:58">
      <c r="A19" s="75" t="s">
        <v>169</v>
      </c>
      <c r="B19" s="74">
        <v>4</v>
      </c>
      <c r="C19" s="84" t="str">
        <f t="array" aca="1" ref="C19" ca="1">IF(OR((C$16&gt;=$AU$11:$AU$74)*(C$4&lt;=$AV$11:$AV$74)&gt;0),$B19,"")</f>
        <v/>
      </c>
      <c r="D19" s="84" t="str">
        <f t="array" aca="1" ref="D19" ca="1">IF(OR((D$16&gt;=$AU$11:$AU$74)*(D$4&lt;=$AV$11:$AV$74)&gt;0),$B19,"")</f>
        <v/>
      </c>
      <c r="E19" s="84" t="str">
        <f t="array" aca="1" ref="E19" ca="1">IF(OR((E$16&gt;=$AU$11:$AU$74)*(E$4&lt;=$AV$11:$AV$74)&gt;0),$B19,"")</f>
        <v/>
      </c>
      <c r="F19" s="84" t="str">
        <f t="array" aca="1" ref="F19" ca="1">IF(OR((F$16&gt;=$AU$11:$AU$74)*(F$4&lt;=$AV$11:$AV$74)&gt;0),$B19,"")</f>
        <v/>
      </c>
      <c r="G19" s="84" t="str">
        <f t="array" aca="1" ref="G19" ca="1">IF(OR((G$16&gt;=$AU$11:$AU$74)*(G$4&lt;=$AV$11:$AV$74)&gt;0),$B19,"")</f>
        <v/>
      </c>
      <c r="H19" s="84" t="str">
        <f t="array" aca="1" ref="H19" ca="1">IF(OR((H$16&gt;=$AU$11:$AU$74)*(H$4&lt;=$AV$11:$AV$74)&gt;0),$B19,"")</f>
        <v/>
      </c>
      <c r="I19" s="84" t="str">
        <f t="array" aca="1" ref="I19" ca="1">IF(OR((I$16&gt;=$AU$11:$AU$74)*(I$4&lt;=$AV$11:$AV$74)&gt;0),$B19,"")</f>
        <v/>
      </c>
      <c r="J19" s="84" t="str">
        <f t="array" aca="1" ref="J19" ca="1">IF(OR((J$16&gt;=$AU$11:$AU$74)*(J$4&lt;=$AV$11:$AV$74)&gt;0),$B19,"")</f>
        <v/>
      </c>
      <c r="K19" s="84" t="str">
        <f t="array" aca="1" ref="K19" ca="1">IF(OR((K$16&gt;=$AU$11:$AU$74)*(K$4&lt;=$AV$11:$AV$74)&gt;0),$B19,"")</f>
        <v/>
      </c>
      <c r="L19" s="84" t="str">
        <f t="array" aca="1" ref="L19" ca="1">IF(OR((L$16&gt;=$AU$11:$AU$74)*(L$4&lt;=$AV$11:$AV$74)&gt;0),$B19,"")</f>
        <v/>
      </c>
      <c r="M19" s="84">
        <v>3</v>
      </c>
      <c r="N19" s="84">
        <v>3</v>
      </c>
      <c r="O19" s="84">
        <v>3</v>
      </c>
      <c r="P19" s="84">
        <v>3</v>
      </c>
      <c r="Q19" s="84">
        <v>3</v>
      </c>
      <c r="R19" s="84">
        <v>3</v>
      </c>
      <c r="S19" s="84">
        <v>3</v>
      </c>
      <c r="T19" s="84">
        <v>3</v>
      </c>
      <c r="U19" s="84">
        <v>3</v>
      </c>
      <c r="V19" s="84">
        <v>3</v>
      </c>
      <c r="W19" s="84">
        <v>3</v>
      </c>
      <c r="X19" s="84">
        <v>3</v>
      </c>
      <c r="Y19" s="84">
        <v>3</v>
      </c>
      <c r="Z19" s="84">
        <v>3</v>
      </c>
      <c r="AA19" s="84">
        <v>3</v>
      </c>
      <c r="AB19" s="84">
        <v>3</v>
      </c>
      <c r="AC19" s="84">
        <v>3</v>
      </c>
      <c r="AD19" s="84">
        <v>3</v>
      </c>
      <c r="AE19" s="84">
        <v>3</v>
      </c>
      <c r="AF19" s="84">
        <v>3</v>
      </c>
      <c r="AG19" s="84">
        <v>3</v>
      </c>
      <c r="AH19" s="84">
        <v>3</v>
      </c>
      <c r="AI19" s="84">
        <v>3</v>
      </c>
      <c r="AK19" s="191"/>
      <c r="AL19">
        <v>9</v>
      </c>
      <c r="AM19" t="str">
        <f t="array" aca="1" ref="AM19" ca="1">IFERROR(OFFSET('(Fill In) SIAO'!$A$1,SMALL(IF(Signals="Y",ROW(Signals)),AL19)-1,COLUMN(Conducts)-1),"")</f>
        <v/>
      </c>
      <c r="AN19" s="113" t="str">
        <f t="array" aca="1" ref="AN19" ca="1">IFERROR(OFFSET('(Fill In) SIAO'!$A$1,SMALL(IF(Signals="Y",ROW(Signals)),AL19)-1,COLUMN(StartDate)-1),"")</f>
        <v/>
      </c>
      <c r="AO19" s="113" t="str">
        <f t="array" aca="1" ref="AO19" ca="1">IFERROR(OFFSET('(Fill In) SIAO'!$A$1,SMALL(IF(Signals="Y",ROW(Signals)),AL19)-1,COLUMN(EndDate)-1),"")</f>
        <v/>
      </c>
      <c r="AP19" s="113" t="str">
        <f t="array" aca="1" ref="AP19" ca="1">IFERROR(OFFSET('(Fill In) SIAO'!$A$1,SMALL(IF(Optics="Y",ROW(Optics)),AL19)-1,COLUMN(Conducts)-1),"")</f>
        <v/>
      </c>
      <c r="AQ19" s="113" t="str">
        <f t="array" aca="1" ref="AQ19" ca="1">IFERROR(OFFSET('(Fill In) SIAO'!$A$1,SMALL(IF(Optics="Y",ROW(Optics)),AL19)-1,COLUMN(StartDate)-1),"")</f>
        <v/>
      </c>
      <c r="AR19" s="113" t="str">
        <f t="array" aca="1" ref="AR19" ca="1">IFERROR(OFFSET('(Fill In) SIAO'!$A$1,SMALL(IF(Optics="Y",ROW(Optics)),AL19)-1,COLUMN(EndDate)-1),"")</f>
        <v/>
      </c>
      <c r="AS19" s="113" t="str">
        <f t="array" aca="1" ref="AS19" ca="1">IFERROR(OFFSET('(Fill In) SIAO'!$A$1,SMALL(IF(ACMS="Y",ROW(ACMS)),AL19)-1,COLUMN(StartDate)-1),"")</f>
        <v/>
      </c>
      <c r="AT19" s="113" t="str">
        <f t="array" aca="1" ref="AT19" ca="1">IFERROR(OFFSET('(Fill In) SIAO'!$A$1,SMALL(IF(ACMS="Y",ROW(ACMS)),AL19)-1,COLUMN(EndDate)-1),"")</f>
        <v/>
      </c>
      <c r="AU19" s="113" t="str">
        <f t="array" aca="1" ref="AU19" ca="1">IFERROR(OFFSET('(Fill In) SIAO'!$A$1,SMALL(IF(UOCE="Y",ROW(UOCE)),AL19)-1,COLUMN(StartDate)-1),"")</f>
        <v/>
      </c>
      <c r="AV19" s="113" t="str">
        <f t="array" aca="1" ref="AV19" ca="1">IFERROR(OFFSET('(Fill In) SIAO'!$A$1,SMALL(IF(UOCE="Y",ROW(UOCE)),AL19)-1,COLUMN(EndDate)-1),"")</f>
        <v/>
      </c>
      <c r="AW19" s="113" t="str">
        <f t="array" aca="1" ref="AW19" ca="1">IFERROR(OFFSET('(Fill In) SIAO'!$A$1,SMALL(IF(HLT="Y",ROW(HLT)),AL19)-1,COLUMN(StartDate)-1),"")</f>
        <v/>
      </c>
      <c r="AX19" s="113" t="str">
        <f t="array" aca="1" ref="AX19" ca="1">IFERROR(OFFSET('(Fill In) SIAO'!$A$1,SMALL(IF(HLT="Y",ROW(HLT)),AL19)-1,COLUMN(EndDate)-1),"")</f>
        <v/>
      </c>
      <c r="AY19" s="113" t="str">
        <f t="array" aca="1" ref="AY19" ca="1">IFERROR(OFFSET('(Fill In) SIAO'!$A$1,SMALL(IF(PANTES="Y",ROW(PANTES)),AL19)-1,COLUMN(StartDate)-1),"")</f>
        <v/>
      </c>
      <c r="AZ19" s="113" t="str">
        <f t="array" aca="1" ref="AZ19" ca="1">IFERROR(OFFSET('(Fill In) SIAO'!$A$1,SMALL(IF(PANTES="Y",ROW(PANTES)),AL19)-1,COLUMN(EndDate)-1),"")</f>
        <v/>
      </c>
      <c r="BA19" s="113" t="str">
        <f t="array" aca="1" ref="BA19" ca="1">IFERROR(OFFSET('(Fill In) SIAO'!$A$1,SMALL(IF(Heli="Y",ROW(Heli)),AL19)-1,COLUMN(StartDate)-1),"")</f>
        <v/>
      </c>
      <c r="BB19" s="113" t="str">
        <f t="array" aca="1" ref="BB19" ca="1">IFERROR(OFFSET('(Fill In) SIAO'!$A$1,SMALL(IF(Heli="Y",ROW(Heli)),AL19)-1,COLUMN(EndDate)-1),"")</f>
        <v/>
      </c>
      <c r="BC19" s="113" t="str">
        <f t="array" aca="1" ref="BC19" ca="1">IFERROR(OFFSET('(Fill In) SIAO'!$A$1,SMALL(IF(MMR="Y",ROW(MMR)),AL19)-1,COLUMN(StartDate)-1),"")</f>
        <v/>
      </c>
      <c r="BD19" s="113" t="str">
        <f t="array" aca="1" ref="BD19" ca="1">IFERROR(OFFSET('(Fill In) SIAO'!$A$1,SMALL(IF(MMR="Y",ROW(MMR)),AL19)-1,COLUMN(EndDate)-1),"")</f>
        <v/>
      </c>
      <c r="BE19" s="113" t="str">
        <f t="array" aca="1" ref="BE19" ca="1">IFERROR(OFFSET('(Fill In) SIAO'!$A$1,SMALL(IF(POL="Y",ROW(POL)),AL19)-1,COLUMN(StartDate)-1),"")</f>
        <v/>
      </c>
      <c r="BF19" s="113" t="str">
        <f t="array" aca="1" ref="BF19" ca="1">IFERROR(OFFSET('(Fill In) SIAO'!$A$1,SMALL(IF(POL="Y",ROW(POL)),AL19)-1,COLUMN(EndDate)-1),"")</f>
        <v/>
      </c>
    </row>
    <row r="20" spans="1:58">
      <c r="A20" s="75" t="s">
        <v>170</v>
      </c>
      <c r="B20" s="74">
        <v>12</v>
      </c>
      <c r="C20" s="84" t="str">
        <f t="array" aca="1" ref="C20" ca="1">IF(OR((C$16&gt;=$AU$11:$AU$74)*(C$4&lt;=$AV$11:$AV$74)&gt;0),$B20,"")</f>
        <v/>
      </c>
      <c r="D20" s="84" t="str">
        <f t="array" aca="1" ref="D20" ca="1">IF(OR((D$16&gt;=$AU$11:$AU$74)*(D$4&lt;=$AV$11:$AV$74)&gt;0),$B20,"")</f>
        <v/>
      </c>
      <c r="E20" s="84" t="str">
        <f t="array" aca="1" ref="E20" ca="1">IF(OR((E$16&gt;=$AU$11:$AU$74)*(E$4&lt;=$AV$11:$AV$74)&gt;0),$B20,"")</f>
        <v/>
      </c>
      <c r="F20" s="84" t="str">
        <f t="array" aca="1" ref="F20" ca="1">IF(OR((F$16&gt;=$AU$11:$AU$74)*(F$4&lt;=$AV$11:$AV$74)&gt;0),$B20,"")</f>
        <v/>
      </c>
      <c r="G20" s="84" t="str">
        <f t="array" aca="1" ref="G20" ca="1">IF(OR((G$16&gt;=$AU$11:$AU$74)*(G$4&lt;=$AV$11:$AV$74)&gt;0),$B20,"")</f>
        <v/>
      </c>
      <c r="H20" s="84" t="str">
        <f t="array" aca="1" ref="H20" ca="1">IF(OR((H$16&gt;=$AU$11:$AU$74)*(H$4&lt;=$AV$11:$AV$74)&gt;0),$B20,"")</f>
        <v/>
      </c>
      <c r="I20" s="84" t="str">
        <f t="array" aca="1" ref="I20" ca="1">IF(OR((I$16&gt;=$AU$11:$AU$74)*(I$4&lt;=$AV$11:$AV$74)&gt;0),$B20,"")</f>
        <v/>
      </c>
      <c r="J20" s="84" t="str">
        <f t="array" aca="1" ref="J20" ca="1">IF(OR((J$16&gt;=$AU$11:$AU$74)*(J$4&lt;=$AV$11:$AV$74)&gt;0),$B20,"")</f>
        <v/>
      </c>
      <c r="K20" s="84" t="str">
        <f t="array" aca="1" ref="K20" ca="1">IF(OR((K$16&gt;=$AU$11:$AU$74)*(K$4&lt;=$AV$11:$AV$74)&gt;0),$B20,"")</f>
        <v/>
      </c>
      <c r="L20" s="84" t="str">
        <f t="array" aca="1" ref="L20" ca="1">IF(OR((L$16&gt;=$AU$11:$AU$74)*(L$4&lt;=$AV$11:$AV$74)&gt;0),$B20,"")</f>
        <v/>
      </c>
      <c r="M20" s="84">
        <v>12</v>
      </c>
      <c r="N20" s="84">
        <v>12</v>
      </c>
      <c r="O20" s="84">
        <v>12</v>
      </c>
      <c r="P20" s="84">
        <v>12</v>
      </c>
      <c r="Q20" s="84">
        <v>12</v>
      </c>
      <c r="R20" s="84">
        <v>12</v>
      </c>
      <c r="S20" s="84">
        <v>12</v>
      </c>
      <c r="T20" s="84">
        <v>12</v>
      </c>
      <c r="U20" s="84">
        <v>12</v>
      </c>
      <c r="V20" s="84">
        <v>12</v>
      </c>
      <c r="W20" s="84">
        <v>12</v>
      </c>
      <c r="X20" s="84">
        <v>12</v>
      </c>
      <c r="Y20" s="84">
        <v>12</v>
      </c>
      <c r="Z20" s="84">
        <v>12</v>
      </c>
      <c r="AA20" s="84">
        <v>12</v>
      </c>
      <c r="AB20" s="84">
        <v>12</v>
      </c>
      <c r="AC20" s="84">
        <v>12</v>
      </c>
      <c r="AD20" s="84">
        <v>12</v>
      </c>
      <c r="AE20" s="84">
        <v>12</v>
      </c>
      <c r="AF20" s="84">
        <v>12</v>
      </c>
      <c r="AG20" s="84">
        <v>12</v>
      </c>
      <c r="AH20" s="84">
        <v>12</v>
      </c>
      <c r="AI20" s="84">
        <v>12</v>
      </c>
      <c r="AK20" s="191"/>
      <c r="AL20">
        <v>10</v>
      </c>
      <c r="AM20" t="str">
        <f t="array" aca="1" ref="AM20" ca="1">IFERROR(OFFSET('(Fill In) SIAO'!$A$1,SMALL(IF(Signals="Y",ROW(Signals)),AL20)-1,COLUMN(Conducts)-1),"")</f>
        <v/>
      </c>
      <c r="AN20" s="113" t="str">
        <f t="array" aca="1" ref="AN20" ca="1">IFERROR(OFFSET('(Fill In) SIAO'!$A$1,SMALL(IF(Signals="Y",ROW(Signals)),AL20)-1,COLUMN(StartDate)-1),"")</f>
        <v/>
      </c>
      <c r="AO20" s="113" t="str">
        <f t="array" aca="1" ref="AO20" ca="1">IFERROR(OFFSET('(Fill In) SIAO'!$A$1,SMALL(IF(Signals="Y",ROW(Signals)),AL20)-1,COLUMN(EndDate)-1),"")</f>
        <v/>
      </c>
      <c r="AP20" s="113" t="str">
        <f t="array" aca="1" ref="AP20" ca="1">IFERROR(OFFSET('(Fill In) SIAO'!$A$1,SMALL(IF(Optics="Y",ROW(Optics)),AL20)-1,COLUMN(Conducts)-1),"")</f>
        <v/>
      </c>
      <c r="AQ20" s="113" t="str">
        <f t="array" aca="1" ref="AQ20" ca="1">IFERROR(OFFSET('(Fill In) SIAO'!$A$1,SMALL(IF(Optics="Y",ROW(Optics)),AL20)-1,COLUMN(StartDate)-1),"")</f>
        <v/>
      </c>
      <c r="AR20" s="113" t="str">
        <f t="array" aca="1" ref="AR20" ca="1">IFERROR(OFFSET('(Fill In) SIAO'!$A$1,SMALL(IF(Optics="Y",ROW(Optics)),AL20)-1,COLUMN(EndDate)-1),"")</f>
        <v/>
      </c>
      <c r="AS20" s="113" t="str">
        <f t="array" aca="1" ref="AS20" ca="1">IFERROR(OFFSET('(Fill In) SIAO'!$A$1,SMALL(IF(ACMS="Y",ROW(ACMS)),AL20)-1,COLUMN(StartDate)-1),"")</f>
        <v/>
      </c>
      <c r="AT20" s="113" t="str">
        <f t="array" aca="1" ref="AT20" ca="1">IFERROR(OFFSET('(Fill In) SIAO'!$A$1,SMALL(IF(ACMS="Y",ROW(ACMS)),AL20)-1,COLUMN(EndDate)-1),"")</f>
        <v/>
      </c>
      <c r="AU20" s="113" t="str">
        <f t="array" aca="1" ref="AU20" ca="1">IFERROR(OFFSET('(Fill In) SIAO'!$A$1,SMALL(IF(UOCE="Y",ROW(UOCE)),AL20)-1,COLUMN(StartDate)-1),"")</f>
        <v/>
      </c>
      <c r="AV20" s="113" t="str">
        <f t="array" aca="1" ref="AV20" ca="1">IFERROR(OFFSET('(Fill In) SIAO'!$A$1,SMALL(IF(UOCE="Y",ROW(UOCE)),AL20)-1,COLUMN(EndDate)-1),"")</f>
        <v/>
      </c>
      <c r="AW20" s="113" t="str">
        <f t="array" aca="1" ref="AW20" ca="1">IFERROR(OFFSET('(Fill In) SIAO'!$A$1,SMALL(IF(HLT="Y",ROW(HLT)),AL20)-1,COLUMN(StartDate)-1),"")</f>
        <v/>
      </c>
      <c r="AX20" s="113" t="str">
        <f t="array" aca="1" ref="AX20" ca="1">IFERROR(OFFSET('(Fill In) SIAO'!$A$1,SMALL(IF(HLT="Y",ROW(HLT)),AL20)-1,COLUMN(EndDate)-1),"")</f>
        <v/>
      </c>
      <c r="AY20" s="113" t="str">
        <f t="array" aca="1" ref="AY20" ca="1">IFERROR(OFFSET('(Fill In) SIAO'!$A$1,SMALL(IF(PANTES="Y",ROW(PANTES)),AL20)-1,COLUMN(StartDate)-1),"")</f>
        <v/>
      </c>
      <c r="AZ20" s="113" t="str">
        <f t="array" aca="1" ref="AZ20" ca="1">IFERROR(OFFSET('(Fill In) SIAO'!$A$1,SMALL(IF(PANTES="Y",ROW(PANTES)),AL20)-1,COLUMN(EndDate)-1),"")</f>
        <v/>
      </c>
      <c r="BA20" s="113" t="str">
        <f t="array" aca="1" ref="BA20" ca="1">IFERROR(OFFSET('(Fill In) SIAO'!$A$1,SMALL(IF(Heli="Y",ROW(Heli)),AL20)-1,COLUMN(StartDate)-1),"")</f>
        <v/>
      </c>
      <c r="BB20" s="113" t="str">
        <f t="array" aca="1" ref="BB20" ca="1">IFERROR(OFFSET('(Fill In) SIAO'!$A$1,SMALL(IF(Heli="Y",ROW(Heli)),AL20)-1,COLUMN(EndDate)-1),"")</f>
        <v/>
      </c>
      <c r="BC20" s="113" t="str">
        <f t="array" aca="1" ref="BC20" ca="1">IFERROR(OFFSET('(Fill In) SIAO'!$A$1,SMALL(IF(MMR="Y",ROW(MMR)),AL20)-1,COLUMN(StartDate)-1),"")</f>
        <v/>
      </c>
      <c r="BD20" s="113" t="str">
        <f t="array" aca="1" ref="BD20" ca="1">IFERROR(OFFSET('(Fill In) SIAO'!$A$1,SMALL(IF(MMR="Y",ROW(MMR)),AL20)-1,COLUMN(EndDate)-1),"")</f>
        <v/>
      </c>
      <c r="BE20" s="113" t="str">
        <f t="array" aca="1" ref="BE20" ca="1">IFERROR(OFFSET('(Fill In) SIAO'!$A$1,SMALL(IF(POL="Y",ROW(POL)),AL20)-1,COLUMN(StartDate)-1),"")</f>
        <v/>
      </c>
      <c r="BF20" s="113" t="str">
        <f t="array" aca="1" ref="BF20" ca="1">IFERROR(OFFSET('(Fill In) SIAO'!$A$1,SMALL(IF(POL="Y",ROW(POL)),AL20)-1,COLUMN(EndDate)-1),"")</f>
        <v/>
      </c>
    </row>
    <row r="21" spans="1:58">
      <c r="A21" s="8"/>
      <c r="B21" s="12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K21" s="191"/>
      <c r="AL21">
        <v>11</v>
      </c>
      <c r="AM21" t="str">
        <f t="array" aca="1" ref="AM21" ca="1">IFERROR(OFFSET('(Fill In) SIAO'!$A$1,SMALL(IF(Signals="Y",ROW(Signals)),AL21)-1,COLUMN(Conducts)-1),"")</f>
        <v/>
      </c>
      <c r="AN21" s="113" t="str">
        <f t="array" aca="1" ref="AN21" ca="1">IFERROR(OFFSET('(Fill In) SIAO'!$A$1,SMALL(IF(Signals="Y",ROW(Signals)),AL21)-1,COLUMN(StartDate)-1),"")</f>
        <v/>
      </c>
      <c r="AO21" s="113" t="str">
        <f t="array" aca="1" ref="AO21" ca="1">IFERROR(OFFSET('(Fill In) SIAO'!$A$1,SMALL(IF(Signals="Y",ROW(Signals)),AL21)-1,COLUMN(EndDate)-1),"")</f>
        <v/>
      </c>
      <c r="AP21" s="113" t="str">
        <f t="array" aca="1" ref="AP21" ca="1">IFERROR(OFFSET('(Fill In) SIAO'!$A$1,SMALL(IF(Optics="Y",ROW(Optics)),AL21)-1,COLUMN(Conducts)-1),"")</f>
        <v/>
      </c>
      <c r="AQ21" s="113" t="str">
        <f t="array" aca="1" ref="AQ21" ca="1">IFERROR(OFFSET('(Fill In) SIAO'!$A$1,SMALL(IF(Optics="Y",ROW(Optics)),AL21)-1,COLUMN(StartDate)-1),"")</f>
        <v/>
      </c>
      <c r="AR21" s="113" t="str">
        <f t="array" aca="1" ref="AR21" ca="1">IFERROR(OFFSET('(Fill In) SIAO'!$A$1,SMALL(IF(Optics="Y",ROW(Optics)),AL21)-1,COLUMN(EndDate)-1),"")</f>
        <v/>
      </c>
      <c r="AS21" s="113" t="str">
        <f t="array" aca="1" ref="AS21" ca="1">IFERROR(OFFSET('(Fill In) SIAO'!$A$1,SMALL(IF(ACMS="Y",ROW(ACMS)),AL21)-1,COLUMN(StartDate)-1),"")</f>
        <v/>
      </c>
      <c r="AT21" s="113" t="str">
        <f t="array" aca="1" ref="AT21" ca="1">IFERROR(OFFSET('(Fill In) SIAO'!$A$1,SMALL(IF(ACMS="Y",ROW(ACMS)),AL21)-1,COLUMN(EndDate)-1),"")</f>
        <v/>
      </c>
      <c r="AU21" s="113" t="str">
        <f t="array" aca="1" ref="AU21" ca="1">IFERROR(OFFSET('(Fill In) SIAO'!$A$1,SMALL(IF(UOCE="Y",ROW(UOCE)),AL21)-1,COLUMN(StartDate)-1),"")</f>
        <v/>
      </c>
      <c r="AV21" s="113" t="str">
        <f t="array" aca="1" ref="AV21" ca="1">IFERROR(OFFSET('(Fill In) SIAO'!$A$1,SMALL(IF(UOCE="Y",ROW(UOCE)),AL21)-1,COLUMN(EndDate)-1),"")</f>
        <v/>
      </c>
      <c r="AW21" s="113" t="str">
        <f t="array" aca="1" ref="AW21" ca="1">IFERROR(OFFSET('(Fill In) SIAO'!$A$1,SMALL(IF(HLT="Y",ROW(HLT)),AL21)-1,COLUMN(StartDate)-1),"")</f>
        <v/>
      </c>
      <c r="AX21" s="113" t="str">
        <f t="array" aca="1" ref="AX21" ca="1">IFERROR(OFFSET('(Fill In) SIAO'!$A$1,SMALL(IF(HLT="Y",ROW(HLT)),AL21)-1,COLUMN(EndDate)-1),"")</f>
        <v/>
      </c>
      <c r="AY21" s="113" t="str">
        <f t="array" aca="1" ref="AY21" ca="1">IFERROR(OFFSET('(Fill In) SIAO'!$A$1,SMALL(IF(PANTES="Y",ROW(PANTES)),AL21)-1,COLUMN(StartDate)-1),"")</f>
        <v/>
      </c>
      <c r="AZ21" s="113" t="str">
        <f t="array" aca="1" ref="AZ21" ca="1">IFERROR(OFFSET('(Fill In) SIAO'!$A$1,SMALL(IF(PANTES="Y",ROW(PANTES)),AL21)-1,COLUMN(EndDate)-1),"")</f>
        <v/>
      </c>
      <c r="BA21" s="113" t="str">
        <f t="array" aca="1" ref="BA21" ca="1">IFERROR(OFFSET('(Fill In) SIAO'!$A$1,SMALL(IF(Heli="Y",ROW(Heli)),AL21)-1,COLUMN(StartDate)-1),"")</f>
        <v/>
      </c>
      <c r="BB21" s="113" t="str">
        <f t="array" aca="1" ref="BB21" ca="1">IFERROR(OFFSET('(Fill In) SIAO'!$A$1,SMALL(IF(Heli="Y",ROW(Heli)),AL21)-1,COLUMN(EndDate)-1),"")</f>
        <v/>
      </c>
      <c r="BC21" s="113" t="str">
        <f t="array" aca="1" ref="BC21" ca="1">IFERROR(OFFSET('(Fill In) SIAO'!$A$1,SMALL(IF(MMR="Y",ROW(MMR)),AL21)-1,COLUMN(StartDate)-1),"")</f>
        <v/>
      </c>
      <c r="BD21" s="113" t="str">
        <f t="array" aca="1" ref="BD21" ca="1">IFERROR(OFFSET('(Fill In) SIAO'!$A$1,SMALL(IF(MMR="Y",ROW(MMR)),AL21)-1,COLUMN(EndDate)-1),"")</f>
        <v/>
      </c>
      <c r="BE21" s="113" t="str">
        <f t="array" aca="1" ref="BE21" ca="1">IFERROR(OFFSET('(Fill In) SIAO'!$A$1,SMALL(IF(POL="Y",ROW(POL)),AL21)-1,COLUMN(StartDate)-1),"")</f>
        <v/>
      </c>
      <c r="BF21" s="113" t="str">
        <f t="array" aca="1" ref="BF21" ca="1">IFERROR(OFFSET('(Fill In) SIAO'!$A$1,SMALL(IF(POL="Y",ROW(POL)),AL21)-1,COLUMN(EndDate)-1),"")</f>
        <v/>
      </c>
    </row>
    <row r="22" spans="1:58">
      <c r="A22" s="72" t="s">
        <v>215</v>
      </c>
      <c r="B22" s="10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K22" s="191"/>
      <c r="AL22">
        <v>12</v>
      </c>
      <c r="AM22" t="str">
        <f t="array" aca="1" ref="AM22" ca="1">IFERROR(OFFSET('(Fill In) SIAO'!$A$1,SMALL(IF(Signals="Y",ROW(Signals)),AL22)-1,COLUMN(Conducts)-1),"")</f>
        <v/>
      </c>
      <c r="AN22" s="113" t="str">
        <f t="array" aca="1" ref="AN22" ca="1">IFERROR(OFFSET('(Fill In) SIAO'!$A$1,SMALL(IF(Signals="Y",ROW(Signals)),AL22)-1,COLUMN(StartDate)-1),"")</f>
        <v/>
      </c>
      <c r="AO22" s="113" t="str">
        <f t="array" aca="1" ref="AO22" ca="1">IFERROR(OFFSET('(Fill In) SIAO'!$A$1,SMALL(IF(Signals="Y",ROW(Signals)),AL22)-1,COLUMN(EndDate)-1),"")</f>
        <v/>
      </c>
      <c r="AP22" s="113" t="str">
        <f t="array" aca="1" ref="AP22" ca="1">IFERROR(OFFSET('(Fill In) SIAO'!$A$1,SMALL(IF(Optics="Y",ROW(Optics)),AL22)-1,COLUMN(Conducts)-1),"")</f>
        <v/>
      </c>
      <c r="AQ22" s="113" t="str">
        <f t="array" aca="1" ref="AQ22" ca="1">IFERROR(OFFSET('(Fill In) SIAO'!$A$1,SMALL(IF(Optics="Y",ROW(Optics)),AL22)-1,COLUMN(StartDate)-1),"")</f>
        <v/>
      </c>
      <c r="AR22" s="113" t="str">
        <f t="array" aca="1" ref="AR22" ca="1">IFERROR(OFFSET('(Fill In) SIAO'!$A$1,SMALL(IF(Optics="Y",ROW(Optics)),AL22)-1,COLUMN(EndDate)-1),"")</f>
        <v/>
      </c>
      <c r="AS22" s="113" t="str">
        <f t="array" aca="1" ref="AS22" ca="1">IFERROR(OFFSET('(Fill In) SIAO'!$A$1,SMALL(IF(ACMS="Y",ROW(ACMS)),AL22)-1,COLUMN(StartDate)-1),"")</f>
        <v/>
      </c>
      <c r="AT22" s="113" t="str">
        <f t="array" aca="1" ref="AT22" ca="1">IFERROR(OFFSET('(Fill In) SIAO'!$A$1,SMALL(IF(ACMS="Y",ROW(ACMS)),AL22)-1,COLUMN(EndDate)-1),"")</f>
        <v/>
      </c>
      <c r="AU22" s="113" t="str">
        <f t="array" aca="1" ref="AU22" ca="1">IFERROR(OFFSET('(Fill In) SIAO'!$A$1,SMALL(IF(UOCE="Y",ROW(UOCE)),AL22)-1,COLUMN(StartDate)-1),"")</f>
        <v/>
      </c>
      <c r="AV22" s="113" t="str">
        <f t="array" aca="1" ref="AV22" ca="1">IFERROR(OFFSET('(Fill In) SIAO'!$A$1,SMALL(IF(UOCE="Y",ROW(UOCE)),AL22)-1,COLUMN(EndDate)-1),"")</f>
        <v/>
      </c>
      <c r="AW22" s="113" t="str">
        <f t="array" aca="1" ref="AW22" ca="1">IFERROR(OFFSET('(Fill In) SIAO'!$A$1,SMALL(IF(HLT="Y",ROW(HLT)),AL22)-1,COLUMN(StartDate)-1),"")</f>
        <v/>
      </c>
      <c r="AX22" s="113" t="str">
        <f t="array" aca="1" ref="AX22" ca="1">IFERROR(OFFSET('(Fill In) SIAO'!$A$1,SMALL(IF(HLT="Y",ROW(HLT)),AL22)-1,COLUMN(EndDate)-1),"")</f>
        <v/>
      </c>
      <c r="AY22" s="113" t="str">
        <f t="array" aca="1" ref="AY22" ca="1">IFERROR(OFFSET('(Fill In) SIAO'!$A$1,SMALL(IF(PANTES="Y",ROW(PANTES)),AL22)-1,COLUMN(StartDate)-1),"")</f>
        <v/>
      </c>
      <c r="AZ22" s="113" t="str">
        <f t="array" aca="1" ref="AZ22" ca="1">IFERROR(OFFSET('(Fill In) SIAO'!$A$1,SMALL(IF(PANTES="Y",ROW(PANTES)),AL22)-1,COLUMN(EndDate)-1),"")</f>
        <v/>
      </c>
      <c r="BA22" s="113" t="str">
        <f t="array" aca="1" ref="BA22" ca="1">IFERROR(OFFSET('(Fill In) SIAO'!$A$1,SMALL(IF(Heli="Y",ROW(Heli)),AL22)-1,COLUMN(StartDate)-1),"")</f>
        <v/>
      </c>
      <c r="BB22" s="113" t="str">
        <f t="array" aca="1" ref="BB22" ca="1">IFERROR(OFFSET('(Fill In) SIAO'!$A$1,SMALL(IF(Heli="Y",ROW(Heli)),AL22)-1,COLUMN(EndDate)-1),"")</f>
        <v/>
      </c>
      <c r="BC22" s="113" t="str">
        <f t="array" aca="1" ref="BC22" ca="1">IFERROR(OFFSET('(Fill In) SIAO'!$A$1,SMALL(IF(MMR="Y",ROW(MMR)),AL22)-1,COLUMN(StartDate)-1),"")</f>
        <v/>
      </c>
      <c r="BD22" s="113" t="str">
        <f t="array" aca="1" ref="BD22" ca="1">IFERROR(OFFSET('(Fill In) SIAO'!$A$1,SMALL(IF(MMR="Y",ROW(MMR)),AL22)-1,COLUMN(EndDate)-1),"")</f>
        <v/>
      </c>
      <c r="BE22" s="113" t="str">
        <f t="array" aca="1" ref="BE22" ca="1">IFERROR(OFFSET('(Fill In) SIAO'!$A$1,SMALL(IF(POL="Y",ROW(POL)),AL22)-1,COLUMN(StartDate)-1),"")</f>
        <v/>
      </c>
      <c r="BF22" s="113" t="str">
        <f t="array" aca="1" ref="BF22" ca="1">IFERROR(OFFSET('(Fill In) SIAO'!$A$1,SMALL(IF(POL="Y",ROW(POL)),AL22)-1,COLUMN(EndDate)-1),"")</f>
        <v/>
      </c>
    </row>
    <row r="23" spans="1:58">
      <c r="B23" s="11" t="s">
        <v>154</v>
      </c>
      <c r="C23" s="112">
        <f>EOMONTH($A$1,-1)</f>
        <v>45016</v>
      </c>
      <c r="D23" s="112">
        <f t="shared" ref="D23:AI23" si="2">C23+1</f>
        <v>45017</v>
      </c>
      <c r="E23" s="112">
        <f t="shared" si="2"/>
        <v>45018</v>
      </c>
      <c r="F23" s="112">
        <f t="shared" si="2"/>
        <v>45019</v>
      </c>
      <c r="G23" s="112">
        <f t="shared" si="2"/>
        <v>45020</v>
      </c>
      <c r="H23" s="112">
        <f t="shared" si="2"/>
        <v>45021</v>
      </c>
      <c r="I23" s="112">
        <f t="shared" si="2"/>
        <v>45022</v>
      </c>
      <c r="J23" s="112">
        <f t="shared" si="2"/>
        <v>45023</v>
      </c>
      <c r="K23" s="112">
        <f t="shared" si="2"/>
        <v>45024</v>
      </c>
      <c r="L23" s="112">
        <f t="shared" si="2"/>
        <v>45025</v>
      </c>
      <c r="M23" s="112">
        <f t="shared" si="2"/>
        <v>45026</v>
      </c>
      <c r="N23" s="112">
        <f t="shared" si="2"/>
        <v>45027</v>
      </c>
      <c r="O23" s="112">
        <f t="shared" si="2"/>
        <v>45028</v>
      </c>
      <c r="P23" s="112">
        <f t="shared" si="2"/>
        <v>45029</v>
      </c>
      <c r="Q23" s="112">
        <f t="shared" si="2"/>
        <v>45030</v>
      </c>
      <c r="R23" s="112">
        <f t="shared" si="2"/>
        <v>45031</v>
      </c>
      <c r="S23" s="112">
        <f t="shared" si="2"/>
        <v>45032</v>
      </c>
      <c r="T23" s="112">
        <f t="shared" si="2"/>
        <v>45033</v>
      </c>
      <c r="U23" s="112">
        <f t="shared" si="2"/>
        <v>45034</v>
      </c>
      <c r="V23" s="112">
        <f t="shared" si="2"/>
        <v>45035</v>
      </c>
      <c r="W23" s="112">
        <f t="shared" si="2"/>
        <v>45036</v>
      </c>
      <c r="X23" s="112">
        <f t="shared" si="2"/>
        <v>45037</v>
      </c>
      <c r="Y23" s="112">
        <f t="shared" si="2"/>
        <v>45038</v>
      </c>
      <c r="Z23" s="112">
        <f t="shared" si="2"/>
        <v>45039</v>
      </c>
      <c r="AA23" s="112">
        <f t="shared" si="2"/>
        <v>45040</v>
      </c>
      <c r="AB23" s="112">
        <f t="shared" si="2"/>
        <v>45041</v>
      </c>
      <c r="AC23" s="112">
        <f t="shared" si="2"/>
        <v>45042</v>
      </c>
      <c r="AD23" s="112">
        <f t="shared" si="2"/>
        <v>45043</v>
      </c>
      <c r="AE23" s="112">
        <f t="shared" si="2"/>
        <v>45044</v>
      </c>
      <c r="AF23" s="112">
        <f t="shared" si="2"/>
        <v>45045</v>
      </c>
      <c r="AG23" s="112">
        <f t="shared" si="2"/>
        <v>45046</v>
      </c>
      <c r="AH23" s="112">
        <f t="shared" si="2"/>
        <v>45047</v>
      </c>
      <c r="AI23" s="112">
        <f t="shared" si="2"/>
        <v>45048</v>
      </c>
      <c r="AK23" s="191"/>
      <c r="AN23" s="186" t="s">
        <v>3</v>
      </c>
      <c r="AO23" s="187"/>
      <c r="AP23" s="126"/>
      <c r="AQ23" s="186" t="s">
        <v>60</v>
      </c>
      <c r="AR23" s="187"/>
      <c r="AS23" s="186" t="s">
        <v>89</v>
      </c>
      <c r="AT23" s="187"/>
      <c r="AU23" s="186" t="s">
        <v>90</v>
      </c>
      <c r="AV23" s="187"/>
      <c r="AW23" s="186" t="s">
        <v>148</v>
      </c>
      <c r="AX23" s="187"/>
      <c r="AY23" s="186" t="s">
        <v>92</v>
      </c>
      <c r="AZ23" s="187"/>
      <c r="BA23" s="186" t="s">
        <v>149</v>
      </c>
      <c r="BB23" s="187"/>
      <c r="BC23" s="186" t="s">
        <v>150</v>
      </c>
      <c r="BD23" s="187"/>
      <c r="BE23" s="186" t="s">
        <v>96</v>
      </c>
      <c r="BF23" s="187"/>
    </row>
    <row r="24" spans="1:58">
      <c r="A24" s="80" t="s">
        <v>172</v>
      </c>
      <c r="B24" s="128">
        <v>7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K24" s="191"/>
      <c r="AN24" s="126"/>
      <c r="AO24" s="126"/>
      <c r="AP24" s="126"/>
      <c r="AQ24" s="126"/>
      <c r="AR24" s="126"/>
      <c r="AS24" s="126"/>
      <c r="AT24" s="126"/>
      <c r="AU24" s="126"/>
      <c r="AV24" s="126"/>
      <c r="AW24" s="126"/>
      <c r="AX24" s="126"/>
      <c r="AY24" s="126"/>
      <c r="AZ24" s="126"/>
      <c r="BA24" s="126"/>
      <c r="BB24" s="126"/>
      <c r="BC24" s="126"/>
      <c r="BD24" s="126"/>
      <c r="BE24" s="126"/>
      <c r="BF24" s="126"/>
    </row>
    <row r="25" spans="1:58">
      <c r="A25" s="80" t="s">
        <v>173</v>
      </c>
      <c r="B25" s="128">
        <v>21</v>
      </c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K25" s="191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6"/>
      <c r="BD25" s="126"/>
      <c r="BE25" s="126"/>
      <c r="BF25" s="126"/>
    </row>
    <row r="26" spans="1:58">
      <c r="A26" s="80" t="s">
        <v>174</v>
      </c>
      <c r="B26" s="128">
        <v>19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K26" s="191"/>
      <c r="AN26" s="126"/>
      <c r="AO26" s="126"/>
      <c r="AP26" s="126"/>
      <c r="AQ26" s="126"/>
      <c r="AR26" s="126"/>
      <c r="AS26" s="126"/>
      <c r="AT26" s="126"/>
      <c r="AU26" s="126"/>
      <c r="AV26" s="126"/>
      <c r="AW26" s="126"/>
      <c r="AX26" s="126"/>
      <c r="AY26" s="126"/>
      <c r="AZ26" s="126"/>
      <c r="BA26" s="126"/>
      <c r="BB26" s="126"/>
      <c r="BC26" s="126"/>
      <c r="BD26" s="126"/>
      <c r="BE26" s="126"/>
      <c r="BF26" s="126"/>
    </row>
    <row r="27" spans="1:58">
      <c r="A27" s="80" t="s">
        <v>175</v>
      </c>
      <c r="B27" s="128">
        <v>4</v>
      </c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K27" s="191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6"/>
      <c r="BD27" s="126"/>
      <c r="BE27" s="126"/>
      <c r="BF27" s="126"/>
    </row>
    <row r="28" spans="1:58">
      <c r="A28" s="80" t="s">
        <v>176</v>
      </c>
      <c r="B28" s="128">
        <v>12</v>
      </c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K28" s="191"/>
      <c r="AN28" s="126"/>
      <c r="AO28" s="126"/>
      <c r="AP28" s="126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6"/>
      <c r="BD28" s="126"/>
      <c r="BE28" s="126"/>
      <c r="BF28" s="126"/>
    </row>
    <row r="29" spans="1:58">
      <c r="A29" s="80" t="s">
        <v>177</v>
      </c>
      <c r="B29" s="128">
        <v>4</v>
      </c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K29" s="191"/>
      <c r="AN29" s="126"/>
      <c r="AO29" s="126"/>
      <c r="AP29" s="126"/>
      <c r="AQ29" s="126"/>
      <c r="AR29" s="126"/>
      <c r="AS29" s="126"/>
      <c r="AT29" s="126"/>
      <c r="AU29" s="126"/>
      <c r="AV29" s="126"/>
      <c r="AW29" s="126"/>
      <c r="AX29" s="126"/>
      <c r="AY29" s="126"/>
      <c r="AZ29" s="126"/>
      <c r="BA29" s="126"/>
      <c r="BB29" s="126"/>
      <c r="BC29" s="126"/>
      <c r="BD29" s="126"/>
      <c r="BE29" s="126"/>
      <c r="BF29" s="126"/>
    </row>
    <row r="30" spans="1:58">
      <c r="A30" s="80" t="s">
        <v>178</v>
      </c>
      <c r="B30" s="128">
        <v>4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K30" s="191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6"/>
      <c r="BD30" s="126"/>
      <c r="BE30" s="126"/>
      <c r="BF30" s="126"/>
    </row>
    <row r="31" spans="1:58">
      <c r="A31" s="80" t="s">
        <v>179</v>
      </c>
      <c r="B31" s="128">
        <v>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K31" s="191"/>
      <c r="AL31">
        <v>13</v>
      </c>
      <c r="AM31" t="str">
        <f t="array" aca="1" ref="AM31" ca="1">IFERROR(OFFSET('(Fill In) SIAO'!$A$1,SMALL(IF(Signals="Y",ROW(Signals)),AL31)-1,COLUMN(Conducts)-1),"")</f>
        <v/>
      </c>
      <c r="AN31" s="113" t="str">
        <f t="array" aca="1" ref="AN31" ca="1">IFERROR(OFFSET('(Fill In) SIAO'!$A$1,SMALL(IF(Signals="Y",ROW(Signals)),AL31)-1,COLUMN(StartDate)-1),"")</f>
        <v/>
      </c>
      <c r="AO31" s="113" t="str">
        <f t="array" aca="1" ref="AO31" ca="1">IFERROR(OFFSET('(Fill In) SIAO'!$A$1,SMALL(IF(Signals="Y",ROW(Signals)),AL31)-1,COLUMN(EndDate)-1),"")</f>
        <v/>
      </c>
      <c r="AP31" s="113" t="str">
        <f t="array" aca="1" ref="AP31" ca="1">IFERROR(OFFSET('(Fill In) SIAO'!$A$1,SMALL(IF(Optics="Y",ROW(Optics)),AL31)-1,COLUMN(Conducts)-1),"")</f>
        <v/>
      </c>
      <c r="AQ31" s="113" t="str">
        <f t="array" aca="1" ref="AQ31" ca="1">IFERROR(OFFSET('(Fill In) SIAO'!$A$1,SMALL(IF(Optics="Y",ROW(Optics)),AL31)-1,COLUMN(StartDate)-1),"")</f>
        <v/>
      </c>
      <c r="AR31" s="113" t="str">
        <f t="array" aca="1" ref="AR31" ca="1">IFERROR(OFFSET('(Fill In) SIAO'!$A$1,SMALL(IF(Optics="Y",ROW(Optics)),AL31)-1,COLUMN(EndDate)-1),"")</f>
        <v/>
      </c>
      <c r="AS31" s="113" t="str">
        <f t="array" aca="1" ref="AS31" ca="1">IFERROR(OFFSET('(Fill In) SIAO'!$A$1,SMALL(IF(ACMS="Y",ROW(ACMS)),AL31)-1,COLUMN(StartDate)-1),"")</f>
        <v/>
      </c>
      <c r="AT31" s="113" t="str">
        <f t="array" aca="1" ref="AT31" ca="1">IFERROR(OFFSET('(Fill In) SIAO'!$A$1,SMALL(IF(ACMS="Y",ROW(ACMS)),AL31)-1,COLUMN(EndDate)-1),"")</f>
        <v/>
      </c>
      <c r="AU31" s="113" t="str">
        <f t="array" aca="1" ref="AU31" ca="1">IFERROR(OFFSET('(Fill In) SIAO'!$A$1,SMALL(IF(UOCE="Y",ROW(UOCE)),AL31)-1,COLUMN(StartDate)-1),"")</f>
        <v/>
      </c>
      <c r="AV31" s="113" t="str">
        <f t="array" aca="1" ref="AV31" ca="1">IFERROR(OFFSET('(Fill In) SIAO'!$A$1,SMALL(IF(UOCE="Y",ROW(UOCE)),AL31)-1,COLUMN(EndDate)-1),"")</f>
        <v/>
      </c>
      <c r="AW31" s="113" t="str">
        <f t="array" aca="1" ref="AW31" ca="1">IFERROR(OFFSET('(Fill In) SIAO'!$A$1,SMALL(IF(HLT="Y",ROW(HLT)),AL31)-1,COLUMN(StartDate)-1),"")</f>
        <v/>
      </c>
      <c r="AX31" s="113" t="str">
        <f t="array" aca="1" ref="AX31" ca="1">IFERROR(OFFSET('(Fill In) SIAO'!$A$1,SMALL(IF(HLT="Y",ROW(HLT)),AL31)-1,COLUMN(EndDate)-1),"")</f>
        <v/>
      </c>
      <c r="AY31" s="113" t="str">
        <f t="array" aca="1" ref="AY31" ca="1">IFERROR(OFFSET('(Fill In) SIAO'!$A$1,SMALL(IF(PANTES="Y",ROW(PANTES)),AL31)-1,COLUMN(StartDate)-1),"")</f>
        <v/>
      </c>
      <c r="AZ31" s="113" t="str">
        <f t="array" aca="1" ref="AZ31" ca="1">IFERROR(OFFSET('(Fill In) SIAO'!$A$1,SMALL(IF(PANTES="Y",ROW(PANTES)),AL31)-1,COLUMN(EndDate)-1),"")</f>
        <v/>
      </c>
      <c r="BA31" s="113" t="str">
        <f t="array" aca="1" ref="BA31" ca="1">IFERROR(OFFSET('(Fill In) SIAO'!$A$1,SMALL(IF(Heli="Y",ROW(Heli)),AL31)-1,COLUMN(StartDate)-1),"")</f>
        <v/>
      </c>
      <c r="BB31" s="113" t="str">
        <f t="array" aca="1" ref="BB31" ca="1">IFERROR(OFFSET('(Fill In) SIAO'!$A$1,SMALL(IF(Heli="Y",ROW(Heli)),AL31)-1,COLUMN(EndDate)-1),"")</f>
        <v/>
      </c>
      <c r="BC31" s="113" t="str">
        <f t="array" aca="1" ref="BC31" ca="1">IFERROR(OFFSET('(Fill In) SIAO'!$A$1,SMALL(IF(MMR="Y",ROW(MMR)),AL31)-1,COLUMN(StartDate)-1),"")</f>
        <v/>
      </c>
      <c r="BD31" s="113" t="str">
        <f t="array" aca="1" ref="BD31" ca="1">IFERROR(OFFSET('(Fill In) SIAO'!$A$1,SMALL(IF(MMR="Y",ROW(MMR)),AL31)-1,COLUMN(EndDate)-1),"")</f>
        <v/>
      </c>
      <c r="BE31" s="113" t="str">
        <f t="array" aca="1" ref="BE31" ca="1">IFERROR(OFFSET('(Fill In) SIAO'!$A$1,SMALL(IF(POL="Y",ROW(POL)),AL31)-1,COLUMN(StartDate)-1),"")</f>
        <v/>
      </c>
      <c r="BF31" s="113" t="str">
        <f t="array" aca="1" ref="BF31" ca="1">IFERROR(OFFSET('(Fill In) SIAO'!$A$1,SMALL(IF(POL="Y",ROW(POL)),AL31)-1,COLUMN(EndDate)-1),"")</f>
        <v/>
      </c>
    </row>
    <row r="32" spans="1:58">
      <c r="A32" s="80" t="s">
        <v>180</v>
      </c>
      <c r="B32" s="128">
        <v>3</v>
      </c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>
        <v>3</v>
      </c>
      <c r="N32" s="84">
        <v>3</v>
      </c>
      <c r="O32" s="84">
        <v>3</v>
      </c>
      <c r="P32" s="84">
        <v>3</v>
      </c>
      <c r="Q32" s="84">
        <v>3</v>
      </c>
      <c r="R32" s="84">
        <v>3</v>
      </c>
      <c r="S32" s="84">
        <v>3</v>
      </c>
      <c r="T32" s="84">
        <v>3</v>
      </c>
      <c r="U32" s="84">
        <v>3</v>
      </c>
      <c r="V32" s="84">
        <v>3</v>
      </c>
      <c r="W32" s="84">
        <v>3</v>
      </c>
      <c r="X32" s="84">
        <v>3</v>
      </c>
      <c r="Y32" s="84">
        <v>3</v>
      </c>
      <c r="Z32" s="84">
        <v>3</v>
      </c>
      <c r="AA32" s="84">
        <v>3</v>
      </c>
      <c r="AB32" s="84">
        <v>3</v>
      </c>
      <c r="AC32" s="84">
        <v>3</v>
      </c>
      <c r="AD32" s="84">
        <v>3</v>
      </c>
      <c r="AE32" s="84">
        <v>3</v>
      </c>
      <c r="AF32" s="84">
        <v>3</v>
      </c>
      <c r="AG32" s="84">
        <v>3</v>
      </c>
      <c r="AH32" s="84">
        <v>3</v>
      </c>
      <c r="AI32" s="84">
        <v>3</v>
      </c>
      <c r="AK32" s="191"/>
      <c r="AL32">
        <v>14</v>
      </c>
      <c r="AM32" t="str">
        <f t="array" aca="1" ref="AM32" ca="1">IFERROR(OFFSET('(Fill In) SIAO'!$A$1,SMALL(IF(Signals="Y",ROW(Signals)),AL32)-1,COLUMN(Conducts)-1),"")</f>
        <v/>
      </c>
      <c r="AN32" s="113" t="str">
        <f t="array" aca="1" ref="AN32" ca="1">IFERROR(OFFSET('(Fill In) SIAO'!$A$1,SMALL(IF(Signals="Y",ROW(Signals)),AL32)-1,COLUMN(StartDate)-1),"")</f>
        <v/>
      </c>
      <c r="AO32" s="113" t="str">
        <f t="array" aca="1" ref="AO32" ca="1">IFERROR(OFFSET('(Fill In) SIAO'!$A$1,SMALL(IF(Signals="Y",ROW(Signals)),AL32)-1,COLUMN(EndDate)-1),"")</f>
        <v/>
      </c>
      <c r="AP32" s="113" t="str">
        <f t="array" aca="1" ref="AP32" ca="1">IFERROR(OFFSET('(Fill In) SIAO'!$A$1,SMALL(IF(Optics="Y",ROW(Optics)),AL32)-1,COLUMN(Conducts)-1),"")</f>
        <v/>
      </c>
      <c r="AQ32" s="113" t="str">
        <f t="array" aca="1" ref="AQ32" ca="1">IFERROR(OFFSET('(Fill In) SIAO'!$A$1,SMALL(IF(Optics="Y",ROW(Optics)),AL32)-1,COLUMN(StartDate)-1),"")</f>
        <v/>
      </c>
      <c r="AR32" s="113" t="str">
        <f t="array" aca="1" ref="AR32" ca="1">IFERROR(OFFSET('(Fill In) SIAO'!$A$1,SMALL(IF(Optics="Y",ROW(Optics)),AL32)-1,COLUMN(EndDate)-1),"")</f>
        <v/>
      </c>
      <c r="AS32" s="113" t="str">
        <f t="array" aca="1" ref="AS32" ca="1">IFERROR(OFFSET('(Fill In) SIAO'!$A$1,SMALL(IF(ACMS="Y",ROW(ACMS)),AL32)-1,COLUMN(StartDate)-1),"")</f>
        <v/>
      </c>
      <c r="AT32" s="113" t="str">
        <f t="array" aca="1" ref="AT32" ca="1">IFERROR(OFFSET('(Fill In) SIAO'!$A$1,SMALL(IF(ACMS="Y",ROW(ACMS)),AL32)-1,COLUMN(EndDate)-1),"")</f>
        <v/>
      </c>
      <c r="AU32" s="113" t="str">
        <f t="array" aca="1" ref="AU32" ca="1">IFERROR(OFFSET('(Fill In) SIAO'!$A$1,SMALL(IF(UOCE="Y",ROW(UOCE)),AL32)-1,COLUMN(StartDate)-1),"")</f>
        <v/>
      </c>
      <c r="AV32" s="113" t="str">
        <f t="array" aca="1" ref="AV32" ca="1">IFERROR(OFFSET('(Fill In) SIAO'!$A$1,SMALL(IF(UOCE="Y",ROW(UOCE)),AL32)-1,COLUMN(EndDate)-1),"")</f>
        <v/>
      </c>
      <c r="AW32" s="113" t="str">
        <f t="array" aca="1" ref="AW32" ca="1">IFERROR(OFFSET('(Fill In) SIAO'!$A$1,SMALL(IF(HLT="Y",ROW(HLT)),AL32)-1,COLUMN(StartDate)-1),"")</f>
        <v/>
      </c>
      <c r="AX32" s="113" t="str">
        <f t="array" aca="1" ref="AX32" ca="1">IFERROR(OFFSET('(Fill In) SIAO'!$A$1,SMALL(IF(HLT="Y",ROW(HLT)),AL32)-1,COLUMN(EndDate)-1),"")</f>
        <v/>
      </c>
      <c r="AY32" s="113" t="str">
        <f t="array" aca="1" ref="AY32" ca="1">IFERROR(OFFSET('(Fill In) SIAO'!$A$1,SMALL(IF(PANTES="Y",ROW(PANTES)),AL32)-1,COLUMN(StartDate)-1),"")</f>
        <v/>
      </c>
      <c r="AZ32" s="113" t="str">
        <f t="array" aca="1" ref="AZ32" ca="1">IFERROR(OFFSET('(Fill In) SIAO'!$A$1,SMALL(IF(PANTES="Y",ROW(PANTES)),AL32)-1,COLUMN(EndDate)-1),"")</f>
        <v/>
      </c>
      <c r="BA32" s="113" t="str">
        <f t="array" aca="1" ref="BA32" ca="1">IFERROR(OFFSET('(Fill In) SIAO'!$A$1,SMALL(IF(Heli="Y",ROW(Heli)),AL32)-1,COLUMN(StartDate)-1),"")</f>
        <v/>
      </c>
      <c r="BB32" s="113" t="str">
        <f t="array" aca="1" ref="BB32" ca="1">IFERROR(OFFSET('(Fill In) SIAO'!$A$1,SMALL(IF(Heli="Y",ROW(Heli)),AL32)-1,COLUMN(EndDate)-1),"")</f>
        <v/>
      </c>
      <c r="BC32" s="113" t="str">
        <f t="array" aca="1" ref="BC32" ca="1">IFERROR(OFFSET('(Fill In) SIAO'!$A$1,SMALL(IF(MMR="Y",ROW(MMR)),AL32)-1,COLUMN(StartDate)-1),"")</f>
        <v/>
      </c>
      <c r="BD32" s="113" t="str">
        <f t="array" aca="1" ref="BD32" ca="1">IFERROR(OFFSET('(Fill In) SIAO'!$A$1,SMALL(IF(MMR="Y",ROW(MMR)),AL32)-1,COLUMN(EndDate)-1),"")</f>
        <v/>
      </c>
      <c r="BE32" s="113" t="str">
        <f t="array" aca="1" ref="BE32" ca="1">IFERROR(OFFSET('(Fill In) SIAO'!$A$1,SMALL(IF(POL="Y",ROW(POL)),AL32)-1,COLUMN(StartDate)-1),"")</f>
        <v/>
      </c>
      <c r="BF32" s="113" t="str">
        <f t="array" aca="1" ref="BF32" ca="1">IFERROR(OFFSET('(Fill In) SIAO'!$A$1,SMALL(IF(POL="Y",ROW(POL)),AL32)-1,COLUMN(EndDate)-1),"")</f>
        <v/>
      </c>
    </row>
    <row r="33" spans="1:58" ht="15" customHeight="1">
      <c r="A33" s="80" t="s">
        <v>181</v>
      </c>
      <c r="B33" s="128">
        <v>3</v>
      </c>
      <c r="C33" s="84" t="str">
        <f t="array" aca="1" ref="C33" ca="1">IF(OR((C$23&gt;=$AW$11:$AW$74)*(C$4&lt;=$AX$11:$AX$74)&gt;0),$B33,"")</f>
        <v/>
      </c>
      <c r="D33" s="84" t="str">
        <f t="array" aca="1" ref="D33" ca="1">IF(OR((D$23&gt;=$AW$11:$AW$74)*(D$4&lt;=$AX$11:$AX$74)&gt;0),$B33,"")</f>
        <v/>
      </c>
      <c r="E33" s="84" t="str">
        <f t="array" aca="1" ref="E33" ca="1">IF(OR((E$23&gt;=$AW$11:$AW$74)*(E$4&lt;=$AX$11:$AX$74)&gt;0),$B33,"")</f>
        <v/>
      </c>
      <c r="F33" s="84" t="str">
        <f t="array" aca="1" ref="F33" ca="1">IF(OR((F$23&gt;=$AW$11:$AW$74)*(F$4&lt;=$AX$11:$AX$74)&gt;0),$B33,"")</f>
        <v/>
      </c>
      <c r="G33" s="84" t="str">
        <f t="array" aca="1" ref="G33" ca="1">IF(OR((G$23&gt;=$AW$11:$AW$74)*(G$4&lt;=$AX$11:$AX$74)&gt;0),$B33,"")</f>
        <v/>
      </c>
      <c r="H33" s="84" t="str">
        <f t="array" aca="1" ref="H33" ca="1">IF(OR((H$23&gt;=$AW$11:$AW$74)*(H$4&lt;=$AX$11:$AX$74)&gt;0),$B33,"")</f>
        <v/>
      </c>
      <c r="I33" s="84" t="str">
        <f t="array" aca="1" ref="I33" ca="1">IF(OR((I$23&gt;=$AW$11:$AW$74)*(I$4&lt;=$AX$11:$AX$74)&gt;0),$B33,"")</f>
        <v/>
      </c>
      <c r="J33" s="84" t="str">
        <f t="array" aca="1" ref="J33" ca="1">IF(OR((J$23&gt;=$AW$11:$AW$74)*(J$4&lt;=$AX$11:$AX$74)&gt;0),$B33,"")</f>
        <v/>
      </c>
      <c r="K33" s="84" t="str">
        <f t="array" aca="1" ref="K33" ca="1">IF(OR((K$23&gt;=$AW$11:$AW$74)*(K$4&lt;=$AX$11:$AX$74)&gt;0),$B33,"")</f>
        <v/>
      </c>
      <c r="L33" s="84" t="str">
        <f t="array" aca="1" ref="L33" ca="1">IF(OR((L$23&gt;=$AW$11:$AW$74)*(L$4&lt;=$AX$11:$AX$74)&gt;0),$B33,"")</f>
        <v/>
      </c>
      <c r="M33" s="84">
        <v>3</v>
      </c>
      <c r="N33" s="84">
        <v>3</v>
      </c>
      <c r="O33" s="84">
        <v>3</v>
      </c>
      <c r="P33" s="84">
        <v>3</v>
      </c>
      <c r="Q33" s="84">
        <v>3</v>
      </c>
      <c r="R33" s="84">
        <v>3</v>
      </c>
      <c r="S33" s="84">
        <v>3</v>
      </c>
      <c r="T33" s="84">
        <v>3</v>
      </c>
      <c r="U33" s="84">
        <v>3</v>
      </c>
      <c r="V33" s="84">
        <v>3</v>
      </c>
      <c r="W33" s="84">
        <v>3</v>
      </c>
      <c r="X33" s="84">
        <v>3</v>
      </c>
      <c r="Y33" s="84">
        <v>3</v>
      </c>
      <c r="Z33" s="84">
        <v>3</v>
      </c>
      <c r="AA33" s="84">
        <v>3</v>
      </c>
      <c r="AB33" s="84">
        <v>3</v>
      </c>
      <c r="AC33" s="84">
        <v>3</v>
      </c>
      <c r="AD33" s="84">
        <v>3</v>
      </c>
      <c r="AE33" s="84">
        <v>3</v>
      </c>
      <c r="AF33" s="84">
        <v>3</v>
      </c>
      <c r="AG33" s="84">
        <v>3</v>
      </c>
      <c r="AH33" s="84">
        <v>3</v>
      </c>
      <c r="AI33" s="84">
        <v>3</v>
      </c>
      <c r="AK33" s="191"/>
      <c r="AL33">
        <v>15</v>
      </c>
      <c r="AM33" t="str">
        <f t="array" aca="1" ref="AM33" ca="1">IFERROR(OFFSET('(Fill In) SIAO'!$A$1,SMALL(IF(Signals="Y",ROW(Signals)),AL33)-1,COLUMN(Conducts)-1),"")</f>
        <v/>
      </c>
      <c r="AN33" s="113" t="str">
        <f t="array" aca="1" ref="AN33" ca="1">IFERROR(OFFSET('(Fill In) SIAO'!$A$1,SMALL(IF(Signals="Y",ROW(Signals)),AL33)-1,COLUMN(StartDate)-1),"")</f>
        <v/>
      </c>
      <c r="AO33" s="113" t="str">
        <f t="array" aca="1" ref="AO33" ca="1">IFERROR(OFFSET('(Fill In) SIAO'!$A$1,SMALL(IF(Signals="Y",ROW(Signals)),AL33)-1,COLUMN(EndDate)-1),"")</f>
        <v/>
      </c>
      <c r="AP33" s="113" t="str">
        <f t="array" aca="1" ref="AP33" ca="1">IFERROR(OFFSET('(Fill In) SIAO'!$A$1,SMALL(IF(Optics="Y",ROW(Optics)),AL33)-1,COLUMN(Conducts)-1),"")</f>
        <v/>
      </c>
      <c r="AQ33" s="113" t="str">
        <f t="array" aca="1" ref="AQ33" ca="1">IFERROR(OFFSET('(Fill In) SIAO'!$A$1,SMALL(IF(Optics="Y",ROW(Optics)),AL33)-1,COLUMN(StartDate)-1),"")</f>
        <v/>
      </c>
      <c r="AR33" s="113" t="str">
        <f t="array" aca="1" ref="AR33" ca="1">IFERROR(OFFSET('(Fill In) SIAO'!$A$1,SMALL(IF(Optics="Y",ROW(Optics)),AL33)-1,COLUMN(EndDate)-1),"")</f>
        <v/>
      </c>
      <c r="AS33" s="113" t="str">
        <f t="array" aca="1" ref="AS33" ca="1">IFERROR(OFFSET('(Fill In) SIAO'!$A$1,SMALL(IF(ACMS="Y",ROW(ACMS)),AL33)-1,COLUMN(StartDate)-1),"")</f>
        <v/>
      </c>
      <c r="AT33" s="113" t="str">
        <f t="array" aca="1" ref="AT33" ca="1">IFERROR(OFFSET('(Fill In) SIAO'!$A$1,SMALL(IF(ACMS="Y",ROW(ACMS)),AL33)-1,COLUMN(EndDate)-1),"")</f>
        <v/>
      </c>
      <c r="AU33" s="113" t="str">
        <f t="array" aca="1" ref="AU33" ca="1">IFERROR(OFFSET('(Fill In) SIAO'!$A$1,SMALL(IF(UOCE="Y",ROW(UOCE)),AL33)-1,COLUMN(StartDate)-1),"")</f>
        <v/>
      </c>
      <c r="AV33" s="113" t="str">
        <f t="array" aca="1" ref="AV33" ca="1">IFERROR(OFFSET('(Fill In) SIAO'!$A$1,SMALL(IF(UOCE="Y",ROW(UOCE)),AL33)-1,COLUMN(EndDate)-1),"")</f>
        <v/>
      </c>
      <c r="AW33" s="113" t="str">
        <f t="array" aca="1" ref="AW33" ca="1">IFERROR(OFFSET('(Fill In) SIAO'!$A$1,SMALL(IF(HLT="Y",ROW(HLT)),AL33)-1,COLUMN(StartDate)-1),"")</f>
        <v/>
      </c>
      <c r="AX33" s="113" t="str">
        <f t="array" aca="1" ref="AX33" ca="1">IFERROR(OFFSET('(Fill In) SIAO'!$A$1,SMALL(IF(HLT="Y",ROW(HLT)),AL33)-1,COLUMN(EndDate)-1),"")</f>
        <v/>
      </c>
      <c r="AY33" s="113" t="str">
        <f t="array" aca="1" ref="AY33" ca="1">IFERROR(OFFSET('(Fill In) SIAO'!$A$1,SMALL(IF(PANTES="Y",ROW(PANTES)),AL33)-1,COLUMN(StartDate)-1),"")</f>
        <v/>
      </c>
      <c r="AZ33" s="113" t="str">
        <f t="array" aca="1" ref="AZ33" ca="1">IFERROR(OFFSET('(Fill In) SIAO'!$A$1,SMALL(IF(PANTES="Y",ROW(PANTES)),AL33)-1,COLUMN(EndDate)-1),"")</f>
        <v/>
      </c>
      <c r="BA33" s="113" t="str">
        <f t="array" aca="1" ref="BA33" ca="1">IFERROR(OFFSET('(Fill In) SIAO'!$A$1,SMALL(IF(Heli="Y",ROW(Heli)),AL33)-1,COLUMN(StartDate)-1),"")</f>
        <v/>
      </c>
      <c r="BB33" s="113" t="str">
        <f t="array" aca="1" ref="BB33" ca="1">IFERROR(OFFSET('(Fill In) SIAO'!$A$1,SMALL(IF(Heli="Y",ROW(Heli)),AL33)-1,COLUMN(EndDate)-1),"")</f>
        <v/>
      </c>
      <c r="BC33" s="113" t="str">
        <f t="array" aca="1" ref="BC33" ca="1">IFERROR(OFFSET('(Fill In) SIAO'!$A$1,SMALL(IF(MMR="Y",ROW(MMR)),AL33)-1,COLUMN(StartDate)-1),"")</f>
        <v/>
      </c>
      <c r="BD33" s="113" t="str">
        <f t="array" aca="1" ref="BD33" ca="1">IFERROR(OFFSET('(Fill In) SIAO'!$A$1,SMALL(IF(MMR="Y",ROW(MMR)),AL33)-1,COLUMN(EndDate)-1),"")</f>
        <v/>
      </c>
      <c r="BE33" s="113" t="str">
        <f t="array" aca="1" ref="BE33" ca="1">IFERROR(OFFSET('(Fill In) SIAO'!$A$1,SMALL(IF(POL="Y",ROW(POL)),AL33)-1,COLUMN(StartDate)-1),"")</f>
        <v/>
      </c>
      <c r="BF33" s="113" t="str">
        <f t="array" aca="1" ref="BF33" ca="1">IFERROR(OFFSET('(Fill In) SIAO'!$A$1,SMALL(IF(POL="Y",ROW(POL)),AL33)-1,COLUMN(EndDate)-1),"")</f>
        <v/>
      </c>
    </row>
    <row r="34" spans="1:58">
      <c r="A34" s="80" t="s">
        <v>182</v>
      </c>
      <c r="B34" s="128">
        <v>3</v>
      </c>
      <c r="C34" s="84" t="str">
        <f t="array" aca="1" ref="C34" ca="1">IF(OR((C$23&gt;=$AW$11:$AW$74)*(C$4&lt;=$AX$11:$AX$74)&gt;0),$B34,"")</f>
        <v/>
      </c>
      <c r="D34" s="84" t="str">
        <f t="array" aca="1" ref="D34" ca="1">IF(OR((D$23&gt;=$AW$11:$AW$74)*(D$4&lt;=$AX$11:$AX$74)&gt;0),$B34,"")</f>
        <v/>
      </c>
      <c r="E34" s="84" t="str">
        <f t="array" aca="1" ref="E34" ca="1">IF(OR((E$23&gt;=$AW$11:$AW$74)*(E$4&lt;=$AX$11:$AX$74)&gt;0),$B34,"")</f>
        <v/>
      </c>
      <c r="F34" s="84" t="str">
        <f t="array" aca="1" ref="F34" ca="1">IF(OR((F$23&gt;=$AW$11:$AW$74)*(F$4&lt;=$AX$11:$AX$74)&gt;0),$B34,"")</f>
        <v/>
      </c>
      <c r="G34" s="84" t="str">
        <f t="array" aca="1" ref="G34" ca="1">IF(OR((G$23&gt;=$AW$11:$AW$74)*(G$4&lt;=$AX$11:$AX$74)&gt;0),$B34,"")</f>
        <v/>
      </c>
      <c r="H34" s="84" t="str">
        <f t="array" aca="1" ref="H34" ca="1">IF(OR((H$23&gt;=$AW$11:$AW$74)*(H$4&lt;=$AX$11:$AX$74)&gt;0),$B34,"")</f>
        <v/>
      </c>
      <c r="I34" s="84" t="str">
        <f t="array" aca="1" ref="I34" ca="1">IF(OR((I$23&gt;=$AW$11:$AW$74)*(I$4&lt;=$AX$11:$AX$74)&gt;0),$B34,"")</f>
        <v/>
      </c>
      <c r="J34" s="84" t="str">
        <f t="array" aca="1" ref="J34" ca="1">IF(OR((J$23&gt;=$AW$11:$AW$74)*(J$4&lt;=$AX$11:$AX$74)&gt;0),$B34,"")</f>
        <v/>
      </c>
      <c r="K34" s="84" t="str">
        <f t="array" aca="1" ref="K34" ca="1">IF(OR((K$23&gt;=$AW$11:$AW$74)*(K$4&lt;=$AX$11:$AX$74)&gt;0),$B34,"")</f>
        <v/>
      </c>
      <c r="L34" s="84" t="str">
        <f t="array" aca="1" ref="L34" ca="1">IF(OR((L$23&gt;=$AW$11:$AW$74)*(L$4&lt;=$AX$11:$AX$74)&gt;0),$B34,"")</f>
        <v/>
      </c>
      <c r="M34" s="84">
        <v>3</v>
      </c>
      <c r="N34" s="84">
        <v>3</v>
      </c>
      <c r="O34" s="84">
        <v>3</v>
      </c>
      <c r="P34" s="84">
        <v>3</v>
      </c>
      <c r="Q34" s="84">
        <v>3</v>
      </c>
      <c r="R34" s="84">
        <v>3</v>
      </c>
      <c r="S34" s="84">
        <v>3</v>
      </c>
      <c r="T34" s="84">
        <v>3</v>
      </c>
      <c r="U34" s="84">
        <v>3</v>
      </c>
      <c r="V34" s="84">
        <v>3</v>
      </c>
      <c r="W34" s="84">
        <v>3</v>
      </c>
      <c r="X34" s="84">
        <v>3</v>
      </c>
      <c r="Y34" s="84">
        <v>3</v>
      </c>
      <c r="Z34" s="84">
        <v>3</v>
      </c>
      <c r="AA34" s="84">
        <v>3</v>
      </c>
      <c r="AB34" s="84">
        <v>3</v>
      </c>
      <c r="AC34" s="84">
        <v>3</v>
      </c>
      <c r="AD34" s="84">
        <v>3</v>
      </c>
      <c r="AE34" s="84">
        <v>3</v>
      </c>
      <c r="AF34" s="84">
        <v>3</v>
      </c>
      <c r="AG34" s="84">
        <v>3</v>
      </c>
      <c r="AH34" s="84">
        <v>3</v>
      </c>
      <c r="AI34" s="84">
        <v>3</v>
      </c>
      <c r="AK34" s="191"/>
      <c r="AL34">
        <v>16</v>
      </c>
      <c r="AM34" t="str">
        <f t="array" aca="1" ref="AM34" ca="1">IFERROR(OFFSET('(Fill In) SIAO'!$A$1,SMALL(IF(Signals="Y",ROW(Signals)),AL34)-1,COLUMN(Conducts)-1),"")</f>
        <v/>
      </c>
      <c r="AN34" s="113" t="str">
        <f t="array" aca="1" ref="AN34" ca="1">IFERROR(OFFSET('(Fill In) SIAO'!$A$1,SMALL(IF(Signals="Y",ROW(Signals)),AL34)-1,COLUMN(StartDate)-1),"")</f>
        <v/>
      </c>
      <c r="AO34" s="113" t="str">
        <f t="array" aca="1" ref="AO34" ca="1">IFERROR(OFFSET('(Fill In) SIAO'!$A$1,SMALL(IF(Signals="Y",ROW(Signals)),AL34)-1,COLUMN(EndDate)-1),"")</f>
        <v/>
      </c>
      <c r="AP34" s="113" t="str">
        <f t="array" aca="1" ref="AP34" ca="1">IFERROR(OFFSET('(Fill In) SIAO'!$A$1,SMALL(IF(Optics="Y",ROW(Optics)),AL34)-1,COLUMN(Conducts)-1),"")</f>
        <v/>
      </c>
      <c r="AQ34" s="113" t="str">
        <f t="array" aca="1" ref="AQ34" ca="1">IFERROR(OFFSET('(Fill In) SIAO'!$A$1,SMALL(IF(Optics="Y",ROW(Optics)),AL34)-1,COLUMN(StartDate)-1),"")</f>
        <v/>
      </c>
      <c r="AR34" s="113" t="str">
        <f t="array" aca="1" ref="AR34" ca="1">IFERROR(OFFSET('(Fill In) SIAO'!$A$1,SMALL(IF(Optics="Y",ROW(Optics)),AL34)-1,COLUMN(EndDate)-1),"")</f>
        <v/>
      </c>
      <c r="AS34" s="113" t="str">
        <f t="array" aca="1" ref="AS34" ca="1">IFERROR(OFFSET('(Fill In) SIAO'!$A$1,SMALL(IF(ACMS="Y",ROW(ACMS)),AL34)-1,COLUMN(StartDate)-1),"")</f>
        <v/>
      </c>
      <c r="AT34" s="113" t="str">
        <f t="array" aca="1" ref="AT34" ca="1">IFERROR(OFFSET('(Fill In) SIAO'!$A$1,SMALL(IF(ACMS="Y",ROW(ACMS)),AL34)-1,COLUMN(EndDate)-1),"")</f>
        <v/>
      </c>
      <c r="AU34" s="113" t="str">
        <f t="array" aca="1" ref="AU34" ca="1">IFERROR(OFFSET('(Fill In) SIAO'!$A$1,SMALL(IF(UOCE="Y",ROW(UOCE)),AL34)-1,COLUMN(StartDate)-1),"")</f>
        <v/>
      </c>
      <c r="AV34" s="113" t="str">
        <f t="array" aca="1" ref="AV34" ca="1">IFERROR(OFFSET('(Fill In) SIAO'!$A$1,SMALL(IF(UOCE="Y",ROW(UOCE)),AL34)-1,COLUMN(EndDate)-1),"")</f>
        <v/>
      </c>
      <c r="AW34" s="113" t="str">
        <f t="array" aca="1" ref="AW34" ca="1">IFERROR(OFFSET('(Fill In) SIAO'!$A$1,SMALL(IF(HLT="Y",ROW(HLT)),AL34)-1,COLUMN(StartDate)-1),"")</f>
        <v/>
      </c>
      <c r="AX34" s="113" t="str">
        <f t="array" aca="1" ref="AX34" ca="1">IFERROR(OFFSET('(Fill In) SIAO'!$A$1,SMALL(IF(HLT="Y",ROW(HLT)),AL34)-1,COLUMN(EndDate)-1),"")</f>
        <v/>
      </c>
      <c r="AY34" s="113" t="str">
        <f t="array" aca="1" ref="AY34" ca="1">IFERROR(OFFSET('(Fill In) SIAO'!$A$1,SMALL(IF(PANTES="Y",ROW(PANTES)),AL34)-1,COLUMN(StartDate)-1),"")</f>
        <v/>
      </c>
      <c r="AZ34" s="113" t="str">
        <f t="array" aca="1" ref="AZ34" ca="1">IFERROR(OFFSET('(Fill In) SIAO'!$A$1,SMALL(IF(PANTES="Y",ROW(PANTES)),AL34)-1,COLUMN(EndDate)-1),"")</f>
        <v/>
      </c>
      <c r="BA34" s="113" t="str">
        <f t="array" aca="1" ref="BA34" ca="1">IFERROR(OFFSET('(Fill In) SIAO'!$A$1,SMALL(IF(Heli="Y",ROW(Heli)),AL34)-1,COLUMN(StartDate)-1),"")</f>
        <v/>
      </c>
      <c r="BB34" s="113" t="str">
        <f t="array" aca="1" ref="BB34" ca="1">IFERROR(OFFSET('(Fill In) SIAO'!$A$1,SMALL(IF(Heli="Y",ROW(Heli)),AL34)-1,COLUMN(EndDate)-1),"")</f>
        <v/>
      </c>
      <c r="BC34" s="113" t="str">
        <f t="array" aca="1" ref="BC34" ca="1">IFERROR(OFFSET('(Fill In) SIAO'!$A$1,SMALL(IF(MMR="Y",ROW(MMR)),AL34)-1,COLUMN(StartDate)-1),"")</f>
        <v/>
      </c>
      <c r="BD34" s="113" t="str">
        <f t="array" aca="1" ref="BD34" ca="1">IFERROR(OFFSET('(Fill In) SIAO'!$A$1,SMALL(IF(MMR="Y",ROW(MMR)),AL34)-1,COLUMN(EndDate)-1),"")</f>
        <v/>
      </c>
      <c r="BE34" s="113" t="str">
        <f t="array" aca="1" ref="BE34" ca="1">IFERROR(OFFSET('(Fill In) SIAO'!$A$1,SMALL(IF(POL="Y",ROW(POL)),AL34)-1,COLUMN(StartDate)-1),"")</f>
        <v/>
      </c>
      <c r="BF34" s="113" t="str">
        <f t="array" aca="1" ref="BF34" ca="1">IFERROR(OFFSET('(Fill In) SIAO'!$A$1,SMALL(IF(POL="Y",ROW(POL)),AL34)-1,COLUMN(EndDate)-1),"")</f>
        <v/>
      </c>
    </row>
    <row r="35" spans="1:58">
      <c r="A35" s="80" t="s">
        <v>183</v>
      </c>
      <c r="B35" s="128">
        <v>5</v>
      </c>
      <c r="C35" s="84" t="str">
        <f t="array" aca="1" ref="C35" ca="1">IF(OR((C$23&gt;=$AW$11:$AW$74)*(C$4&lt;=$AX$11:$AX$74)&gt;0),$B35,"")</f>
        <v/>
      </c>
      <c r="D35" s="84" t="str">
        <f t="array" aca="1" ref="D35" ca="1">IF(OR((D$23&gt;=$AW$11:$AW$74)*(D$4&lt;=$AX$11:$AX$74)&gt;0),$B35,"")</f>
        <v/>
      </c>
      <c r="E35" s="84" t="str">
        <f t="array" aca="1" ref="E35" ca="1">IF(OR((E$23&gt;=$AW$11:$AW$74)*(E$4&lt;=$AX$11:$AX$74)&gt;0),$B35,"")</f>
        <v/>
      </c>
      <c r="F35" s="84" t="str">
        <f t="array" aca="1" ref="F35" ca="1">IF(OR((F$23&gt;=$AW$11:$AW$74)*(F$4&lt;=$AX$11:$AX$74)&gt;0),$B35,"")</f>
        <v/>
      </c>
      <c r="G35" s="84" t="str">
        <f t="array" aca="1" ref="G35" ca="1">IF(OR((G$23&gt;=$AW$11:$AW$74)*(G$4&lt;=$AX$11:$AX$74)&gt;0),$B35,"")</f>
        <v/>
      </c>
      <c r="H35" s="84" t="str">
        <f t="array" aca="1" ref="H35" ca="1">IF(OR((H$23&gt;=$AW$11:$AW$74)*(H$4&lt;=$AX$11:$AX$74)&gt;0),$B35,"")</f>
        <v/>
      </c>
      <c r="I35" s="84" t="str">
        <f t="array" aca="1" ref="I35" ca="1">IF(OR((I$23&gt;=$AW$11:$AW$74)*(I$4&lt;=$AX$11:$AX$74)&gt;0),$B35,"")</f>
        <v/>
      </c>
      <c r="J35" s="84" t="str">
        <f t="array" aca="1" ref="J35" ca="1">IF(OR((J$23&gt;=$AW$11:$AW$74)*(J$4&lt;=$AX$11:$AX$74)&gt;0),$B35,"")</f>
        <v/>
      </c>
      <c r="K35" s="84" t="str">
        <f t="array" aca="1" ref="K35" ca="1">IF(OR((K$23&gt;=$AW$11:$AW$74)*(K$4&lt;=$AX$11:$AX$74)&gt;0),$B35,"")</f>
        <v/>
      </c>
      <c r="L35" s="84" t="str">
        <f t="array" aca="1" ref="L35" ca="1">IF(OR((L$23&gt;=$AW$11:$AW$74)*(L$4&lt;=$AX$11:$AX$74)&gt;0),$B35,"")</f>
        <v/>
      </c>
      <c r="M35" s="84" t="str">
        <f t="array" aca="1" ref="M35" ca="1">IF(OR((M$23&gt;=$AW$11:$AW$74)*(M$4&lt;=$AX$11:$AX$74)&gt;0),$B35,"")</f>
        <v/>
      </c>
      <c r="N35" s="84" t="str">
        <f t="array" aca="1" ref="N35" ca="1">IF(OR((N$23&gt;=$AW$11:$AW$74)*(N$4&lt;=$AX$11:$AX$74)&gt;0),$B35,"")</f>
        <v/>
      </c>
      <c r="O35" s="84" t="str">
        <f t="array" aca="1" ref="O35" ca="1">IF(OR((O$23&gt;=$AW$11:$AW$74)*(O$4&lt;=$AX$11:$AX$74)&gt;0),$B35,"")</f>
        <v/>
      </c>
      <c r="P35" s="84" t="str">
        <f t="array" aca="1" ref="P35" ca="1">IF(OR((P$23&gt;=$AW$11:$AW$74)*(P$4&lt;=$AX$11:$AX$74)&gt;0),$B35,"")</f>
        <v/>
      </c>
      <c r="Q35" s="84" t="str">
        <f t="array" aca="1" ref="Q35" ca="1">IF(OR((Q$23&gt;=$AW$11:$AW$74)*(Q$4&lt;=$AX$11:$AX$74)&gt;0),$B35,"")</f>
        <v/>
      </c>
      <c r="R35" s="84" t="str">
        <f t="array" aca="1" ref="R35" ca="1">IF(OR((R$23&gt;=$AW$11:$AW$74)*(R$4&lt;=$AX$11:$AX$74)&gt;0),$B35,"")</f>
        <v/>
      </c>
      <c r="S35" s="84" t="str">
        <f t="array" aca="1" ref="S35" ca="1">IF(OR((S$23&gt;=$AW$11:$AW$74)*(S$4&lt;=$AX$11:$AX$74)&gt;0),$B35,"")</f>
        <v/>
      </c>
      <c r="T35" s="84" t="str">
        <f t="array" aca="1" ref="T35" ca="1">IF(OR((T$23&gt;=$AW$11:$AW$74)*(T$4&lt;=$AX$11:$AX$74)&gt;0),$B35,"")</f>
        <v/>
      </c>
      <c r="U35" s="84" t="str">
        <f t="array" aca="1" ref="U35" ca="1">IF(OR((U$23&gt;=$AW$11:$AW$74)*(U$4&lt;=$AX$11:$AX$74)&gt;0),$B35,"")</f>
        <v/>
      </c>
      <c r="V35" s="84" t="str">
        <f t="array" aca="1" ref="V35" ca="1">IF(OR((V$23&gt;=$AW$11:$AW$74)*(V$4&lt;=$AX$11:$AX$74)&gt;0),$B35,"")</f>
        <v/>
      </c>
      <c r="W35" s="84" t="str">
        <f t="array" aca="1" ref="W35" ca="1">IF(OR((W$23&gt;=$AW$11:$AW$74)*(W$4&lt;=$AX$11:$AX$74)&gt;0),$B35,"")</f>
        <v/>
      </c>
      <c r="X35" s="84" t="str">
        <f t="array" aca="1" ref="X35" ca="1">IF(OR((X$23&gt;=$AW$11:$AW$74)*(X$4&lt;=$AX$11:$AX$74)&gt;0),$B35,"")</f>
        <v/>
      </c>
      <c r="Y35" s="84" t="str">
        <f t="array" aca="1" ref="Y35" ca="1">IF(OR((Y$23&gt;=$AW$11:$AW$74)*(Y$4&lt;=$AX$11:$AX$74)&gt;0),$B35,"")</f>
        <v/>
      </c>
      <c r="Z35" s="84" t="str">
        <f t="array" aca="1" ref="Z35" ca="1">IF(OR((Z$23&gt;=$AW$11:$AW$74)*(Z$4&lt;=$AX$11:$AX$74)&gt;0),$B35,"")</f>
        <v/>
      </c>
      <c r="AA35" s="84" t="str">
        <f t="array" aca="1" ref="AA35" ca="1">IF(OR((AA$23&gt;=$AW$11:$AW$74)*(AA$4&lt;=$AX$11:$AX$74)&gt;0),$B35,"")</f>
        <v/>
      </c>
      <c r="AB35" s="84" t="str">
        <f t="array" aca="1" ref="AB35" ca="1">IF(OR((AB$23&gt;=$AW$11:$AW$74)*(AB$4&lt;=$AX$11:$AX$74)&gt;0),$B35,"")</f>
        <v/>
      </c>
      <c r="AC35" s="84" t="str">
        <f t="array" aca="1" ref="AC35" ca="1">IF(OR((AC$23&gt;=$AW$11:$AW$74)*(AC$4&lt;=$AX$11:$AX$74)&gt;0),$B35,"")</f>
        <v/>
      </c>
      <c r="AD35" s="84" t="str">
        <f t="array" aca="1" ref="AD35" ca="1">IF(OR((AD$23&gt;=$AW$11:$AW$74)*(AD$4&lt;=$AX$11:$AX$74)&gt;0),$B35,"")</f>
        <v/>
      </c>
      <c r="AE35" s="84" t="str">
        <f t="array" aca="1" ref="AE35" ca="1">IF(OR((AE$23&gt;=$AW$11:$AW$74)*(AE$4&lt;=$AX$11:$AX$74)&gt;0),$B35,"")</f>
        <v/>
      </c>
      <c r="AF35" s="84" t="str">
        <f t="array" aca="1" ref="AF35" ca="1">IF(OR((AF$23&gt;=$AW$11:$AW$74)*(AF$4&lt;=$AX$11:$AX$74)&gt;0),$B35,"")</f>
        <v/>
      </c>
      <c r="AG35" s="84" t="str">
        <f t="array" aca="1" ref="AG35" ca="1">IF(OR((AG$23&gt;=$AW$11:$AW$74)*(AG$4&lt;=$AX$11:$AX$74)&gt;0),$B35,"")</f>
        <v/>
      </c>
      <c r="AH35" s="84" t="str">
        <f t="array" aca="1" ref="AH35" ca="1">IF(OR((AH$23&gt;=$AW$11:$AW$74)*(AH$4&lt;=$AX$11:$AX$74)&gt;0),$B35,"")</f>
        <v/>
      </c>
      <c r="AI35" s="84" t="str">
        <f t="array" aca="1" ref="AI35" ca="1">IF(OR((AI$23&gt;=$AW$11:$AW$74)*(AI$4&lt;=$AX$11:$AX$74)&gt;0),$B35,"")</f>
        <v/>
      </c>
      <c r="AK35" s="191"/>
      <c r="AL35">
        <v>17</v>
      </c>
      <c r="AM35" t="str">
        <f t="array" aca="1" ref="AM35" ca="1">IFERROR(OFFSET('(Fill In) SIAO'!$A$1,SMALL(IF(Signals="Y",ROW(Signals)),AL35)-1,COLUMN(Conducts)-1),"")</f>
        <v/>
      </c>
      <c r="AN35" s="113" t="str">
        <f t="array" aca="1" ref="AN35" ca="1">IFERROR(OFFSET('(Fill In) SIAO'!$A$1,SMALL(IF(Signals="Y",ROW(Signals)),AL35)-1,COLUMN(StartDate)-1),"")</f>
        <v/>
      </c>
      <c r="AO35" s="113" t="str">
        <f t="array" aca="1" ref="AO35" ca="1">IFERROR(OFFSET('(Fill In) SIAO'!$A$1,SMALL(IF(Signals="Y",ROW(Signals)),AL35)-1,COLUMN(EndDate)-1),"")</f>
        <v/>
      </c>
      <c r="AP35" s="113" t="str">
        <f t="array" aca="1" ref="AP35" ca="1">IFERROR(OFFSET('(Fill In) SIAO'!$A$1,SMALL(IF(Optics="Y",ROW(Optics)),AL35)-1,COLUMN(Conducts)-1),"")</f>
        <v/>
      </c>
      <c r="AQ35" s="113" t="str">
        <f t="array" aca="1" ref="AQ35" ca="1">IFERROR(OFFSET('(Fill In) SIAO'!$A$1,SMALL(IF(Optics="Y",ROW(Optics)),AL35)-1,COLUMN(StartDate)-1),"")</f>
        <v/>
      </c>
      <c r="AR35" s="113" t="str">
        <f t="array" aca="1" ref="AR35" ca="1">IFERROR(OFFSET('(Fill In) SIAO'!$A$1,SMALL(IF(Optics="Y",ROW(Optics)),AL35)-1,COLUMN(EndDate)-1),"")</f>
        <v/>
      </c>
      <c r="AS35" s="113" t="str">
        <f t="array" aca="1" ref="AS35" ca="1">IFERROR(OFFSET('(Fill In) SIAO'!$A$1,SMALL(IF(ACMS="Y",ROW(ACMS)),AL35)-1,COLUMN(StartDate)-1),"")</f>
        <v/>
      </c>
      <c r="AT35" s="113" t="str">
        <f t="array" aca="1" ref="AT35" ca="1">IFERROR(OFFSET('(Fill In) SIAO'!$A$1,SMALL(IF(ACMS="Y",ROW(ACMS)),AL35)-1,COLUMN(EndDate)-1),"")</f>
        <v/>
      </c>
      <c r="AU35" s="113" t="str">
        <f t="array" aca="1" ref="AU35" ca="1">IFERROR(OFFSET('(Fill In) SIAO'!$A$1,SMALL(IF(UOCE="Y",ROW(UOCE)),AL35)-1,COLUMN(StartDate)-1),"")</f>
        <v/>
      </c>
      <c r="AV35" s="113" t="str">
        <f t="array" aca="1" ref="AV35" ca="1">IFERROR(OFFSET('(Fill In) SIAO'!$A$1,SMALL(IF(UOCE="Y",ROW(UOCE)),AL35)-1,COLUMN(EndDate)-1),"")</f>
        <v/>
      </c>
      <c r="AW35" s="113" t="str">
        <f t="array" aca="1" ref="AW35" ca="1">IFERROR(OFFSET('(Fill In) SIAO'!$A$1,SMALL(IF(HLT="Y",ROW(HLT)),AL35)-1,COLUMN(StartDate)-1),"")</f>
        <v/>
      </c>
      <c r="AX35" s="113" t="str">
        <f t="array" aca="1" ref="AX35" ca="1">IFERROR(OFFSET('(Fill In) SIAO'!$A$1,SMALL(IF(HLT="Y",ROW(HLT)),AL35)-1,COLUMN(EndDate)-1),"")</f>
        <v/>
      </c>
      <c r="AY35" s="113" t="str">
        <f t="array" aca="1" ref="AY35" ca="1">IFERROR(OFFSET('(Fill In) SIAO'!$A$1,SMALL(IF(PANTES="Y",ROW(PANTES)),AL35)-1,COLUMN(StartDate)-1),"")</f>
        <v/>
      </c>
      <c r="AZ35" s="113" t="str">
        <f t="array" aca="1" ref="AZ35" ca="1">IFERROR(OFFSET('(Fill In) SIAO'!$A$1,SMALL(IF(PANTES="Y",ROW(PANTES)),AL35)-1,COLUMN(EndDate)-1),"")</f>
        <v/>
      </c>
      <c r="BA35" s="113" t="str">
        <f t="array" aca="1" ref="BA35" ca="1">IFERROR(OFFSET('(Fill In) SIAO'!$A$1,SMALL(IF(Heli="Y",ROW(Heli)),AL35)-1,COLUMN(StartDate)-1),"")</f>
        <v/>
      </c>
      <c r="BB35" s="113" t="str">
        <f t="array" aca="1" ref="BB35" ca="1">IFERROR(OFFSET('(Fill In) SIAO'!$A$1,SMALL(IF(Heli="Y",ROW(Heli)),AL35)-1,COLUMN(EndDate)-1),"")</f>
        <v/>
      </c>
      <c r="BC35" s="113" t="str">
        <f t="array" aca="1" ref="BC35" ca="1">IFERROR(OFFSET('(Fill In) SIAO'!$A$1,SMALL(IF(MMR="Y",ROW(MMR)),AL35)-1,COLUMN(StartDate)-1),"")</f>
        <v/>
      </c>
      <c r="BD35" s="113" t="str">
        <f t="array" aca="1" ref="BD35" ca="1">IFERROR(OFFSET('(Fill In) SIAO'!$A$1,SMALL(IF(MMR="Y",ROW(MMR)),AL35)-1,COLUMN(EndDate)-1),"")</f>
        <v/>
      </c>
      <c r="BE35" s="113" t="str">
        <f t="array" aca="1" ref="BE35" ca="1">IFERROR(OFFSET('(Fill In) SIAO'!$A$1,SMALL(IF(POL="Y",ROW(POL)),AL35)-1,COLUMN(StartDate)-1),"")</f>
        <v/>
      </c>
      <c r="BF35" s="113" t="str">
        <f t="array" aca="1" ref="BF35" ca="1">IFERROR(OFFSET('(Fill In) SIAO'!$A$1,SMALL(IF(POL="Y",ROW(POL)),AL35)-1,COLUMN(EndDate)-1),"")</f>
        <v/>
      </c>
    </row>
    <row r="36" spans="1:58">
      <c r="A36" s="80" t="s">
        <v>184</v>
      </c>
      <c r="B36" s="128">
        <v>1</v>
      </c>
      <c r="C36" s="84" t="str">
        <f t="array" aca="1" ref="C36" ca="1">IF(OR((C$23&gt;=$AW$11:$AW$74)*(C$4&lt;=$AX$11:$AX$74)&gt;0),$B36,"")</f>
        <v/>
      </c>
      <c r="D36" s="84" t="str">
        <f t="array" aca="1" ref="D36" ca="1">IF(OR((D$23&gt;=$AW$11:$AW$74)*(D$4&lt;=$AX$11:$AX$74)&gt;0),$B36,"")</f>
        <v/>
      </c>
      <c r="E36" s="84" t="str">
        <f t="array" aca="1" ref="E36" ca="1">IF(OR((E$23&gt;=$AW$11:$AW$74)*(E$4&lt;=$AX$11:$AX$74)&gt;0),$B36,"")</f>
        <v/>
      </c>
      <c r="F36" s="84" t="str">
        <f t="array" aca="1" ref="F36" ca="1">IF(OR((F$23&gt;=$AW$11:$AW$74)*(F$4&lt;=$AX$11:$AX$74)&gt;0),$B36,"")</f>
        <v/>
      </c>
      <c r="G36" s="84" t="str">
        <f t="array" aca="1" ref="G36" ca="1">IF(OR((G$23&gt;=$AW$11:$AW$74)*(G$4&lt;=$AX$11:$AX$74)&gt;0),$B36,"")</f>
        <v/>
      </c>
      <c r="H36" s="84" t="str">
        <f t="array" aca="1" ref="H36" ca="1">IF(OR((H$23&gt;=$AW$11:$AW$74)*(H$4&lt;=$AX$11:$AX$74)&gt;0),$B36,"")</f>
        <v/>
      </c>
      <c r="I36" s="84" t="str">
        <f t="array" aca="1" ref="I36" ca="1">IF(OR((I$23&gt;=$AW$11:$AW$74)*(I$4&lt;=$AX$11:$AX$74)&gt;0),$B36,"")</f>
        <v/>
      </c>
      <c r="J36" s="84" t="str">
        <f t="array" aca="1" ref="J36" ca="1">IF(OR((J$23&gt;=$AW$11:$AW$74)*(J$4&lt;=$AX$11:$AX$74)&gt;0),$B36,"")</f>
        <v/>
      </c>
      <c r="K36" s="84" t="str">
        <f t="array" aca="1" ref="K36" ca="1">IF(OR((K$23&gt;=$AW$11:$AW$74)*(K$4&lt;=$AX$11:$AX$74)&gt;0),$B36,"")</f>
        <v/>
      </c>
      <c r="L36" s="84" t="str">
        <f t="array" aca="1" ref="L36" ca="1">IF(OR((L$23&gt;=$AW$11:$AW$74)*(L$4&lt;=$AX$11:$AX$74)&gt;0),$B36,"")</f>
        <v/>
      </c>
      <c r="M36" s="84" t="str">
        <f t="array" aca="1" ref="M36" ca="1">IF(OR((M$23&gt;=$AW$11:$AW$74)*(M$4&lt;=$AX$11:$AX$74)&gt;0),$B36,"")</f>
        <v/>
      </c>
      <c r="N36" s="84" t="str">
        <f t="array" aca="1" ref="N36" ca="1">IF(OR((N$23&gt;=$AW$11:$AW$74)*(N$4&lt;=$AX$11:$AX$74)&gt;0),$B36,"")</f>
        <v/>
      </c>
      <c r="O36" s="84" t="str">
        <f t="array" aca="1" ref="O36" ca="1">IF(OR((O$23&gt;=$AW$11:$AW$74)*(O$4&lt;=$AX$11:$AX$74)&gt;0),$B36,"")</f>
        <v/>
      </c>
      <c r="P36" s="84" t="str">
        <f t="array" aca="1" ref="P36" ca="1">IF(OR((P$23&gt;=$AW$11:$AW$74)*(P$4&lt;=$AX$11:$AX$74)&gt;0),$B36,"")</f>
        <v/>
      </c>
      <c r="Q36" s="84" t="str">
        <f t="array" aca="1" ref="Q36" ca="1">IF(OR((Q$23&gt;=$AW$11:$AW$74)*(Q$4&lt;=$AX$11:$AX$74)&gt;0),$B36,"")</f>
        <v/>
      </c>
      <c r="R36" s="84" t="str">
        <f t="array" aca="1" ref="R36" ca="1">IF(OR((R$23&gt;=$AW$11:$AW$74)*(R$4&lt;=$AX$11:$AX$74)&gt;0),$B36,"")</f>
        <v/>
      </c>
      <c r="S36" s="84" t="str">
        <f t="array" aca="1" ref="S36" ca="1">IF(OR((S$23&gt;=$AW$11:$AW$74)*(S$4&lt;=$AX$11:$AX$74)&gt;0),$B36,"")</f>
        <v/>
      </c>
      <c r="T36" s="84" t="str">
        <f t="array" aca="1" ref="T36" ca="1">IF(OR((T$23&gt;=$AW$11:$AW$74)*(T$4&lt;=$AX$11:$AX$74)&gt;0),$B36,"")</f>
        <v/>
      </c>
      <c r="U36" s="84" t="str">
        <f t="array" aca="1" ref="U36" ca="1">IF(OR((U$23&gt;=$AW$11:$AW$74)*(U$4&lt;=$AX$11:$AX$74)&gt;0),$B36,"")</f>
        <v/>
      </c>
      <c r="V36" s="84" t="str">
        <f t="array" aca="1" ref="V36" ca="1">IF(OR((V$23&gt;=$AW$11:$AW$74)*(V$4&lt;=$AX$11:$AX$74)&gt;0),$B36,"")</f>
        <v/>
      </c>
      <c r="W36" s="84" t="str">
        <f t="array" aca="1" ref="W36" ca="1">IF(OR((W$23&gt;=$AW$11:$AW$74)*(W$4&lt;=$AX$11:$AX$74)&gt;0),$B36,"")</f>
        <v/>
      </c>
      <c r="X36" s="84" t="str">
        <f t="array" aca="1" ref="X36" ca="1">IF(OR((X$23&gt;=$AW$11:$AW$74)*(X$4&lt;=$AX$11:$AX$74)&gt;0),$B36,"")</f>
        <v/>
      </c>
      <c r="Y36" s="84" t="str">
        <f t="array" aca="1" ref="Y36" ca="1">IF(OR((Y$23&gt;=$AW$11:$AW$74)*(Y$4&lt;=$AX$11:$AX$74)&gt;0),$B36,"")</f>
        <v/>
      </c>
      <c r="Z36" s="84" t="str">
        <f t="array" aca="1" ref="Z36" ca="1">IF(OR((Z$23&gt;=$AW$11:$AW$74)*(Z$4&lt;=$AX$11:$AX$74)&gt;0),$B36,"")</f>
        <v/>
      </c>
      <c r="AA36" s="84" t="str">
        <f t="array" aca="1" ref="AA36" ca="1">IF(OR((AA$23&gt;=$AW$11:$AW$74)*(AA$4&lt;=$AX$11:$AX$74)&gt;0),$B36,"")</f>
        <v/>
      </c>
      <c r="AB36" s="84" t="str">
        <f t="array" aca="1" ref="AB36" ca="1">IF(OR((AB$23&gt;=$AW$11:$AW$74)*(AB$4&lt;=$AX$11:$AX$74)&gt;0),$B36,"")</f>
        <v/>
      </c>
      <c r="AC36" s="84" t="str">
        <f t="array" aca="1" ref="AC36" ca="1">IF(OR((AC$23&gt;=$AW$11:$AW$74)*(AC$4&lt;=$AX$11:$AX$74)&gt;0),$B36,"")</f>
        <v/>
      </c>
      <c r="AD36" s="84" t="str">
        <f t="array" aca="1" ref="AD36" ca="1">IF(OR((AD$23&gt;=$AW$11:$AW$74)*(AD$4&lt;=$AX$11:$AX$74)&gt;0),$B36,"")</f>
        <v/>
      </c>
      <c r="AE36" s="84" t="str">
        <f t="array" aca="1" ref="AE36" ca="1">IF(OR((AE$23&gt;=$AW$11:$AW$74)*(AE$4&lt;=$AX$11:$AX$74)&gt;0),$B36,"")</f>
        <v/>
      </c>
      <c r="AF36" s="84" t="str">
        <f t="array" aca="1" ref="AF36" ca="1">IF(OR((AF$23&gt;=$AW$11:$AW$74)*(AF$4&lt;=$AX$11:$AX$74)&gt;0),$B36,"")</f>
        <v/>
      </c>
      <c r="AG36" s="84" t="str">
        <f t="array" aca="1" ref="AG36" ca="1">IF(OR((AG$23&gt;=$AW$11:$AW$74)*(AG$4&lt;=$AX$11:$AX$74)&gt;0),$B36,"")</f>
        <v/>
      </c>
      <c r="AH36" s="84" t="str">
        <f t="array" aca="1" ref="AH36" ca="1">IF(OR((AH$23&gt;=$AW$11:$AW$74)*(AH$4&lt;=$AX$11:$AX$74)&gt;0),$B36,"")</f>
        <v/>
      </c>
      <c r="AI36" s="84" t="str">
        <f t="array" aca="1" ref="AI36" ca="1">IF(OR((AI$23&gt;=$AW$11:$AW$74)*(AI$4&lt;=$AX$11:$AX$74)&gt;0),$B36,"")</f>
        <v/>
      </c>
      <c r="AK36" s="191"/>
      <c r="AL36">
        <v>18</v>
      </c>
      <c r="AM36" t="str">
        <f t="array" aca="1" ref="AM36" ca="1">IFERROR(OFFSET('(Fill In) SIAO'!$A$1,SMALL(IF(Signals="Y",ROW(Signals)),AL36)-1,COLUMN(Conducts)-1),"")</f>
        <v/>
      </c>
      <c r="AN36" s="113" t="str">
        <f t="array" aca="1" ref="AN36" ca="1">IFERROR(OFFSET('(Fill In) SIAO'!$A$1,SMALL(IF(Signals="Y",ROW(Signals)),AL36)-1,COLUMN(StartDate)-1),"")</f>
        <v/>
      </c>
      <c r="AO36" s="113" t="str">
        <f t="array" aca="1" ref="AO36" ca="1">IFERROR(OFFSET('(Fill In) SIAO'!$A$1,SMALL(IF(Signals="Y",ROW(Signals)),AL36)-1,COLUMN(EndDate)-1),"")</f>
        <v/>
      </c>
      <c r="AP36" s="113" t="str">
        <f t="array" aca="1" ref="AP36" ca="1">IFERROR(OFFSET('(Fill In) SIAO'!$A$1,SMALL(IF(Optics="Y",ROW(Optics)),AL36)-1,COLUMN(Conducts)-1),"")</f>
        <v/>
      </c>
      <c r="AQ36" s="113" t="str">
        <f t="array" aca="1" ref="AQ36" ca="1">IFERROR(OFFSET('(Fill In) SIAO'!$A$1,SMALL(IF(Optics="Y",ROW(Optics)),AL36)-1,COLUMN(StartDate)-1),"")</f>
        <v/>
      </c>
      <c r="AR36" s="113" t="str">
        <f t="array" aca="1" ref="AR36" ca="1">IFERROR(OFFSET('(Fill In) SIAO'!$A$1,SMALL(IF(Optics="Y",ROW(Optics)),AL36)-1,COLUMN(EndDate)-1),"")</f>
        <v/>
      </c>
      <c r="AS36" s="113" t="str">
        <f t="array" aca="1" ref="AS36" ca="1">IFERROR(OFFSET('(Fill In) SIAO'!$A$1,SMALL(IF(ACMS="Y",ROW(ACMS)),AL36)-1,COLUMN(StartDate)-1),"")</f>
        <v/>
      </c>
      <c r="AT36" s="113" t="str">
        <f t="array" aca="1" ref="AT36" ca="1">IFERROR(OFFSET('(Fill In) SIAO'!$A$1,SMALL(IF(ACMS="Y",ROW(ACMS)),AL36)-1,COLUMN(EndDate)-1),"")</f>
        <v/>
      </c>
      <c r="AU36" s="113" t="str">
        <f t="array" aca="1" ref="AU36" ca="1">IFERROR(OFFSET('(Fill In) SIAO'!$A$1,SMALL(IF(UOCE="Y",ROW(UOCE)),AL36)-1,COLUMN(StartDate)-1),"")</f>
        <v/>
      </c>
      <c r="AV36" s="113" t="str">
        <f t="array" aca="1" ref="AV36" ca="1">IFERROR(OFFSET('(Fill In) SIAO'!$A$1,SMALL(IF(UOCE="Y",ROW(UOCE)),AL36)-1,COLUMN(EndDate)-1),"")</f>
        <v/>
      </c>
      <c r="AW36" s="113" t="str">
        <f t="array" aca="1" ref="AW36" ca="1">IFERROR(OFFSET('(Fill In) SIAO'!$A$1,SMALL(IF(HLT="Y",ROW(HLT)),AL36)-1,COLUMN(StartDate)-1),"")</f>
        <v/>
      </c>
      <c r="AX36" s="113" t="str">
        <f t="array" aca="1" ref="AX36" ca="1">IFERROR(OFFSET('(Fill In) SIAO'!$A$1,SMALL(IF(HLT="Y",ROW(HLT)),AL36)-1,COLUMN(EndDate)-1),"")</f>
        <v/>
      </c>
      <c r="AY36" s="113" t="str">
        <f t="array" aca="1" ref="AY36" ca="1">IFERROR(OFFSET('(Fill In) SIAO'!$A$1,SMALL(IF(PANTES="Y",ROW(PANTES)),AL36)-1,COLUMN(StartDate)-1),"")</f>
        <v/>
      </c>
      <c r="AZ36" s="113" t="str">
        <f t="array" aca="1" ref="AZ36" ca="1">IFERROR(OFFSET('(Fill In) SIAO'!$A$1,SMALL(IF(PANTES="Y",ROW(PANTES)),AL36)-1,COLUMN(EndDate)-1),"")</f>
        <v/>
      </c>
      <c r="BA36" s="113" t="str">
        <f t="array" aca="1" ref="BA36" ca="1">IFERROR(OFFSET('(Fill In) SIAO'!$A$1,SMALL(IF(Heli="Y",ROW(Heli)),AL36)-1,COLUMN(StartDate)-1),"")</f>
        <v/>
      </c>
      <c r="BB36" s="113" t="str">
        <f t="array" aca="1" ref="BB36" ca="1">IFERROR(OFFSET('(Fill In) SIAO'!$A$1,SMALL(IF(Heli="Y",ROW(Heli)),AL36)-1,COLUMN(EndDate)-1),"")</f>
        <v/>
      </c>
      <c r="BC36" s="113" t="str">
        <f t="array" aca="1" ref="BC36" ca="1">IFERROR(OFFSET('(Fill In) SIAO'!$A$1,SMALL(IF(MMR="Y",ROW(MMR)),AL36)-1,COLUMN(StartDate)-1),"")</f>
        <v/>
      </c>
      <c r="BD36" s="113" t="str">
        <f t="array" aca="1" ref="BD36" ca="1">IFERROR(OFFSET('(Fill In) SIAO'!$A$1,SMALL(IF(MMR="Y",ROW(MMR)),AL36)-1,COLUMN(EndDate)-1),"")</f>
        <v/>
      </c>
      <c r="BE36" s="113" t="str">
        <f t="array" aca="1" ref="BE36" ca="1">IFERROR(OFFSET('(Fill In) SIAO'!$A$1,SMALL(IF(POL="Y",ROW(POL)),AL36)-1,COLUMN(StartDate)-1),"")</f>
        <v/>
      </c>
      <c r="BF36" s="113" t="str">
        <f t="array" aca="1" ref="BF36" ca="1">IFERROR(OFFSET('(Fill In) SIAO'!$A$1,SMALL(IF(POL="Y",ROW(POL)),AL36)-1,COLUMN(EndDate)-1),"")</f>
        <v/>
      </c>
    </row>
    <row r="37" spans="1:58">
      <c r="A37" s="80" t="s">
        <v>185</v>
      </c>
      <c r="B37" s="128">
        <v>2</v>
      </c>
      <c r="C37" s="84" t="str">
        <f t="array" aca="1" ref="C37" ca="1">IF(OR((C$23&gt;=$AW$11:$AW$74)*(C$4&lt;=$AX$11:$AX$74)&gt;0),$B37,"")</f>
        <v/>
      </c>
      <c r="D37" s="84" t="str">
        <f t="array" aca="1" ref="D37" ca="1">IF(OR((D$23&gt;=$AW$11:$AW$74)*(D$4&lt;=$AX$11:$AX$74)&gt;0),$B37,"")</f>
        <v/>
      </c>
      <c r="E37" s="84" t="str">
        <f t="array" aca="1" ref="E37" ca="1">IF(OR((E$23&gt;=$AW$11:$AW$74)*(E$4&lt;=$AX$11:$AX$74)&gt;0),$B37,"")</f>
        <v/>
      </c>
      <c r="F37" s="84" t="str">
        <f t="array" aca="1" ref="F37" ca="1">IF(OR((F$23&gt;=$AW$11:$AW$74)*(F$4&lt;=$AX$11:$AX$74)&gt;0),$B37,"")</f>
        <v/>
      </c>
      <c r="G37" s="84" t="str">
        <f t="array" aca="1" ref="G37" ca="1">IF(OR((G$23&gt;=$AW$11:$AW$74)*(G$4&lt;=$AX$11:$AX$74)&gt;0),$B37,"")</f>
        <v/>
      </c>
      <c r="H37" s="84" t="str">
        <f t="array" aca="1" ref="H37" ca="1">IF(OR((H$23&gt;=$AW$11:$AW$74)*(H$4&lt;=$AX$11:$AX$74)&gt;0),$B37,"")</f>
        <v/>
      </c>
      <c r="I37" s="84" t="str">
        <f t="array" aca="1" ref="I37" ca="1">IF(OR((I$23&gt;=$AW$11:$AW$74)*(I$4&lt;=$AX$11:$AX$74)&gt;0),$B37,"")</f>
        <v/>
      </c>
      <c r="J37" s="84" t="str">
        <f t="array" aca="1" ref="J37" ca="1">IF(OR((J$23&gt;=$AW$11:$AW$74)*(J$4&lt;=$AX$11:$AX$74)&gt;0),$B37,"")</f>
        <v/>
      </c>
      <c r="K37" s="84" t="str">
        <f t="array" aca="1" ref="K37" ca="1">IF(OR((K$23&gt;=$AW$11:$AW$74)*(K$4&lt;=$AX$11:$AX$74)&gt;0),$B37,"")</f>
        <v/>
      </c>
      <c r="L37" s="84" t="str">
        <f t="array" aca="1" ref="L37" ca="1">IF(OR((L$23&gt;=$AW$11:$AW$74)*(L$4&lt;=$AX$11:$AX$74)&gt;0),$B37,"")</f>
        <v/>
      </c>
      <c r="M37" s="84" t="str">
        <f t="array" aca="1" ref="M37" ca="1">IF(OR((M$23&gt;=$AW$11:$AW$74)*(M$4&lt;=$AX$11:$AX$74)&gt;0),$B37,"")</f>
        <v/>
      </c>
      <c r="N37" s="84" t="str">
        <f t="array" aca="1" ref="N37" ca="1">IF(OR((N$23&gt;=$AW$11:$AW$74)*(N$4&lt;=$AX$11:$AX$74)&gt;0),$B37,"")</f>
        <v/>
      </c>
      <c r="O37" s="84" t="str">
        <f t="array" aca="1" ref="O37" ca="1">IF(OR((O$23&gt;=$AW$11:$AW$74)*(O$4&lt;=$AX$11:$AX$74)&gt;0),$B37,"")</f>
        <v/>
      </c>
      <c r="P37" s="84" t="str">
        <f t="array" aca="1" ref="P37" ca="1">IF(OR((P$23&gt;=$AW$11:$AW$74)*(P$4&lt;=$AX$11:$AX$74)&gt;0),$B37,"")</f>
        <v/>
      </c>
      <c r="Q37" s="84" t="str">
        <f t="array" aca="1" ref="Q37" ca="1">IF(OR((Q$23&gt;=$AW$11:$AW$74)*(Q$4&lt;=$AX$11:$AX$74)&gt;0),$B37,"")</f>
        <v/>
      </c>
      <c r="R37" s="84" t="str">
        <f t="array" aca="1" ref="R37" ca="1">IF(OR((R$23&gt;=$AW$11:$AW$74)*(R$4&lt;=$AX$11:$AX$74)&gt;0),$B37,"")</f>
        <v/>
      </c>
      <c r="S37" s="84" t="str">
        <f t="array" aca="1" ref="S37" ca="1">IF(OR((S$23&gt;=$AW$11:$AW$74)*(S$4&lt;=$AX$11:$AX$74)&gt;0),$B37,"")</f>
        <v/>
      </c>
      <c r="T37" s="84" t="str">
        <f t="array" aca="1" ref="T37" ca="1">IF(OR((T$23&gt;=$AW$11:$AW$74)*(T$4&lt;=$AX$11:$AX$74)&gt;0),$B37,"")</f>
        <v/>
      </c>
      <c r="U37" s="84" t="str">
        <f t="array" aca="1" ref="U37" ca="1">IF(OR((U$23&gt;=$AW$11:$AW$74)*(U$4&lt;=$AX$11:$AX$74)&gt;0),$B37,"")</f>
        <v/>
      </c>
      <c r="V37" s="84" t="str">
        <f t="array" aca="1" ref="V37" ca="1">IF(OR((V$23&gt;=$AW$11:$AW$74)*(V$4&lt;=$AX$11:$AX$74)&gt;0),$B37,"")</f>
        <v/>
      </c>
      <c r="W37" s="84" t="str">
        <f t="array" aca="1" ref="W37" ca="1">IF(OR((W$23&gt;=$AW$11:$AW$74)*(W$4&lt;=$AX$11:$AX$74)&gt;0),$B37,"")</f>
        <v/>
      </c>
      <c r="X37" s="84" t="str">
        <f t="array" aca="1" ref="X37" ca="1">IF(OR((X$23&gt;=$AW$11:$AW$74)*(X$4&lt;=$AX$11:$AX$74)&gt;0),$B37,"")</f>
        <v/>
      </c>
      <c r="Y37" s="84" t="str">
        <f t="array" aca="1" ref="Y37" ca="1">IF(OR((Y$23&gt;=$AW$11:$AW$74)*(Y$4&lt;=$AX$11:$AX$74)&gt;0),$B37,"")</f>
        <v/>
      </c>
      <c r="Z37" s="84" t="str">
        <f t="array" aca="1" ref="Z37" ca="1">IF(OR((Z$23&gt;=$AW$11:$AW$74)*(Z$4&lt;=$AX$11:$AX$74)&gt;0),$B37,"")</f>
        <v/>
      </c>
      <c r="AA37" s="84" t="str">
        <f t="array" aca="1" ref="AA37" ca="1">IF(OR((AA$23&gt;=$AW$11:$AW$74)*(AA$4&lt;=$AX$11:$AX$74)&gt;0),$B37,"")</f>
        <v/>
      </c>
      <c r="AB37" s="84" t="str">
        <f t="array" aca="1" ref="AB37" ca="1">IF(OR((AB$23&gt;=$AW$11:$AW$74)*(AB$4&lt;=$AX$11:$AX$74)&gt;0),$B37,"")</f>
        <v/>
      </c>
      <c r="AC37" s="84" t="str">
        <f t="array" aca="1" ref="AC37" ca="1">IF(OR((AC$23&gt;=$AW$11:$AW$74)*(AC$4&lt;=$AX$11:$AX$74)&gt;0),$B37,"")</f>
        <v/>
      </c>
      <c r="AD37" s="84" t="str">
        <f t="array" aca="1" ref="AD37" ca="1">IF(OR((AD$23&gt;=$AW$11:$AW$74)*(AD$4&lt;=$AX$11:$AX$74)&gt;0),$B37,"")</f>
        <v/>
      </c>
      <c r="AE37" s="84" t="str">
        <f t="array" aca="1" ref="AE37" ca="1">IF(OR((AE$23&gt;=$AW$11:$AW$74)*(AE$4&lt;=$AX$11:$AX$74)&gt;0),$B37,"")</f>
        <v/>
      </c>
      <c r="AF37" s="84" t="str">
        <f t="array" aca="1" ref="AF37" ca="1">IF(OR((AF$23&gt;=$AW$11:$AW$74)*(AF$4&lt;=$AX$11:$AX$74)&gt;0),$B37,"")</f>
        <v/>
      </c>
      <c r="AG37" s="84" t="str">
        <f t="array" aca="1" ref="AG37" ca="1">IF(OR((AG$23&gt;=$AW$11:$AW$74)*(AG$4&lt;=$AX$11:$AX$74)&gt;0),$B37,"")</f>
        <v/>
      </c>
      <c r="AH37" s="84" t="str">
        <f t="array" aca="1" ref="AH37" ca="1">IF(OR((AH$23&gt;=$AW$11:$AW$74)*(AH$4&lt;=$AX$11:$AX$74)&gt;0),$B37,"")</f>
        <v/>
      </c>
      <c r="AI37" s="84" t="str">
        <f t="array" aca="1" ref="AI37" ca="1">IF(OR((AI$23&gt;=$AW$11:$AW$74)*(AI$4&lt;=$AX$11:$AX$74)&gt;0),$B37,"")</f>
        <v/>
      </c>
      <c r="AK37" s="191"/>
      <c r="AL37">
        <v>19</v>
      </c>
      <c r="AM37" t="str">
        <f t="array" aca="1" ref="AM37" ca="1">IFERROR(OFFSET('(Fill In) SIAO'!$A$1,SMALL(IF(Signals="Y",ROW(Signals)),AL37)-1,COLUMN(Conducts)-1),"")</f>
        <v/>
      </c>
      <c r="AN37" s="113" t="str">
        <f t="array" aca="1" ref="AN37" ca="1">IFERROR(OFFSET('(Fill In) SIAO'!$A$1,SMALL(IF(Signals="Y",ROW(Signals)),AL37)-1,COLUMN(StartDate)-1),"")</f>
        <v/>
      </c>
      <c r="AO37" s="113" t="str">
        <f t="array" aca="1" ref="AO37" ca="1">IFERROR(OFFSET('(Fill In) SIAO'!$A$1,SMALL(IF(Signals="Y",ROW(Signals)),AL37)-1,COLUMN(EndDate)-1),"")</f>
        <v/>
      </c>
      <c r="AP37" s="113" t="str">
        <f t="array" aca="1" ref="AP37" ca="1">IFERROR(OFFSET('(Fill In) SIAO'!$A$1,SMALL(IF(Optics="Y",ROW(Optics)),AL37)-1,COLUMN(Conducts)-1),"")</f>
        <v/>
      </c>
      <c r="AQ37" s="113" t="str">
        <f t="array" aca="1" ref="AQ37" ca="1">IFERROR(OFFSET('(Fill In) SIAO'!$A$1,SMALL(IF(Optics="Y",ROW(Optics)),AL37)-1,COLUMN(StartDate)-1),"")</f>
        <v/>
      </c>
      <c r="AR37" s="113" t="str">
        <f t="array" aca="1" ref="AR37" ca="1">IFERROR(OFFSET('(Fill In) SIAO'!$A$1,SMALL(IF(Optics="Y",ROW(Optics)),AL37)-1,COLUMN(EndDate)-1),"")</f>
        <v/>
      </c>
      <c r="AS37" s="113" t="str">
        <f t="array" aca="1" ref="AS37" ca="1">IFERROR(OFFSET('(Fill In) SIAO'!$A$1,SMALL(IF(ACMS="Y",ROW(ACMS)),AL37)-1,COLUMN(StartDate)-1),"")</f>
        <v/>
      </c>
      <c r="AT37" s="113" t="str">
        <f t="array" aca="1" ref="AT37" ca="1">IFERROR(OFFSET('(Fill In) SIAO'!$A$1,SMALL(IF(ACMS="Y",ROW(ACMS)),AL37)-1,COLUMN(EndDate)-1),"")</f>
        <v/>
      </c>
      <c r="AU37" s="113" t="str">
        <f t="array" aca="1" ref="AU37" ca="1">IFERROR(OFFSET('(Fill In) SIAO'!$A$1,SMALL(IF(UOCE="Y",ROW(UOCE)),AL37)-1,COLUMN(StartDate)-1),"")</f>
        <v/>
      </c>
      <c r="AV37" s="113" t="str">
        <f t="array" aca="1" ref="AV37" ca="1">IFERROR(OFFSET('(Fill In) SIAO'!$A$1,SMALL(IF(UOCE="Y",ROW(UOCE)),AL37)-1,COLUMN(EndDate)-1),"")</f>
        <v/>
      </c>
      <c r="AW37" s="113" t="str">
        <f t="array" aca="1" ref="AW37" ca="1">IFERROR(OFFSET('(Fill In) SIAO'!$A$1,SMALL(IF(HLT="Y",ROW(HLT)),AL37)-1,COLUMN(StartDate)-1),"")</f>
        <v/>
      </c>
      <c r="AX37" s="113" t="str">
        <f t="array" aca="1" ref="AX37" ca="1">IFERROR(OFFSET('(Fill In) SIAO'!$A$1,SMALL(IF(HLT="Y",ROW(HLT)),AL37)-1,COLUMN(EndDate)-1),"")</f>
        <v/>
      </c>
      <c r="AY37" s="113" t="str">
        <f t="array" aca="1" ref="AY37" ca="1">IFERROR(OFFSET('(Fill In) SIAO'!$A$1,SMALL(IF(PANTES="Y",ROW(PANTES)),AL37)-1,COLUMN(StartDate)-1),"")</f>
        <v/>
      </c>
      <c r="AZ37" s="113" t="str">
        <f t="array" aca="1" ref="AZ37" ca="1">IFERROR(OFFSET('(Fill In) SIAO'!$A$1,SMALL(IF(PANTES="Y",ROW(PANTES)),AL37)-1,COLUMN(EndDate)-1),"")</f>
        <v/>
      </c>
      <c r="BA37" s="113" t="str">
        <f t="array" aca="1" ref="BA37" ca="1">IFERROR(OFFSET('(Fill In) SIAO'!$A$1,SMALL(IF(Heli="Y",ROW(Heli)),AL37)-1,COLUMN(StartDate)-1),"")</f>
        <v/>
      </c>
      <c r="BB37" s="113" t="str">
        <f t="array" aca="1" ref="BB37" ca="1">IFERROR(OFFSET('(Fill In) SIAO'!$A$1,SMALL(IF(Heli="Y",ROW(Heli)),AL37)-1,COLUMN(EndDate)-1),"")</f>
        <v/>
      </c>
      <c r="BC37" s="113" t="str">
        <f t="array" aca="1" ref="BC37" ca="1">IFERROR(OFFSET('(Fill In) SIAO'!$A$1,SMALL(IF(MMR="Y",ROW(MMR)),AL37)-1,COLUMN(StartDate)-1),"")</f>
        <v/>
      </c>
      <c r="BD37" s="113" t="str">
        <f t="array" aca="1" ref="BD37" ca="1">IFERROR(OFFSET('(Fill In) SIAO'!$A$1,SMALL(IF(MMR="Y",ROW(MMR)),AL37)-1,COLUMN(EndDate)-1),"")</f>
        <v/>
      </c>
      <c r="BE37" s="113" t="str">
        <f t="array" aca="1" ref="BE37" ca="1">IFERROR(OFFSET('(Fill In) SIAO'!$A$1,SMALL(IF(POL="Y",ROW(POL)),AL37)-1,COLUMN(StartDate)-1),"")</f>
        <v/>
      </c>
      <c r="BF37" s="113" t="str">
        <f t="array" aca="1" ref="BF37" ca="1">IFERROR(OFFSET('(Fill In) SIAO'!$A$1,SMALL(IF(POL="Y",ROW(POL)),AL37)-1,COLUMN(EndDate)-1),"")</f>
        <v/>
      </c>
    </row>
    <row r="38" spans="1:58">
      <c r="A38" s="80" t="s">
        <v>186</v>
      </c>
      <c r="B38" s="128">
        <v>5</v>
      </c>
      <c r="C38" s="84" t="str">
        <f t="array" aca="1" ref="C38" ca="1">IF(OR((C$23&gt;=$AW$11:$AW$74)*(C$4&lt;=$AX$11:$AX$74)&gt;0),$B38,"")</f>
        <v/>
      </c>
      <c r="D38" s="84" t="str">
        <f t="array" aca="1" ref="D38" ca="1">IF(OR((D$23&gt;=$AW$11:$AW$74)*(D$4&lt;=$AX$11:$AX$74)&gt;0),$B38,"")</f>
        <v/>
      </c>
      <c r="E38" s="84" t="str">
        <f t="array" aca="1" ref="E38" ca="1">IF(OR((E$23&gt;=$AW$11:$AW$74)*(E$4&lt;=$AX$11:$AX$74)&gt;0),$B38,"")</f>
        <v/>
      </c>
      <c r="F38" s="84" t="str">
        <f t="array" aca="1" ref="F38" ca="1">IF(OR((F$23&gt;=$AW$11:$AW$74)*(F$4&lt;=$AX$11:$AX$74)&gt;0),$B38,"")</f>
        <v/>
      </c>
      <c r="G38" s="84" t="str">
        <f t="array" aca="1" ref="G38" ca="1">IF(OR((G$23&gt;=$AW$11:$AW$74)*(G$4&lt;=$AX$11:$AX$74)&gt;0),$B38,"")</f>
        <v/>
      </c>
      <c r="H38" s="84" t="str">
        <f t="array" aca="1" ref="H38" ca="1">IF(OR((H$23&gt;=$AW$11:$AW$74)*(H$4&lt;=$AX$11:$AX$74)&gt;0),$B38,"")</f>
        <v/>
      </c>
      <c r="I38" s="84" t="str">
        <f t="array" aca="1" ref="I38" ca="1">IF(OR((I$23&gt;=$AW$11:$AW$74)*(I$4&lt;=$AX$11:$AX$74)&gt;0),$B38,"")</f>
        <v/>
      </c>
      <c r="J38" s="84" t="str">
        <f t="array" aca="1" ref="J38" ca="1">IF(OR((J$23&gt;=$AW$11:$AW$74)*(J$4&lt;=$AX$11:$AX$74)&gt;0),$B38,"")</f>
        <v/>
      </c>
      <c r="K38" s="84" t="str">
        <f t="array" aca="1" ref="K38" ca="1">IF(OR((K$23&gt;=$AW$11:$AW$74)*(K$4&lt;=$AX$11:$AX$74)&gt;0),$B38,"")</f>
        <v/>
      </c>
      <c r="L38" s="84" t="str">
        <f t="array" aca="1" ref="L38" ca="1">IF(OR((L$23&gt;=$AW$11:$AW$74)*(L$4&lt;=$AX$11:$AX$74)&gt;0),$B38,"")</f>
        <v/>
      </c>
      <c r="M38" s="84" t="str">
        <f t="array" aca="1" ref="M38" ca="1">IF(OR((M$23&gt;=$AW$11:$AW$74)*(M$4&lt;=$AX$11:$AX$74)&gt;0),$B38,"")</f>
        <v/>
      </c>
      <c r="N38" s="84" t="str">
        <f t="array" aca="1" ref="N38" ca="1">IF(OR((N$23&gt;=$AW$11:$AW$74)*(N$4&lt;=$AX$11:$AX$74)&gt;0),$B38,"")</f>
        <v/>
      </c>
      <c r="O38" s="84" t="str">
        <f t="array" aca="1" ref="O38" ca="1">IF(OR((O$23&gt;=$AW$11:$AW$74)*(O$4&lt;=$AX$11:$AX$74)&gt;0),$B38,"")</f>
        <v/>
      </c>
      <c r="P38" s="84" t="str">
        <f t="array" aca="1" ref="P38" ca="1">IF(OR((P$23&gt;=$AW$11:$AW$74)*(P$4&lt;=$AX$11:$AX$74)&gt;0),$B38,"")</f>
        <v/>
      </c>
      <c r="Q38" s="84" t="str">
        <f t="array" aca="1" ref="Q38" ca="1">IF(OR((Q$23&gt;=$AW$11:$AW$74)*(Q$4&lt;=$AX$11:$AX$74)&gt;0),$B38,"")</f>
        <v/>
      </c>
      <c r="R38" s="84" t="str">
        <f t="array" aca="1" ref="R38" ca="1">IF(OR((R$23&gt;=$AW$11:$AW$74)*(R$4&lt;=$AX$11:$AX$74)&gt;0),$B38,"")</f>
        <v/>
      </c>
      <c r="S38" s="84" t="str">
        <f t="array" aca="1" ref="S38" ca="1">IF(OR((S$23&gt;=$AW$11:$AW$74)*(S$4&lt;=$AX$11:$AX$74)&gt;0),$B38,"")</f>
        <v/>
      </c>
      <c r="T38" s="84" t="str">
        <f t="array" aca="1" ref="T38" ca="1">IF(OR((T$23&gt;=$AW$11:$AW$74)*(T$4&lt;=$AX$11:$AX$74)&gt;0),$B38,"")</f>
        <v/>
      </c>
      <c r="U38" s="84" t="str">
        <f t="array" aca="1" ref="U38" ca="1">IF(OR((U$23&gt;=$AW$11:$AW$74)*(U$4&lt;=$AX$11:$AX$74)&gt;0),$B38,"")</f>
        <v/>
      </c>
      <c r="V38" s="84" t="str">
        <f t="array" aca="1" ref="V38" ca="1">IF(OR((V$23&gt;=$AW$11:$AW$74)*(V$4&lt;=$AX$11:$AX$74)&gt;0),$B38,"")</f>
        <v/>
      </c>
      <c r="W38" s="84" t="str">
        <f t="array" aca="1" ref="W38" ca="1">IF(OR((W$23&gt;=$AW$11:$AW$74)*(W$4&lt;=$AX$11:$AX$74)&gt;0),$B38,"")</f>
        <v/>
      </c>
      <c r="X38" s="84" t="str">
        <f t="array" aca="1" ref="X38" ca="1">IF(OR((X$23&gt;=$AW$11:$AW$74)*(X$4&lt;=$AX$11:$AX$74)&gt;0),$B38,"")</f>
        <v/>
      </c>
      <c r="Y38" s="84" t="str">
        <f t="array" aca="1" ref="Y38" ca="1">IF(OR((Y$23&gt;=$AW$11:$AW$74)*(Y$4&lt;=$AX$11:$AX$74)&gt;0),$B38,"")</f>
        <v/>
      </c>
      <c r="Z38" s="84" t="str">
        <f t="array" aca="1" ref="Z38" ca="1">IF(OR((Z$23&gt;=$AW$11:$AW$74)*(Z$4&lt;=$AX$11:$AX$74)&gt;0),$B38,"")</f>
        <v/>
      </c>
      <c r="AA38" s="84" t="str">
        <f t="array" aca="1" ref="AA38" ca="1">IF(OR((AA$23&gt;=$AW$11:$AW$74)*(AA$4&lt;=$AX$11:$AX$74)&gt;0),$B38,"")</f>
        <v/>
      </c>
      <c r="AB38" s="84" t="str">
        <f t="array" aca="1" ref="AB38" ca="1">IF(OR((AB$23&gt;=$AW$11:$AW$74)*(AB$4&lt;=$AX$11:$AX$74)&gt;0),$B38,"")</f>
        <v/>
      </c>
      <c r="AC38" s="84" t="str">
        <f t="array" aca="1" ref="AC38" ca="1">IF(OR((AC$23&gt;=$AW$11:$AW$74)*(AC$4&lt;=$AX$11:$AX$74)&gt;0),$B38,"")</f>
        <v/>
      </c>
      <c r="AD38" s="84" t="str">
        <f t="array" aca="1" ref="AD38" ca="1">IF(OR((AD$23&gt;=$AW$11:$AW$74)*(AD$4&lt;=$AX$11:$AX$74)&gt;0),$B38,"")</f>
        <v/>
      </c>
      <c r="AE38" s="84" t="str">
        <f t="array" aca="1" ref="AE38" ca="1">IF(OR((AE$23&gt;=$AW$11:$AW$74)*(AE$4&lt;=$AX$11:$AX$74)&gt;0),$B38,"")</f>
        <v/>
      </c>
      <c r="AF38" s="84" t="str">
        <f t="array" aca="1" ref="AF38" ca="1">IF(OR((AF$23&gt;=$AW$11:$AW$74)*(AF$4&lt;=$AX$11:$AX$74)&gt;0),$B38,"")</f>
        <v/>
      </c>
      <c r="AG38" s="84" t="str">
        <f t="array" aca="1" ref="AG38" ca="1">IF(OR((AG$23&gt;=$AW$11:$AW$74)*(AG$4&lt;=$AX$11:$AX$74)&gt;0),$B38,"")</f>
        <v/>
      </c>
      <c r="AH38" s="84" t="str">
        <f t="array" aca="1" ref="AH38" ca="1">IF(OR((AH$23&gt;=$AW$11:$AW$74)*(AH$4&lt;=$AX$11:$AX$74)&gt;0),$B38,"")</f>
        <v/>
      </c>
      <c r="AI38" s="84" t="str">
        <f t="array" aca="1" ref="AI38" ca="1">IF(OR((AI$23&gt;=$AW$11:$AW$74)*(AI$4&lt;=$AX$11:$AX$74)&gt;0),$B38,"")</f>
        <v/>
      </c>
      <c r="AK38" s="191"/>
      <c r="AL38">
        <v>20</v>
      </c>
      <c r="AM38" t="str">
        <f t="array" aca="1" ref="AM38" ca="1">IFERROR(OFFSET('(Fill In) SIAO'!$A$1,SMALL(IF(Signals="Y",ROW(Signals)),AL38)-1,COLUMN(Conducts)-1),"")</f>
        <v/>
      </c>
      <c r="AN38" s="113" t="str">
        <f t="array" aca="1" ref="AN38" ca="1">IFERROR(OFFSET('(Fill In) SIAO'!$A$1,SMALL(IF(Signals="Y",ROW(Signals)),AL38)-1,COLUMN(StartDate)-1),"")</f>
        <v/>
      </c>
      <c r="AO38" s="113" t="str">
        <f t="array" aca="1" ref="AO38" ca="1">IFERROR(OFFSET('(Fill In) SIAO'!$A$1,SMALL(IF(Signals="Y",ROW(Signals)),AL38)-1,COLUMN(EndDate)-1),"")</f>
        <v/>
      </c>
      <c r="AP38" s="113" t="str">
        <f t="array" aca="1" ref="AP38" ca="1">IFERROR(OFFSET('(Fill In) SIAO'!$A$1,SMALL(IF(Optics="Y",ROW(Optics)),AL38)-1,COLUMN(Conducts)-1),"")</f>
        <v/>
      </c>
      <c r="AQ38" s="113" t="str">
        <f t="array" aca="1" ref="AQ38" ca="1">IFERROR(OFFSET('(Fill In) SIAO'!$A$1,SMALL(IF(Optics="Y",ROW(Optics)),AL38)-1,COLUMN(StartDate)-1),"")</f>
        <v/>
      </c>
      <c r="AR38" s="113" t="str">
        <f t="array" aca="1" ref="AR38" ca="1">IFERROR(OFFSET('(Fill In) SIAO'!$A$1,SMALL(IF(Optics="Y",ROW(Optics)),AL38)-1,COLUMN(EndDate)-1),"")</f>
        <v/>
      </c>
      <c r="AS38" s="113" t="str">
        <f t="array" aca="1" ref="AS38" ca="1">IFERROR(OFFSET('(Fill In) SIAO'!$A$1,SMALL(IF(ACMS="Y",ROW(ACMS)),AL38)-1,COLUMN(StartDate)-1),"")</f>
        <v/>
      </c>
      <c r="AT38" s="113" t="str">
        <f t="array" aca="1" ref="AT38" ca="1">IFERROR(OFFSET('(Fill In) SIAO'!$A$1,SMALL(IF(ACMS="Y",ROW(ACMS)),AL38)-1,COLUMN(EndDate)-1),"")</f>
        <v/>
      </c>
      <c r="AU38" s="113" t="str">
        <f t="array" aca="1" ref="AU38" ca="1">IFERROR(OFFSET('(Fill In) SIAO'!$A$1,SMALL(IF(UOCE="Y",ROW(UOCE)),AL38)-1,COLUMN(StartDate)-1),"")</f>
        <v/>
      </c>
      <c r="AV38" s="113" t="str">
        <f t="array" aca="1" ref="AV38" ca="1">IFERROR(OFFSET('(Fill In) SIAO'!$A$1,SMALL(IF(UOCE="Y",ROW(UOCE)),AL38)-1,COLUMN(EndDate)-1),"")</f>
        <v/>
      </c>
      <c r="AW38" s="113" t="str">
        <f t="array" aca="1" ref="AW38" ca="1">IFERROR(OFFSET('(Fill In) SIAO'!$A$1,SMALL(IF(HLT="Y",ROW(HLT)),AL38)-1,COLUMN(StartDate)-1),"")</f>
        <v/>
      </c>
      <c r="AX38" s="113" t="str">
        <f t="array" aca="1" ref="AX38" ca="1">IFERROR(OFFSET('(Fill In) SIAO'!$A$1,SMALL(IF(HLT="Y",ROW(HLT)),AL38)-1,COLUMN(EndDate)-1),"")</f>
        <v/>
      </c>
      <c r="AY38" s="113" t="str">
        <f t="array" aca="1" ref="AY38" ca="1">IFERROR(OFFSET('(Fill In) SIAO'!$A$1,SMALL(IF(PANTES="Y",ROW(PANTES)),AL38)-1,COLUMN(StartDate)-1),"")</f>
        <v/>
      </c>
      <c r="AZ38" s="113" t="str">
        <f t="array" aca="1" ref="AZ38" ca="1">IFERROR(OFFSET('(Fill In) SIAO'!$A$1,SMALL(IF(PANTES="Y",ROW(PANTES)),AL38)-1,COLUMN(EndDate)-1),"")</f>
        <v/>
      </c>
      <c r="BA38" s="113" t="str">
        <f t="array" aca="1" ref="BA38" ca="1">IFERROR(OFFSET('(Fill In) SIAO'!$A$1,SMALL(IF(Heli="Y",ROW(Heli)),AL38)-1,COLUMN(StartDate)-1),"")</f>
        <v/>
      </c>
      <c r="BB38" s="113" t="str">
        <f t="array" aca="1" ref="BB38" ca="1">IFERROR(OFFSET('(Fill In) SIAO'!$A$1,SMALL(IF(Heli="Y",ROW(Heli)),AL38)-1,COLUMN(EndDate)-1),"")</f>
        <v/>
      </c>
      <c r="BC38" s="113" t="str">
        <f t="array" aca="1" ref="BC38" ca="1">IFERROR(OFFSET('(Fill In) SIAO'!$A$1,SMALL(IF(MMR="Y",ROW(MMR)),AL38)-1,COLUMN(StartDate)-1),"")</f>
        <v/>
      </c>
      <c r="BD38" s="113" t="str">
        <f t="array" aca="1" ref="BD38" ca="1">IFERROR(OFFSET('(Fill In) SIAO'!$A$1,SMALL(IF(MMR="Y",ROW(MMR)),AL38)-1,COLUMN(EndDate)-1),"")</f>
        <v/>
      </c>
      <c r="BE38" s="113" t="str">
        <f t="array" aca="1" ref="BE38" ca="1">IFERROR(OFFSET('(Fill In) SIAO'!$A$1,SMALL(IF(POL="Y",ROW(POL)),AL38)-1,COLUMN(StartDate)-1),"")</f>
        <v/>
      </c>
      <c r="BF38" s="113" t="str">
        <f t="array" aca="1" ref="BF38" ca="1">IFERROR(OFFSET('(Fill In) SIAO'!$A$1,SMALL(IF(POL="Y",ROW(POL)),AL38)-1,COLUMN(EndDate)-1),"")</f>
        <v/>
      </c>
    </row>
    <row r="39" spans="1:58">
      <c r="A39" s="8"/>
      <c r="B39" s="12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</row>
    <row r="40" spans="1:58">
      <c r="A40" s="7" t="s">
        <v>92</v>
      </c>
      <c r="B40" s="10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  <c r="BC40" s="126"/>
      <c r="BD40" s="126"/>
      <c r="BE40" s="126"/>
      <c r="BF40" s="126"/>
    </row>
    <row r="41" spans="1:58">
      <c r="A41" s="75"/>
      <c r="B41" s="11" t="s">
        <v>154</v>
      </c>
      <c r="C41" s="112">
        <f>EOMONTH($A$1,-1)</f>
        <v>45016</v>
      </c>
      <c r="D41" s="112">
        <f t="shared" ref="D41:AI41" si="3">C41+1</f>
        <v>45017</v>
      </c>
      <c r="E41" s="112">
        <f t="shared" si="3"/>
        <v>45018</v>
      </c>
      <c r="F41" s="112">
        <f t="shared" si="3"/>
        <v>45019</v>
      </c>
      <c r="G41" s="112">
        <f t="shared" si="3"/>
        <v>45020</v>
      </c>
      <c r="H41" s="112">
        <f t="shared" si="3"/>
        <v>45021</v>
      </c>
      <c r="I41" s="112">
        <f t="shared" si="3"/>
        <v>45022</v>
      </c>
      <c r="J41" s="112">
        <f t="shared" si="3"/>
        <v>45023</v>
      </c>
      <c r="K41" s="112">
        <f t="shared" si="3"/>
        <v>45024</v>
      </c>
      <c r="L41" s="112">
        <f t="shared" si="3"/>
        <v>45025</v>
      </c>
      <c r="M41" s="112">
        <f t="shared" si="3"/>
        <v>45026</v>
      </c>
      <c r="N41" s="112">
        <f t="shared" si="3"/>
        <v>45027</v>
      </c>
      <c r="O41" s="112">
        <f t="shared" si="3"/>
        <v>45028</v>
      </c>
      <c r="P41" s="112">
        <f t="shared" si="3"/>
        <v>45029</v>
      </c>
      <c r="Q41" s="112">
        <f t="shared" si="3"/>
        <v>45030</v>
      </c>
      <c r="R41" s="112">
        <f t="shared" si="3"/>
        <v>45031</v>
      </c>
      <c r="S41" s="112">
        <f t="shared" si="3"/>
        <v>45032</v>
      </c>
      <c r="T41" s="112">
        <f t="shared" si="3"/>
        <v>45033</v>
      </c>
      <c r="U41" s="112">
        <f t="shared" si="3"/>
        <v>45034</v>
      </c>
      <c r="V41" s="112">
        <f t="shared" si="3"/>
        <v>45035</v>
      </c>
      <c r="W41" s="112">
        <f t="shared" si="3"/>
        <v>45036</v>
      </c>
      <c r="X41" s="112">
        <f t="shared" si="3"/>
        <v>45037</v>
      </c>
      <c r="Y41" s="112">
        <f t="shared" si="3"/>
        <v>45038</v>
      </c>
      <c r="Z41" s="112">
        <f t="shared" si="3"/>
        <v>45039</v>
      </c>
      <c r="AA41" s="112">
        <f t="shared" si="3"/>
        <v>45040</v>
      </c>
      <c r="AB41" s="112">
        <f t="shared" si="3"/>
        <v>45041</v>
      </c>
      <c r="AC41" s="112">
        <f t="shared" si="3"/>
        <v>45042</v>
      </c>
      <c r="AD41" s="112">
        <f t="shared" si="3"/>
        <v>45043</v>
      </c>
      <c r="AE41" s="112">
        <f t="shared" si="3"/>
        <v>45044</v>
      </c>
      <c r="AF41" s="112">
        <f t="shared" si="3"/>
        <v>45045</v>
      </c>
      <c r="AG41" s="112">
        <f t="shared" si="3"/>
        <v>45046</v>
      </c>
      <c r="AH41" s="112">
        <f t="shared" si="3"/>
        <v>45047</v>
      </c>
      <c r="AI41" s="112">
        <f t="shared" si="3"/>
        <v>45048</v>
      </c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  <c r="BC41" s="126"/>
      <c r="BD41" s="126"/>
      <c r="BE41" s="126"/>
      <c r="BF41" s="126"/>
    </row>
    <row r="42" spans="1:58">
      <c r="A42" s="183" t="s">
        <v>187</v>
      </c>
      <c r="B42" s="184"/>
      <c r="C42" s="184"/>
      <c r="D42" s="184"/>
      <c r="E42" s="184"/>
      <c r="F42" s="184"/>
      <c r="G42" s="184"/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  <c r="AA42" s="184"/>
      <c r="AB42" s="184"/>
      <c r="AC42" s="184"/>
      <c r="AD42" s="184"/>
      <c r="AE42" s="184"/>
      <c r="AF42" s="184"/>
      <c r="AG42" s="184"/>
      <c r="AH42" s="184"/>
      <c r="AI42" s="185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  <c r="BC42" s="126"/>
      <c r="BD42" s="126"/>
      <c r="BE42" s="126"/>
      <c r="BF42" s="126"/>
    </row>
    <row r="43" spans="1:58">
      <c r="A43" s="75" t="s">
        <v>188</v>
      </c>
      <c r="B43" s="16">
        <v>288</v>
      </c>
      <c r="C43" s="84" t="str">
        <f t="array" aca="1" ref="C43" ca="1">IF(OR((C$41&gt;=$AY$11:$AY$38)*(C$4&lt;=$AZ$11:$AZ$38)&gt;0),$B43,"")</f>
        <v/>
      </c>
      <c r="D43" s="84" t="str">
        <f t="array" aca="1" ref="D43" ca="1">IF(OR((D$41&gt;=$AY$11:$AY$38)*(D$4&lt;=$AZ$11:$AZ$38)&gt;0),$B43,"")</f>
        <v/>
      </c>
      <c r="E43" s="84" t="str">
        <f t="array" aca="1" ref="E43" ca="1">IF(OR((E$41&gt;=$AY$11:$AY$38)*(E$4&lt;=$AZ$11:$AZ$38)&gt;0),$B43,"")</f>
        <v/>
      </c>
      <c r="F43" s="84" t="str">
        <f t="array" aca="1" ref="F43" ca="1">IF(OR((F$41&gt;=$AY$11:$AY$38)*(F$4&lt;=$AZ$11:$AZ$38)&gt;0),$B43,"")</f>
        <v/>
      </c>
      <c r="G43" s="84" t="str">
        <f t="array" aca="1" ref="G43" ca="1">IF(OR((G$41&gt;=$AY$11:$AY$38)*(G$4&lt;=$AZ$11:$AZ$38)&gt;0),$B43,"")</f>
        <v/>
      </c>
      <c r="H43" s="84" t="str">
        <f t="array" aca="1" ref="H43" ca="1">IF(OR((H$41&gt;=$AY$11:$AY$38)*(H$4&lt;=$AZ$11:$AZ$38)&gt;0),$B43,"")</f>
        <v/>
      </c>
      <c r="I43" s="84" t="str">
        <f t="array" aca="1" ref="I43" ca="1">IF(OR((I$41&gt;=$AY$11:$AY$38)*(I$4&lt;=$AZ$11:$AZ$38)&gt;0),$B43,"")</f>
        <v/>
      </c>
      <c r="J43" s="84" t="str">
        <f t="array" aca="1" ref="J43" ca="1">IF(OR((J$41&gt;=$AY$11:$AY$38)*(J$4&lt;=$AZ$11:$AZ$38)&gt;0),$B43,"")</f>
        <v/>
      </c>
      <c r="K43" s="84" t="str">
        <f t="array" aca="1" ref="K43" ca="1">IF(OR((K$41&gt;=$AY$11:$AY$38)*(K$4&lt;=$AZ$11:$AZ$38)&gt;0),$B43,"")</f>
        <v/>
      </c>
      <c r="L43" s="84" t="str">
        <f t="array" aca="1" ref="L43" ca="1">IF(OR((L$41&gt;=$AY$11:$AY$38)*(L$4&lt;=$AZ$11:$AZ$38)&gt;0),$B43,"")</f>
        <v/>
      </c>
      <c r="M43" s="84" t="str">
        <f t="array" aca="1" ref="M43" ca="1">IF(OR((M$41&gt;=$AY$11:$AY$38)*(M$4&lt;=$AZ$11:$AZ$38)&gt;0),$B43,"")</f>
        <v/>
      </c>
      <c r="N43" s="84" t="str">
        <f t="array" aca="1" ref="N43" ca="1">IF(OR((N$41&gt;=$AY$11:$AY$38)*(N$4&lt;=$AZ$11:$AZ$38)&gt;0),$B43,"")</f>
        <v/>
      </c>
      <c r="O43" s="84" t="str">
        <f t="array" aca="1" ref="O43" ca="1">IF(OR((O$41&gt;=$AY$11:$AY$38)*(O$4&lt;=$AZ$11:$AZ$38)&gt;0),$B43,"")</f>
        <v/>
      </c>
      <c r="P43" s="84" t="str">
        <f t="array" aca="1" ref="P43" ca="1">IF(OR((P$41&gt;=$AY$11:$AY$38)*(P$4&lt;=$AZ$11:$AZ$38)&gt;0),$B43,"")</f>
        <v/>
      </c>
      <c r="Q43" s="84" t="str">
        <f t="array" aca="1" ref="Q43" ca="1">IF(OR((Q$41&gt;=$AY$11:$AY$38)*(Q$4&lt;=$AZ$11:$AZ$38)&gt;0),$B43,"")</f>
        <v/>
      </c>
      <c r="R43" s="84" t="str">
        <f t="array" aca="1" ref="R43" ca="1">IF(OR((R$41&gt;=$AY$11:$AY$38)*(R$4&lt;=$AZ$11:$AZ$38)&gt;0),$B43,"")</f>
        <v/>
      </c>
      <c r="S43" s="84" t="str">
        <f t="array" aca="1" ref="S43" ca="1">IF(OR((S$41&gt;=$AY$11:$AY$38)*(S$4&lt;=$AZ$11:$AZ$38)&gt;0),$B43,"")</f>
        <v/>
      </c>
      <c r="T43" s="84" t="str">
        <f t="array" aca="1" ref="T43" ca="1">IF(OR((T$41&gt;=$AY$11:$AY$38)*(T$4&lt;=$AZ$11:$AZ$38)&gt;0),$B43,"")</f>
        <v/>
      </c>
      <c r="U43" s="84" t="str">
        <f t="array" aca="1" ref="U43" ca="1">IF(OR((U$41&gt;=$AY$11:$AY$38)*(U$4&lt;=$AZ$11:$AZ$38)&gt;0),$B43,"")</f>
        <v/>
      </c>
      <c r="V43" s="84" t="str">
        <f t="array" aca="1" ref="V43" ca="1">IF(OR((V$41&gt;=$AY$11:$AY$38)*(V$4&lt;=$AZ$11:$AZ$38)&gt;0),$B43,"")</f>
        <v/>
      </c>
      <c r="W43" s="84" t="str">
        <f t="array" aca="1" ref="W43" ca="1">IF(OR((W$41&gt;=$AY$11:$AY$38)*(W$4&lt;=$AZ$11:$AZ$38)&gt;0),$B43,"")</f>
        <v/>
      </c>
      <c r="X43" s="84" t="str">
        <f t="array" aca="1" ref="X43" ca="1">IF(OR((X$41&gt;=$AY$11:$AY$38)*(X$4&lt;=$AZ$11:$AZ$38)&gt;0),$B43,"")</f>
        <v/>
      </c>
      <c r="Y43" s="84" t="str">
        <f t="array" aca="1" ref="Y43" ca="1">IF(OR((Y$41&gt;=$AY$11:$AY$38)*(Y$4&lt;=$AZ$11:$AZ$38)&gt;0),$B43,"")</f>
        <v/>
      </c>
      <c r="Z43" s="84" t="str">
        <f t="array" aca="1" ref="Z43" ca="1">IF(OR((Z$41&gt;=$AY$11:$AY$38)*(Z$4&lt;=$AZ$11:$AZ$38)&gt;0),$B43,"")</f>
        <v/>
      </c>
      <c r="AA43" s="84" t="str">
        <f t="array" aca="1" ref="AA43" ca="1">IF(OR((AA$41&gt;=$AY$11:$AY$38)*(AA$4&lt;=$AZ$11:$AZ$38)&gt;0),$B43,"")</f>
        <v/>
      </c>
      <c r="AB43" s="84" t="str">
        <f t="array" aca="1" ref="AB43" ca="1">IF(OR((AB$41&gt;=$AY$11:$AY$38)*(AB$4&lt;=$AZ$11:$AZ$38)&gt;0),$B43,"")</f>
        <v/>
      </c>
      <c r="AC43" s="84" t="str">
        <f t="array" aca="1" ref="AC43" ca="1">IF(OR((AC$41&gt;=$AY$11:$AY$38)*(AC$4&lt;=$AZ$11:$AZ$38)&gt;0),$B43,"")</f>
        <v/>
      </c>
      <c r="AD43" s="84" t="str">
        <f t="array" aca="1" ref="AD43" ca="1">IF(OR((AD$41&gt;=$AY$11:$AY$38)*(AD$4&lt;=$AZ$11:$AZ$38)&gt;0),$B43,"")</f>
        <v/>
      </c>
      <c r="AE43" s="84" t="str">
        <f t="array" aca="1" ref="AE43" ca="1">IF(OR((AE$41&gt;=$AY$11:$AY$38)*(AE$4&lt;=$AZ$11:$AZ$38)&gt;0),$B43,"")</f>
        <v/>
      </c>
      <c r="AF43" s="84" t="str">
        <f t="array" aca="1" ref="AF43" ca="1">IF(OR((AF$41&gt;=$AY$11:$AY$38)*(AF$4&lt;=$AZ$11:$AZ$38)&gt;0),$B43,"")</f>
        <v/>
      </c>
      <c r="AG43" s="84" t="str">
        <f t="array" aca="1" ref="AG43" ca="1">IF(OR((AG$41&gt;=$AY$11:$AY$38)*(AG$4&lt;=$AZ$11:$AZ$38)&gt;0),$B43,"")</f>
        <v/>
      </c>
      <c r="AH43" s="84" t="str">
        <f t="array" aca="1" ref="AH43" ca="1">IF(OR((AH$41&gt;=$AY$11:$AY$38)*(AH$4&lt;=$AZ$11:$AZ$38)&gt;0),$B43,"")</f>
        <v/>
      </c>
      <c r="AI43" s="84" t="str">
        <f t="array" aca="1" ref="AI43" ca="1">IF(OR((AI$41&gt;=$AY$11:$AY$38)*(AI$4&lt;=$AZ$11:$AZ$38)&gt;0),$B43,"")</f>
        <v/>
      </c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  <c r="BC43" s="126"/>
      <c r="BD43" s="126"/>
      <c r="BE43" s="126"/>
      <c r="BF43" s="126"/>
    </row>
    <row r="44" spans="1:58">
      <c r="A44" s="75" t="s">
        <v>189</v>
      </c>
      <c r="B44" s="16">
        <v>216</v>
      </c>
      <c r="C44" s="84" t="str">
        <f t="array" aca="1" ref="C44" ca="1">IF(OR((C$41&gt;=$AY$11:$AY$38)*(C$4&lt;=$AZ$11:$AZ$38)&gt;0),$B44,"")</f>
        <v/>
      </c>
      <c r="D44" s="84" t="str">
        <f t="array" aca="1" ref="D44" ca="1">IF(OR((D$41&gt;=$AY$11:$AY$38)*(D$4&lt;=$AZ$11:$AZ$38)&gt;0),$B44,"")</f>
        <v/>
      </c>
      <c r="E44" s="84" t="str">
        <f t="array" aca="1" ref="E44" ca="1">IF(OR((E$41&gt;=$AY$11:$AY$38)*(E$4&lt;=$AZ$11:$AZ$38)&gt;0),$B44,"")</f>
        <v/>
      </c>
      <c r="F44" s="84" t="str">
        <f t="array" aca="1" ref="F44" ca="1">IF(OR((F$41&gt;=$AY$11:$AY$38)*(F$4&lt;=$AZ$11:$AZ$38)&gt;0),$B44,"")</f>
        <v/>
      </c>
      <c r="G44" s="84" t="str">
        <f t="array" aca="1" ref="G44" ca="1">IF(OR((G$41&gt;=$AY$11:$AY$38)*(G$4&lt;=$AZ$11:$AZ$38)&gt;0),$B44,"")</f>
        <v/>
      </c>
      <c r="H44" s="84" t="str">
        <f t="array" aca="1" ref="H44" ca="1">IF(OR((H$41&gt;=$AY$11:$AY$38)*(H$4&lt;=$AZ$11:$AZ$38)&gt;0),$B44,"")</f>
        <v/>
      </c>
      <c r="I44" s="84" t="str">
        <f t="array" aca="1" ref="I44" ca="1">IF(OR((I$41&gt;=$AY$11:$AY$38)*(I$4&lt;=$AZ$11:$AZ$38)&gt;0),$B44,"")</f>
        <v/>
      </c>
      <c r="J44" s="84" t="str">
        <f t="array" aca="1" ref="J44" ca="1">IF(OR((J$41&gt;=$AY$11:$AY$38)*(J$4&lt;=$AZ$11:$AZ$38)&gt;0),$B44,"")</f>
        <v/>
      </c>
      <c r="K44" s="84" t="str">
        <f t="array" aca="1" ref="K44" ca="1">IF(OR((K$41&gt;=$AY$11:$AY$38)*(K$4&lt;=$AZ$11:$AZ$38)&gt;0),$B44,"")</f>
        <v/>
      </c>
      <c r="L44" s="84" t="str">
        <f t="array" aca="1" ref="L44" ca="1">IF(OR((L$41&gt;=$AY$11:$AY$38)*(L$4&lt;=$AZ$11:$AZ$38)&gt;0),$B44,"")</f>
        <v/>
      </c>
      <c r="M44" s="84" t="str">
        <f t="array" aca="1" ref="M44" ca="1">IF(OR((M$41&gt;=$AY$11:$AY$38)*(M$4&lt;=$AZ$11:$AZ$38)&gt;0),$B44,"")</f>
        <v/>
      </c>
      <c r="N44" s="84" t="str">
        <f t="array" aca="1" ref="N44" ca="1">IF(OR((N$41&gt;=$AY$11:$AY$38)*(N$4&lt;=$AZ$11:$AZ$38)&gt;0),$B44,"")</f>
        <v/>
      </c>
      <c r="O44" s="84" t="str">
        <f t="array" aca="1" ref="O44" ca="1">IF(OR((O$41&gt;=$AY$11:$AY$38)*(O$4&lt;=$AZ$11:$AZ$38)&gt;0),$B44,"")</f>
        <v/>
      </c>
      <c r="P44" s="84" t="str">
        <f t="array" aca="1" ref="P44" ca="1">IF(OR((P$41&gt;=$AY$11:$AY$38)*(P$4&lt;=$AZ$11:$AZ$38)&gt;0),$B44,"")</f>
        <v/>
      </c>
      <c r="Q44" s="84" t="str">
        <f t="array" aca="1" ref="Q44" ca="1">IF(OR((Q$41&gt;=$AY$11:$AY$38)*(Q$4&lt;=$AZ$11:$AZ$38)&gt;0),$B44,"")</f>
        <v/>
      </c>
      <c r="R44" s="84" t="str">
        <f t="array" aca="1" ref="R44" ca="1">IF(OR((R$41&gt;=$AY$11:$AY$38)*(R$4&lt;=$AZ$11:$AZ$38)&gt;0),$B44,"")</f>
        <v/>
      </c>
      <c r="S44" s="84" t="str">
        <f t="array" aca="1" ref="S44" ca="1">IF(OR((S$41&gt;=$AY$11:$AY$38)*(S$4&lt;=$AZ$11:$AZ$38)&gt;0),$B44,"")</f>
        <v/>
      </c>
      <c r="T44" s="84" t="str">
        <f t="array" aca="1" ref="T44" ca="1">IF(OR((T$41&gt;=$AY$11:$AY$38)*(T$4&lt;=$AZ$11:$AZ$38)&gt;0),$B44,"")</f>
        <v/>
      </c>
      <c r="U44" s="84" t="str">
        <f t="array" aca="1" ref="U44" ca="1">IF(OR((U$41&gt;=$AY$11:$AY$38)*(U$4&lt;=$AZ$11:$AZ$38)&gt;0),$B44,"")</f>
        <v/>
      </c>
      <c r="V44" s="84" t="str">
        <f t="array" aca="1" ref="V44" ca="1">IF(OR((V$41&gt;=$AY$11:$AY$38)*(V$4&lt;=$AZ$11:$AZ$38)&gt;0),$B44,"")</f>
        <v/>
      </c>
      <c r="W44" s="84" t="str">
        <f t="array" aca="1" ref="W44" ca="1">IF(OR((W$41&gt;=$AY$11:$AY$38)*(W$4&lt;=$AZ$11:$AZ$38)&gt;0),$B44,"")</f>
        <v/>
      </c>
      <c r="X44" s="84" t="str">
        <f t="array" aca="1" ref="X44" ca="1">IF(OR((X$41&gt;=$AY$11:$AY$38)*(X$4&lt;=$AZ$11:$AZ$38)&gt;0),$B44,"")</f>
        <v/>
      </c>
      <c r="Y44" s="84" t="str">
        <f t="array" aca="1" ref="Y44" ca="1">IF(OR((Y$41&gt;=$AY$11:$AY$38)*(Y$4&lt;=$AZ$11:$AZ$38)&gt;0),$B44,"")</f>
        <v/>
      </c>
      <c r="Z44" s="84" t="str">
        <f t="array" aca="1" ref="Z44" ca="1">IF(OR((Z$41&gt;=$AY$11:$AY$38)*(Z$4&lt;=$AZ$11:$AZ$38)&gt;0),$B44,"")</f>
        <v/>
      </c>
      <c r="AA44" s="84" t="str">
        <f t="array" aca="1" ref="AA44" ca="1">IF(OR((AA$41&gt;=$AY$11:$AY$38)*(AA$4&lt;=$AZ$11:$AZ$38)&gt;0),$B44,"")</f>
        <v/>
      </c>
      <c r="AB44" s="84" t="str">
        <f t="array" aca="1" ref="AB44" ca="1">IF(OR((AB$41&gt;=$AY$11:$AY$38)*(AB$4&lt;=$AZ$11:$AZ$38)&gt;0),$B44,"")</f>
        <v/>
      </c>
      <c r="AC44" s="84" t="str">
        <f t="array" aca="1" ref="AC44" ca="1">IF(OR((AC$41&gt;=$AY$11:$AY$38)*(AC$4&lt;=$AZ$11:$AZ$38)&gt;0),$B44,"")</f>
        <v/>
      </c>
      <c r="AD44" s="84" t="str">
        <f t="array" aca="1" ref="AD44" ca="1">IF(OR((AD$41&gt;=$AY$11:$AY$38)*(AD$4&lt;=$AZ$11:$AZ$38)&gt;0),$B44,"")</f>
        <v/>
      </c>
      <c r="AE44" s="84" t="str">
        <f t="array" aca="1" ref="AE44" ca="1">IF(OR((AE$41&gt;=$AY$11:$AY$38)*(AE$4&lt;=$AZ$11:$AZ$38)&gt;0),$B44,"")</f>
        <v/>
      </c>
      <c r="AF44" s="84" t="str">
        <f t="array" aca="1" ref="AF44" ca="1">IF(OR((AF$41&gt;=$AY$11:$AY$38)*(AF$4&lt;=$AZ$11:$AZ$38)&gt;0),$B44,"")</f>
        <v/>
      </c>
      <c r="AG44" s="84" t="str">
        <f t="array" aca="1" ref="AG44" ca="1">IF(OR((AG$41&gt;=$AY$11:$AY$38)*(AG$4&lt;=$AZ$11:$AZ$38)&gt;0),$B44,"")</f>
        <v/>
      </c>
      <c r="AH44" s="84" t="str">
        <f t="array" aca="1" ref="AH44" ca="1">IF(OR((AH$41&gt;=$AY$11:$AY$38)*(AH$4&lt;=$AZ$11:$AZ$38)&gt;0),$B44,"")</f>
        <v/>
      </c>
      <c r="AI44" s="84" t="str">
        <f t="array" aca="1" ref="AI44" ca="1">IF(OR((AI$41&gt;=$AY$11:$AY$38)*(AI$4&lt;=$AZ$11:$AZ$38)&gt;0),$B44,"")</f>
        <v/>
      </c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  <c r="BC44" s="126"/>
      <c r="BD44" s="126"/>
      <c r="BE44" s="126"/>
      <c r="BF44" s="126"/>
    </row>
    <row r="45" spans="1:58">
      <c r="A45" s="75" t="s">
        <v>190</v>
      </c>
      <c r="B45" s="16">
        <v>48</v>
      </c>
      <c r="C45" s="84" t="str">
        <f t="array" aca="1" ref="C45" ca="1">IF(OR((C$41&gt;=$AY$11:$AY$38)*(C$4&lt;=$AZ$11:$AZ$38)&gt;0),$B45,"")</f>
        <v/>
      </c>
      <c r="D45" s="84" t="str">
        <f t="array" aca="1" ref="D45" ca="1">IF(OR((D$41&gt;=$AY$11:$AY$38)*(D$4&lt;=$AZ$11:$AZ$38)&gt;0),$B45,"")</f>
        <v/>
      </c>
      <c r="E45" s="84" t="str">
        <f t="array" aca="1" ref="E45" ca="1">IF(OR((E$41&gt;=$AY$11:$AY$38)*(E$4&lt;=$AZ$11:$AZ$38)&gt;0),$B45,"")</f>
        <v/>
      </c>
      <c r="F45" s="84" t="str">
        <f t="array" aca="1" ref="F45" ca="1">IF(OR((F$41&gt;=$AY$11:$AY$38)*(F$4&lt;=$AZ$11:$AZ$38)&gt;0),$B45,"")</f>
        <v/>
      </c>
      <c r="G45" s="84" t="str">
        <f t="array" aca="1" ref="G45" ca="1">IF(OR((G$41&gt;=$AY$11:$AY$38)*(G$4&lt;=$AZ$11:$AZ$38)&gt;0),$B45,"")</f>
        <v/>
      </c>
      <c r="H45" s="84" t="str">
        <f t="array" aca="1" ref="H45" ca="1">IF(OR((H$41&gt;=$AY$11:$AY$38)*(H$4&lt;=$AZ$11:$AZ$38)&gt;0),$B45,"")</f>
        <v/>
      </c>
      <c r="I45" s="84" t="str">
        <f t="array" aca="1" ref="I45" ca="1">IF(OR((I$41&gt;=$AY$11:$AY$38)*(I$4&lt;=$AZ$11:$AZ$38)&gt;0),$B45,"")</f>
        <v/>
      </c>
      <c r="J45" s="84" t="str">
        <f t="array" aca="1" ref="J45" ca="1">IF(OR((J$41&gt;=$AY$11:$AY$38)*(J$4&lt;=$AZ$11:$AZ$38)&gt;0),$B45,"")</f>
        <v/>
      </c>
      <c r="K45" s="84" t="str">
        <f t="array" aca="1" ref="K45" ca="1">IF(OR((K$41&gt;=$AY$11:$AY$38)*(K$4&lt;=$AZ$11:$AZ$38)&gt;0),$B45,"")</f>
        <v/>
      </c>
      <c r="L45" s="84" t="str">
        <f t="array" aca="1" ref="L45" ca="1">IF(OR((L$41&gt;=$AY$11:$AY$38)*(L$4&lt;=$AZ$11:$AZ$38)&gt;0),$B45,"")</f>
        <v/>
      </c>
      <c r="M45" s="84" t="str">
        <f t="array" aca="1" ref="M45" ca="1">IF(OR((M$41&gt;=$AY$11:$AY$38)*(M$4&lt;=$AZ$11:$AZ$38)&gt;0),$B45,"")</f>
        <v/>
      </c>
      <c r="N45" s="84" t="str">
        <f t="array" aca="1" ref="N45" ca="1">IF(OR((N$41&gt;=$AY$11:$AY$38)*(N$4&lt;=$AZ$11:$AZ$38)&gt;0),$B45,"")</f>
        <v/>
      </c>
      <c r="O45" s="84" t="str">
        <f t="array" aca="1" ref="O45" ca="1">IF(OR((O$41&gt;=$AY$11:$AY$38)*(O$4&lt;=$AZ$11:$AZ$38)&gt;0),$B45,"")</f>
        <v/>
      </c>
      <c r="P45" s="84" t="str">
        <f t="array" aca="1" ref="P45" ca="1">IF(OR((P$41&gt;=$AY$11:$AY$38)*(P$4&lt;=$AZ$11:$AZ$38)&gt;0),$B45,"")</f>
        <v/>
      </c>
      <c r="Q45" s="84" t="str">
        <f t="array" aca="1" ref="Q45" ca="1">IF(OR((Q$41&gt;=$AY$11:$AY$38)*(Q$4&lt;=$AZ$11:$AZ$38)&gt;0),$B45,"")</f>
        <v/>
      </c>
      <c r="R45" s="84" t="str">
        <f t="array" aca="1" ref="R45" ca="1">IF(OR((R$41&gt;=$AY$11:$AY$38)*(R$4&lt;=$AZ$11:$AZ$38)&gt;0),$B45,"")</f>
        <v/>
      </c>
      <c r="S45" s="84" t="str">
        <f t="array" aca="1" ref="S45" ca="1">IF(OR((S$41&gt;=$AY$11:$AY$38)*(S$4&lt;=$AZ$11:$AZ$38)&gt;0),$B45,"")</f>
        <v/>
      </c>
      <c r="T45" s="84" t="str">
        <f t="array" aca="1" ref="T45" ca="1">IF(OR((T$41&gt;=$AY$11:$AY$38)*(T$4&lt;=$AZ$11:$AZ$38)&gt;0),$B45,"")</f>
        <v/>
      </c>
      <c r="U45" s="84" t="str">
        <f t="array" aca="1" ref="U45" ca="1">IF(OR((U$41&gt;=$AY$11:$AY$38)*(U$4&lt;=$AZ$11:$AZ$38)&gt;0),$B45,"")</f>
        <v/>
      </c>
      <c r="V45" s="84" t="str">
        <f t="array" aca="1" ref="V45" ca="1">IF(OR((V$41&gt;=$AY$11:$AY$38)*(V$4&lt;=$AZ$11:$AZ$38)&gt;0),$B45,"")</f>
        <v/>
      </c>
      <c r="W45" s="84" t="str">
        <f t="array" aca="1" ref="W45" ca="1">IF(OR((W$41&gt;=$AY$11:$AY$38)*(W$4&lt;=$AZ$11:$AZ$38)&gt;0),$B45,"")</f>
        <v/>
      </c>
      <c r="X45" s="84" t="str">
        <f t="array" aca="1" ref="X45" ca="1">IF(OR((X$41&gt;=$AY$11:$AY$38)*(X$4&lt;=$AZ$11:$AZ$38)&gt;0),$B45,"")</f>
        <v/>
      </c>
      <c r="Y45" s="84" t="str">
        <f t="array" aca="1" ref="Y45" ca="1">IF(OR((Y$41&gt;=$AY$11:$AY$38)*(Y$4&lt;=$AZ$11:$AZ$38)&gt;0),$B45,"")</f>
        <v/>
      </c>
      <c r="Z45" s="84" t="str">
        <f t="array" aca="1" ref="Z45" ca="1">IF(OR((Z$41&gt;=$AY$11:$AY$38)*(Z$4&lt;=$AZ$11:$AZ$38)&gt;0),$B45,"")</f>
        <v/>
      </c>
      <c r="AA45" s="84" t="str">
        <f t="array" aca="1" ref="AA45" ca="1">IF(OR((AA$41&gt;=$AY$11:$AY$38)*(AA$4&lt;=$AZ$11:$AZ$38)&gt;0),$B45,"")</f>
        <v/>
      </c>
      <c r="AB45" s="84" t="str">
        <f t="array" aca="1" ref="AB45" ca="1">IF(OR((AB$41&gt;=$AY$11:$AY$38)*(AB$4&lt;=$AZ$11:$AZ$38)&gt;0),$B45,"")</f>
        <v/>
      </c>
      <c r="AC45" s="84" t="str">
        <f t="array" aca="1" ref="AC45" ca="1">IF(OR((AC$41&gt;=$AY$11:$AY$38)*(AC$4&lt;=$AZ$11:$AZ$38)&gt;0),$B45,"")</f>
        <v/>
      </c>
      <c r="AD45" s="84" t="str">
        <f t="array" aca="1" ref="AD45" ca="1">IF(OR((AD$41&gt;=$AY$11:$AY$38)*(AD$4&lt;=$AZ$11:$AZ$38)&gt;0),$B45,"")</f>
        <v/>
      </c>
      <c r="AE45" s="84" t="str">
        <f t="array" aca="1" ref="AE45" ca="1">IF(OR((AE$41&gt;=$AY$11:$AY$38)*(AE$4&lt;=$AZ$11:$AZ$38)&gt;0),$B45,"")</f>
        <v/>
      </c>
      <c r="AF45" s="84" t="str">
        <f t="array" aca="1" ref="AF45" ca="1">IF(OR((AF$41&gt;=$AY$11:$AY$38)*(AF$4&lt;=$AZ$11:$AZ$38)&gt;0),$B45,"")</f>
        <v/>
      </c>
      <c r="AG45" s="84" t="str">
        <f t="array" aca="1" ref="AG45" ca="1">IF(OR((AG$41&gt;=$AY$11:$AY$38)*(AG$4&lt;=$AZ$11:$AZ$38)&gt;0),$B45,"")</f>
        <v/>
      </c>
      <c r="AH45" s="84" t="str">
        <f t="array" aca="1" ref="AH45" ca="1">IF(OR((AH$41&gt;=$AY$11:$AY$38)*(AH$4&lt;=$AZ$11:$AZ$38)&gt;0),$B45,"")</f>
        <v/>
      </c>
      <c r="AI45" s="84" t="str">
        <f t="array" aca="1" ref="AI45" ca="1">IF(OR((AI$41&gt;=$AY$11:$AY$38)*(AI$4&lt;=$AZ$11:$AZ$38)&gt;0),$B45,"")</f>
        <v/>
      </c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  <c r="BC45" s="126"/>
      <c r="BD45" s="126"/>
      <c r="BE45" s="126"/>
      <c r="BF45" s="126"/>
    </row>
    <row r="46" spans="1:58">
      <c r="A46" s="75" t="s">
        <v>191</v>
      </c>
      <c r="B46" s="16">
        <v>48</v>
      </c>
      <c r="C46" s="84" t="str">
        <f t="array" aca="1" ref="C46" ca="1">IF(OR((C$41&gt;=$AY$11:$AY$38)*(C$4&lt;=$AZ$11:$AZ$38)&gt;0),$B46,"")</f>
        <v/>
      </c>
      <c r="D46" s="84" t="str">
        <f t="array" aca="1" ref="D46" ca="1">IF(OR((D$41&gt;=$AY$11:$AY$38)*(D$4&lt;=$AZ$11:$AZ$38)&gt;0),$B46,"")</f>
        <v/>
      </c>
      <c r="E46" s="84" t="str">
        <f t="array" aca="1" ref="E46" ca="1">IF(OR((E$41&gt;=$AY$11:$AY$38)*(E$4&lt;=$AZ$11:$AZ$38)&gt;0),$B46,"")</f>
        <v/>
      </c>
      <c r="F46" s="84" t="str">
        <f t="array" aca="1" ref="F46" ca="1">IF(OR((F$41&gt;=$AY$11:$AY$38)*(F$4&lt;=$AZ$11:$AZ$38)&gt;0),$B46,"")</f>
        <v/>
      </c>
      <c r="G46" s="84" t="str">
        <f t="array" aca="1" ref="G46" ca="1">IF(OR((G$41&gt;=$AY$11:$AY$38)*(G$4&lt;=$AZ$11:$AZ$38)&gt;0),$B46,"")</f>
        <v/>
      </c>
      <c r="H46" s="84" t="str">
        <f t="array" aca="1" ref="H46" ca="1">IF(OR((H$41&gt;=$AY$11:$AY$38)*(H$4&lt;=$AZ$11:$AZ$38)&gt;0),$B46,"")</f>
        <v/>
      </c>
      <c r="I46" s="84" t="str">
        <f t="array" aca="1" ref="I46" ca="1">IF(OR((I$41&gt;=$AY$11:$AY$38)*(I$4&lt;=$AZ$11:$AZ$38)&gt;0),$B46,"")</f>
        <v/>
      </c>
      <c r="J46" s="84" t="str">
        <f t="array" aca="1" ref="J46" ca="1">IF(OR((J$41&gt;=$AY$11:$AY$38)*(J$4&lt;=$AZ$11:$AZ$38)&gt;0),$B46,"")</f>
        <v/>
      </c>
      <c r="K46" s="84" t="str">
        <f t="array" aca="1" ref="K46" ca="1">IF(OR((K$41&gt;=$AY$11:$AY$38)*(K$4&lt;=$AZ$11:$AZ$38)&gt;0),$B46,"")</f>
        <v/>
      </c>
      <c r="L46" s="84" t="str">
        <f t="array" aca="1" ref="L46" ca="1">IF(OR((L$41&gt;=$AY$11:$AY$38)*(L$4&lt;=$AZ$11:$AZ$38)&gt;0),$B46,"")</f>
        <v/>
      </c>
      <c r="M46" s="84" t="str">
        <f t="array" aca="1" ref="M46" ca="1">IF(OR((M$41&gt;=$AY$11:$AY$38)*(M$4&lt;=$AZ$11:$AZ$38)&gt;0),$B46,"")</f>
        <v/>
      </c>
      <c r="N46" s="84" t="str">
        <f t="array" aca="1" ref="N46" ca="1">IF(OR((N$41&gt;=$AY$11:$AY$38)*(N$4&lt;=$AZ$11:$AZ$38)&gt;0),$B46,"")</f>
        <v/>
      </c>
      <c r="O46" s="84" t="str">
        <f t="array" aca="1" ref="O46" ca="1">IF(OR((O$41&gt;=$AY$11:$AY$38)*(O$4&lt;=$AZ$11:$AZ$38)&gt;0),$B46,"")</f>
        <v/>
      </c>
      <c r="P46" s="84" t="str">
        <f t="array" aca="1" ref="P46" ca="1">IF(OR((P$41&gt;=$AY$11:$AY$38)*(P$4&lt;=$AZ$11:$AZ$38)&gt;0),$B46,"")</f>
        <v/>
      </c>
      <c r="Q46" s="84" t="str">
        <f t="array" aca="1" ref="Q46" ca="1">IF(OR((Q$41&gt;=$AY$11:$AY$38)*(Q$4&lt;=$AZ$11:$AZ$38)&gt;0),$B46,"")</f>
        <v/>
      </c>
      <c r="R46" s="84" t="str">
        <f t="array" aca="1" ref="R46" ca="1">IF(OR((R$41&gt;=$AY$11:$AY$38)*(R$4&lt;=$AZ$11:$AZ$38)&gt;0),$B46,"")</f>
        <v/>
      </c>
      <c r="S46" s="84" t="str">
        <f t="array" aca="1" ref="S46" ca="1">IF(OR((S$41&gt;=$AY$11:$AY$38)*(S$4&lt;=$AZ$11:$AZ$38)&gt;0),$B46,"")</f>
        <v/>
      </c>
      <c r="T46" s="84" t="str">
        <f t="array" aca="1" ref="T46" ca="1">IF(OR((T$41&gt;=$AY$11:$AY$38)*(T$4&lt;=$AZ$11:$AZ$38)&gt;0),$B46,"")</f>
        <v/>
      </c>
      <c r="U46" s="84" t="str">
        <f t="array" aca="1" ref="U46" ca="1">IF(OR((U$41&gt;=$AY$11:$AY$38)*(U$4&lt;=$AZ$11:$AZ$38)&gt;0),$B46,"")</f>
        <v/>
      </c>
      <c r="V46" s="84" t="str">
        <f t="array" aca="1" ref="V46" ca="1">IF(OR((V$41&gt;=$AY$11:$AY$38)*(V$4&lt;=$AZ$11:$AZ$38)&gt;0),$B46,"")</f>
        <v/>
      </c>
      <c r="W46" s="84" t="str">
        <f t="array" aca="1" ref="W46" ca="1">IF(OR((W$41&gt;=$AY$11:$AY$38)*(W$4&lt;=$AZ$11:$AZ$38)&gt;0),$B46,"")</f>
        <v/>
      </c>
      <c r="X46" s="84" t="str">
        <f t="array" aca="1" ref="X46" ca="1">IF(OR((X$41&gt;=$AY$11:$AY$38)*(X$4&lt;=$AZ$11:$AZ$38)&gt;0),$B46,"")</f>
        <v/>
      </c>
      <c r="Y46" s="84" t="str">
        <f t="array" aca="1" ref="Y46" ca="1">IF(OR((Y$41&gt;=$AY$11:$AY$38)*(Y$4&lt;=$AZ$11:$AZ$38)&gt;0),$B46,"")</f>
        <v/>
      </c>
      <c r="Z46" s="84" t="str">
        <f t="array" aca="1" ref="Z46" ca="1">IF(OR((Z$41&gt;=$AY$11:$AY$38)*(Z$4&lt;=$AZ$11:$AZ$38)&gt;0),$B46,"")</f>
        <v/>
      </c>
      <c r="AA46" s="84" t="str">
        <f t="array" aca="1" ref="AA46" ca="1">IF(OR((AA$41&gt;=$AY$11:$AY$38)*(AA$4&lt;=$AZ$11:$AZ$38)&gt;0),$B46,"")</f>
        <v/>
      </c>
      <c r="AB46" s="84" t="str">
        <f t="array" aca="1" ref="AB46" ca="1">IF(OR((AB$41&gt;=$AY$11:$AY$38)*(AB$4&lt;=$AZ$11:$AZ$38)&gt;0),$B46,"")</f>
        <v/>
      </c>
      <c r="AC46" s="84" t="str">
        <f t="array" aca="1" ref="AC46" ca="1">IF(OR((AC$41&gt;=$AY$11:$AY$38)*(AC$4&lt;=$AZ$11:$AZ$38)&gt;0),$B46,"")</f>
        <v/>
      </c>
      <c r="AD46" s="84" t="str">
        <f t="array" aca="1" ref="AD46" ca="1">IF(OR((AD$41&gt;=$AY$11:$AY$38)*(AD$4&lt;=$AZ$11:$AZ$38)&gt;0),$B46,"")</f>
        <v/>
      </c>
      <c r="AE46" s="84" t="str">
        <f t="array" aca="1" ref="AE46" ca="1">IF(OR((AE$41&gt;=$AY$11:$AY$38)*(AE$4&lt;=$AZ$11:$AZ$38)&gt;0),$B46,"")</f>
        <v/>
      </c>
      <c r="AF46" s="84" t="str">
        <f t="array" aca="1" ref="AF46" ca="1">IF(OR((AF$41&gt;=$AY$11:$AY$38)*(AF$4&lt;=$AZ$11:$AZ$38)&gt;0),$B46,"")</f>
        <v/>
      </c>
      <c r="AG46" s="84" t="str">
        <f t="array" aca="1" ref="AG46" ca="1">IF(OR((AG$41&gt;=$AY$11:$AY$38)*(AG$4&lt;=$AZ$11:$AZ$38)&gt;0),$B46,"")</f>
        <v/>
      </c>
      <c r="AH46" s="84" t="str">
        <f t="array" aca="1" ref="AH46" ca="1">IF(OR((AH$41&gt;=$AY$11:$AY$38)*(AH$4&lt;=$AZ$11:$AZ$38)&gt;0),$B46,"")</f>
        <v/>
      </c>
      <c r="AI46" s="84" t="str">
        <f t="array" aca="1" ref="AI46" ca="1">IF(OR((AI$41&gt;=$AY$11:$AY$38)*(AI$4&lt;=$AZ$11:$AZ$38)&gt;0),$B46,"")</f>
        <v/>
      </c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  <c r="BC46" s="126"/>
      <c r="BD46" s="126"/>
      <c r="BE46" s="126"/>
      <c r="BF46" s="126"/>
    </row>
    <row r="47" spans="1:58">
      <c r="A47" s="75" t="s">
        <v>192</v>
      </c>
      <c r="B47" s="16">
        <v>48</v>
      </c>
      <c r="C47" s="84" t="str">
        <f t="array" aca="1" ref="C47" ca="1">IF(OR((C$41&gt;=$AY$11:$AY$38)*(C$4&lt;=$AZ$11:$AZ$38)&gt;0),$B47,"")</f>
        <v/>
      </c>
      <c r="D47" s="84" t="str">
        <f t="array" aca="1" ref="D47" ca="1">IF(OR((D$41&gt;=$AY$11:$AY$38)*(D$4&lt;=$AZ$11:$AZ$38)&gt;0),$B47,"")</f>
        <v/>
      </c>
      <c r="E47" s="84" t="str">
        <f t="array" aca="1" ref="E47" ca="1">IF(OR((E$41&gt;=$AY$11:$AY$38)*(E$4&lt;=$AZ$11:$AZ$38)&gt;0),$B47,"")</f>
        <v/>
      </c>
      <c r="F47" s="84" t="str">
        <f t="array" aca="1" ref="F47" ca="1">IF(OR((F$41&gt;=$AY$11:$AY$38)*(F$4&lt;=$AZ$11:$AZ$38)&gt;0),$B47,"")</f>
        <v/>
      </c>
      <c r="G47" s="84" t="str">
        <f t="array" aca="1" ref="G47" ca="1">IF(OR((G$41&gt;=$AY$11:$AY$38)*(G$4&lt;=$AZ$11:$AZ$38)&gt;0),$B47,"")</f>
        <v/>
      </c>
      <c r="H47" s="84" t="str">
        <f t="array" aca="1" ref="H47" ca="1">IF(OR((H$41&gt;=$AY$11:$AY$38)*(H$4&lt;=$AZ$11:$AZ$38)&gt;0),$B47,"")</f>
        <v/>
      </c>
      <c r="I47" s="84" t="str">
        <f t="array" aca="1" ref="I47" ca="1">IF(OR((I$41&gt;=$AY$11:$AY$38)*(I$4&lt;=$AZ$11:$AZ$38)&gt;0),$B47,"")</f>
        <v/>
      </c>
      <c r="J47" s="84" t="str">
        <f t="array" aca="1" ref="J47" ca="1">IF(OR((J$41&gt;=$AY$11:$AY$38)*(J$4&lt;=$AZ$11:$AZ$38)&gt;0),$B47,"")</f>
        <v/>
      </c>
      <c r="K47" s="84" t="str">
        <f t="array" aca="1" ref="K47" ca="1">IF(OR((K$41&gt;=$AY$11:$AY$38)*(K$4&lt;=$AZ$11:$AZ$38)&gt;0),$B47,"")</f>
        <v/>
      </c>
      <c r="L47" s="84" t="str">
        <f t="array" aca="1" ref="L47" ca="1">IF(OR((L$41&gt;=$AY$11:$AY$38)*(L$4&lt;=$AZ$11:$AZ$38)&gt;0),$B47,"")</f>
        <v/>
      </c>
      <c r="M47" s="84" t="str">
        <f t="array" aca="1" ref="M47" ca="1">IF(OR((M$41&gt;=$AY$11:$AY$38)*(M$4&lt;=$AZ$11:$AZ$38)&gt;0),$B47,"")</f>
        <v/>
      </c>
      <c r="N47" s="84" t="str">
        <f t="array" aca="1" ref="N47" ca="1">IF(OR((N$41&gt;=$AY$11:$AY$38)*(N$4&lt;=$AZ$11:$AZ$38)&gt;0),$B47,"")</f>
        <v/>
      </c>
      <c r="O47" s="84" t="str">
        <f t="array" aca="1" ref="O47" ca="1">IF(OR((O$41&gt;=$AY$11:$AY$38)*(O$4&lt;=$AZ$11:$AZ$38)&gt;0),$B47,"")</f>
        <v/>
      </c>
      <c r="P47" s="84" t="str">
        <f t="array" aca="1" ref="P47" ca="1">IF(OR((P$41&gt;=$AY$11:$AY$38)*(P$4&lt;=$AZ$11:$AZ$38)&gt;0),$B47,"")</f>
        <v/>
      </c>
      <c r="Q47" s="84" t="str">
        <f t="array" aca="1" ref="Q47" ca="1">IF(OR((Q$41&gt;=$AY$11:$AY$38)*(Q$4&lt;=$AZ$11:$AZ$38)&gt;0),$B47,"")</f>
        <v/>
      </c>
      <c r="R47" s="84" t="str">
        <f t="array" aca="1" ref="R47" ca="1">IF(OR((R$41&gt;=$AY$11:$AY$38)*(R$4&lt;=$AZ$11:$AZ$38)&gt;0),$B47,"")</f>
        <v/>
      </c>
      <c r="S47" s="84" t="str">
        <f t="array" aca="1" ref="S47" ca="1">IF(OR((S$41&gt;=$AY$11:$AY$38)*(S$4&lt;=$AZ$11:$AZ$38)&gt;0),$B47,"")</f>
        <v/>
      </c>
      <c r="T47" s="84" t="str">
        <f t="array" aca="1" ref="T47" ca="1">IF(OR((T$41&gt;=$AY$11:$AY$38)*(T$4&lt;=$AZ$11:$AZ$38)&gt;0),$B47,"")</f>
        <v/>
      </c>
      <c r="U47" s="84" t="str">
        <f t="array" aca="1" ref="U47" ca="1">IF(OR((U$41&gt;=$AY$11:$AY$38)*(U$4&lt;=$AZ$11:$AZ$38)&gt;0),$B47,"")</f>
        <v/>
      </c>
      <c r="V47" s="84" t="str">
        <f t="array" aca="1" ref="V47" ca="1">IF(OR((V$41&gt;=$AY$11:$AY$38)*(V$4&lt;=$AZ$11:$AZ$38)&gt;0),$B47,"")</f>
        <v/>
      </c>
      <c r="W47" s="84" t="str">
        <f t="array" aca="1" ref="W47" ca="1">IF(OR((W$41&gt;=$AY$11:$AY$38)*(W$4&lt;=$AZ$11:$AZ$38)&gt;0),$B47,"")</f>
        <v/>
      </c>
      <c r="X47" s="84" t="str">
        <f t="array" aca="1" ref="X47" ca="1">IF(OR((X$41&gt;=$AY$11:$AY$38)*(X$4&lt;=$AZ$11:$AZ$38)&gt;0),$B47,"")</f>
        <v/>
      </c>
      <c r="Y47" s="84" t="str">
        <f t="array" aca="1" ref="Y47" ca="1">IF(OR((Y$41&gt;=$AY$11:$AY$38)*(Y$4&lt;=$AZ$11:$AZ$38)&gt;0),$B47,"")</f>
        <v/>
      </c>
      <c r="Z47" s="84" t="str">
        <f t="array" aca="1" ref="Z47" ca="1">IF(OR((Z$41&gt;=$AY$11:$AY$38)*(Z$4&lt;=$AZ$11:$AZ$38)&gt;0),$B47,"")</f>
        <v/>
      </c>
      <c r="AA47" s="84" t="str">
        <f t="array" aca="1" ref="AA47" ca="1">IF(OR((AA$41&gt;=$AY$11:$AY$38)*(AA$4&lt;=$AZ$11:$AZ$38)&gt;0),$B47,"")</f>
        <v/>
      </c>
      <c r="AB47" s="84" t="str">
        <f t="array" aca="1" ref="AB47" ca="1">IF(OR((AB$41&gt;=$AY$11:$AY$38)*(AB$4&lt;=$AZ$11:$AZ$38)&gt;0),$B47,"")</f>
        <v/>
      </c>
      <c r="AC47" s="84" t="str">
        <f t="array" aca="1" ref="AC47" ca="1">IF(OR((AC$41&gt;=$AY$11:$AY$38)*(AC$4&lt;=$AZ$11:$AZ$38)&gt;0),$B47,"")</f>
        <v/>
      </c>
      <c r="AD47" s="84" t="str">
        <f t="array" aca="1" ref="AD47" ca="1">IF(OR((AD$41&gt;=$AY$11:$AY$38)*(AD$4&lt;=$AZ$11:$AZ$38)&gt;0),$B47,"")</f>
        <v/>
      </c>
      <c r="AE47" s="84" t="str">
        <f t="array" aca="1" ref="AE47" ca="1">IF(OR((AE$41&gt;=$AY$11:$AY$38)*(AE$4&lt;=$AZ$11:$AZ$38)&gt;0),$B47,"")</f>
        <v/>
      </c>
      <c r="AF47" s="84" t="str">
        <f t="array" aca="1" ref="AF47" ca="1">IF(OR((AF$41&gt;=$AY$11:$AY$38)*(AF$4&lt;=$AZ$11:$AZ$38)&gt;0),$B47,"")</f>
        <v/>
      </c>
      <c r="AG47" s="84" t="str">
        <f t="array" aca="1" ref="AG47" ca="1">IF(OR((AG$41&gt;=$AY$11:$AY$38)*(AG$4&lt;=$AZ$11:$AZ$38)&gt;0),$B47,"")</f>
        <v/>
      </c>
      <c r="AH47" s="84" t="str">
        <f t="array" aca="1" ref="AH47" ca="1">IF(OR((AH$41&gt;=$AY$11:$AY$38)*(AH$4&lt;=$AZ$11:$AZ$38)&gt;0),$B47,"")</f>
        <v/>
      </c>
      <c r="AI47" s="84" t="str">
        <f t="array" aca="1" ref="AI47" ca="1">IF(OR((AI$41&gt;=$AY$11:$AY$38)*(AI$4&lt;=$AZ$11:$AZ$38)&gt;0),$B47,"")</f>
        <v/>
      </c>
    </row>
    <row r="48" spans="1:58">
      <c r="A48" s="75" t="s">
        <v>193</v>
      </c>
      <c r="B48" s="16">
        <v>16</v>
      </c>
      <c r="C48" s="84" t="str">
        <f t="array" aca="1" ref="C48" ca="1">IF(OR((C$41&gt;=$AY$11:$AY$38)*(C$4&lt;=$AZ$11:$AZ$38)&gt;0),$B48,"")</f>
        <v/>
      </c>
      <c r="D48" s="84" t="str">
        <f t="array" aca="1" ref="D48" ca="1">IF(OR((D$41&gt;=$AY$11:$AY$38)*(D$4&lt;=$AZ$11:$AZ$38)&gt;0),$B48,"")</f>
        <v/>
      </c>
      <c r="E48" s="84" t="str">
        <f t="array" aca="1" ref="E48" ca="1">IF(OR((E$41&gt;=$AY$11:$AY$38)*(E$4&lt;=$AZ$11:$AZ$38)&gt;0),$B48,"")</f>
        <v/>
      </c>
      <c r="F48" s="84" t="str">
        <f t="array" aca="1" ref="F48" ca="1">IF(OR((F$41&gt;=$AY$11:$AY$38)*(F$4&lt;=$AZ$11:$AZ$38)&gt;0),$B48,"")</f>
        <v/>
      </c>
      <c r="G48" s="84" t="str">
        <f t="array" aca="1" ref="G48" ca="1">IF(OR((G$41&gt;=$AY$11:$AY$38)*(G$4&lt;=$AZ$11:$AZ$38)&gt;0),$B48,"")</f>
        <v/>
      </c>
      <c r="H48" s="84" t="str">
        <f t="array" aca="1" ref="H48" ca="1">IF(OR((H$41&gt;=$AY$11:$AY$38)*(H$4&lt;=$AZ$11:$AZ$38)&gt;0),$B48,"")</f>
        <v/>
      </c>
      <c r="I48" s="84" t="str">
        <f t="array" aca="1" ref="I48" ca="1">IF(OR((I$41&gt;=$AY$11:$AY$38)*(I$4&lt;=$AZ$11:$AZ$38)&gt;0),$B48,"")</f>
        <v/>
      </c>
      <c r="J48" s="84" t="str">
        <f t="array" aca="1" ref="J48" ca="1">IF(OR((J$41&gt;=$AY$11:$AY$38)*(J$4&lt;=$AZ$11:$AZ$38)&gt;0),$B48,"")</f>
        <v/>
      </c>
      <c r="K48" s="84" t="str">
        <f t="array" aca="1" ref="K48" ca="1">IF(OR((K$41&gt;=$AY$11:$AY$38)*(K$4&lt;=$AZ$11:$AZ$38)&gt;0),$B48,"")</f>
        <v/>
      </c>
      <c r="L48" s="84" t="str">
        <f t="array" aca="1" ref="L48" ca="1">IF(OR((L$41&gt;=$AY$11:$AY$38)*(L$4&lt;=$AZ$11:$AZ$38)&gt;0),$B48,"")</f>
        <v/>
      </c>
      <c r="M48" s="84" t="str">
        <f t="array" aca="1" ref="M48" ca="1">IF(OR((M$41&gt;=$AY$11:$AY$38)*(M$4&lt;=$AZ$11:$AZ$38)&gt;0),$B48,"")</f>
        <v/>
      </c>
      <c r="N48" s="84" t="str">
        <f t="array" aca="1" ref="N48" ca="1">IF(OR((N$41&gt;=$AY$11:$AY$38)*(N$4&lt;=$AZ$11:$AZ$38)&gt;0),$B48,"")</f>
        <v/>
      </c>
      <c r="O48" s="84" t="str">
        <f t="array" aca="1" ref="O48" ca="1">IF(OR((O$41&gt;=$AY$11:$AY$38)*(O$4&lt;=$AZ$11:$AZ$38)&gt;0),$B48,"")</f>
        <v/>
      </c>
      <c r="P48" s="84" t="str">
        <f t="array" aca="1" ref="P48" ca="1">IF(OR((P$41&gt;=$AY$11:$AY$38)*(P$4&lt;=$AZ$11:$AZ$38)&gt;0),$B48,"")</f>
        <v/>
      </c>
      <c r="Q48" s="84" t="str">
        <f t="array" aca="1" ref="Q48" ca="1">IF(OR((Q$41&gt;=$AY$11:$AY$38)*(Q$4&lt;=$AZ$11:$AZ$38)&gt;0),$B48,"")</f>
        <v/>
      </c>
      <c r="R48" s="84" t="str">
        <f t="array" aca="1" ref="R48" ca="1">IF(OR((R$41&gt;=$AY$11:$AY$38)*(R$4&lt;=$AZ$11:$AZ$38)&gt;0),$B48,"")</f>
        <v/>
      </c>
      <c r="S48" s="84" t="str">
        <f t="array" aca="1" ref="S48" ca="1">IF(OR((S$41&gt;=$AY$11:$AY$38)*(S$4&lt;=$AZ$11:$AZ$38)&gt;0),$B48,"")</f>
        <v/>
      </c>
      <c r="T48" s="84" t="str">
        <f t="array" aca="1" ref="T48" ca="1">IF(OR((T$41&gt;=$AY$11:$AY$38)*(T$4&lt;=$AZ$11:$AZ$38)&gt;0),$B48,"")</f>
        <v/>
      </c>
      <c r="U48" s="84" t="str">
        <f t="array" aca="1" ref="U48" ca="1">IF(OR((U$41&gt;=$AY$11:$AY$38)*(U$4&lt;=$AZ$11:$AZ$38)&gt;0),$B48,"")</f>
        <v/>
      </c>
      <c r="V48" s="84" t="str">
        <f t="array" aca="1" ref="V48" ca="1">IF(OR((V$41&gt;=$AY$11:$AY$38)*(V$4&lt;=$AZ$11:$AZ$38)&gt;0),$B48,"")</f>
        <v/>
      </c>
      <c r="W48" s="84" t="str">
        <f t="array" aca="1" ref="W48" ca="1">IF(OR((W$41&gt;=$AY$11:$AY$38)*(W$4&lt;=$AZ$11:$AZ$38)&gt;0),$B48,"")</f>
        <v/>
      </c>
      <c r="X48" s="84" t="str">
        <f t="array" aca="1" ref="X48" ca="1">IF(OR((X$41&gt;=$AY$11:$AY$38)*(X$4&lt;=$AZ$11:$AZ$38)&gt;0),$B48,"")</f>
        <v/>
      </c>
      <c r="Y48" s="84" t="str">
        <f t="array" aca="1" ref="Y48" ca="1">IF(OR((Y$41&gt;=$AY$11:$AY$38)*(Y$4&lt;=$AZ$11:$AZ$38)&gt;0),$B48,"")</f>
        <v/>
      </c>
      <c r="Z48" s="84" t="str">
        <f t="array" aca="1" ref="Z48" ca="1">IF(OR((Z$41&gt;=$AY$11:$AY$38)*(Z$4&lt;=$AZ$11:$AZ$38)&gt;0),$B48,"")</f>
        <v/>
      </c>
      <c r="AA48" s="84" t="str">
        <f t="array" aca="1" ref="AA48" ca="1">IF(OR((AA$41&gt;=$AY$11:$AY$38)*(AA$4&lt;=$AZ$11:$AZ$38)&gt;0),$B48,"")</f>
        <v/>
      </c>
      <c r="AB48" s="84" t="str">
        <f t="array" aca="1" ref="AB48" ca="1">IF(OR((AB$41&gt;=$AY$11:$AY$38)*(AB$4&lt;=$AZ$11:$AZ$38)&gt;0),$B48,"")</f>
        <v/>
      </c>
      <c r="AC48" s="84" t="str">
        <f t="array" aca="1" ref="AC48" ca="1">IF(OR((AC$41&gt;=$AY$11:$AY$38)*(AC$4&lt;=$AZ$11:$AZ$38)&gt;0),$B48,"")</f>
        <v/>
      </c>
      <c r="AD48" s="84" t="str">
        <f t="array" aca="1" ref="AD48" ca="1">IF(OR((AD$41&gt;=$AY$11:$AY$38)*(AD$4&lt;=$AZ$11:$AZ$38)&gt;0),$B48,"")</f>
        <v/>
      </c>
      <c r="AE48" s="84" t="str">
        <f t="array" aca="1" ref="AE48" ca="1">IF(OR((AE$41&gt;=$AY$11:$AY$38)*(AE$4&lt;=$AZ$11:$AZ$38)&gt;0),$B48,"")</f>
        <v/>
      </c>
      <c r="AF48" s="84" t="str">
        <f t="array" aca="1" ref="AF48" ca="1">IF(OR((AF$41&gt;=$AY$11:$AY$38)*(AF$4&lt;=$AZ$11:$AZ$38)&gt;0),$B48,"")</f>
        <v/>
      </c>
      <c r="AG48" s="84" t="str">
        <f t="array" aca="1" ref="AG48" ca="1">IF(OR((AG$41&gt;=$AY$11:$AY$38)*(AG$4&lt;=$AZ$11:$AZ$38)&gt;0),$B48,"")</f>
        <v/>
      </c>
      <c r="AH48" s="84" t="str">
        <f t="array" aca="1" ref="AH48" ca="1">IF(OR((AH$41&gt;=$AY$11:$AY$38)*(AH$4&lt;=$AZ$11:$AZ$38)&gt;0),$B48,"")</f>
        <v/>
      </c>
      <c r="AI48" s="84" t="str">
        <f t="array" aca="1" ref="AI48" ca="1">IF(OR((AI$41&gt;=$AY$11:$AY$38)*(AI$4&lt;=$AZ$11:$AZ$38)&gt;0),$B48,"")</f>
        <v/>
      </c>
      <c r="AJ48" s="85"/>
    </row>
    <row r="49" spans="1:71">
      <c r="A49" s="75" t="s">
        <v>194</v>
      </c>
      <c r="B49" s="16">
        <v>32</v>
      </c>
      <c r="C49" s="84" t="str">
        <f t="array" aca="1" ref="C49" ca="1">IF(OR((C$41&gt;=$AY$11:$AY$38)*(C$4&lt;=$AZ$11:$AZ$38)&gt;0),$B49,"")</f>
        <v/>
      </c>
      <c r="D49" s="84" t="str">
        <f t="array" aca="1" ref="D49" ca="1">IF(OR((D$41&gt;=$AY$11:$AY$38)*(D$4&lt;=$AZ$11:$AZ$38)&gt;0),$B49,"")</f>
        <v/>
      </c>
      <c r="E49" s="84" t="str">
        <f t="array" aca="1" ref="E49" ca="1">IF(OR((E$41&gt;=$AY$11:$AY$38)*(E$4&lt;=$AZ$11:$AZ$38)&gt;0),$B49,"")</f>
        <v/>
      </c>
      <c r="F49" s="84" t="str">
        <f t="array" aca="1" ref="F49" ca="1">IF(OR((F$41&gt;=$AY$11:$AY$38)*(F$4&lt;=$AZ$11:$AZ$38)&gt;0),$B49,"")</f>
        <v/>
      </c>
      <c r="G49" s="84" t="str">
        <f t="array" aca="1" ref="G49" ca="1">IF(OR((G$41&gt;=$AY$11:$AY$38)*(G$4&lt;=$AZ$11:$AZ$38)&gt;0),$B49,"")</f>
        <v/>
      </c>
      <c r="H49" s="84" t="str">
        <f t="array" aca="1" ref="H49" ca="1">IF(OR((H$41&gt;=$AY$11:$AY$38)*(H$4&lt;=$AZ$11:$AZ$38)&gt;0),$B49,"")</f>
        <v/>
      </c>
      <c r="I49" s="84" t="str">
        <f t="array" aca="1" ref="I49" ca="1">IF(OR((I$41&gt;=$AY$11:$AY$38)*(I$4&lt;=$AZ$11:$AZ$38)&gt;0),$B49,"")</f>
        <v/>
      </c>
      <c r="J49" s="84" t="str">
        <f t="array" aca="1" ref="J49" ca="1">IF(OR((J$41&gt;=$AY$11:$AY$38)*(J$4&lt;=$AZ$11:$AZ$38)&gt;0),$B49,"")</f>
        <v/>
      </c>
      <c r="K49" s="84" t="str">
        <f t="array" aca="1" ref="K49" ca="1">IF(OR((K$41&gt;=$AY$11:$AY$38)*(K$4&lt;=$AZ$11:$AZ$38)&gt;0),$B49,"")</f>
        <v/>
      </c>
      <c r="L49" s="84" t="str">
        <f t="array" aca="1" ref="L49" ca="1">IF(OR((L$41&gt;=$AY$11:$AY$38)*(L$4&lt;=$AZ$11:$AZ$38)&gt;0),$B49,"")</f>
        <v/>
      </c>
      <c r="M49" s="84" t="str">
        <f t="array" aca="1" ref="M49" ca="1">IF(OR((M$41&gt;=$AY$11:$AY$38)*(M$4&lt;=$AZ$11:$AZ$38)&gt;0),$B49,"")</f>
        <v/>
      </c>
      <c r="N49" s="84" t="str">
        <f t="array" aca="1" ref="N49" ca="1">IF(OR((N$41&gt;=$AY$11:$AY$38)*(N$4&lt;=$AZ$11:$AZ$38)&gt;0),$B49,"")</f>
        <v/>
      </c>
      <c r="O49" s="84" t="str">
        <f t="array" aca="1" ref="O49" ca="1">IF(OR((O$41&gt;=$AY$11:$AY$38)*(O$4&lt;=$AZ$11:$AZ$38)&gt;0),$B49,"")</f>
        <v/>
      </c>
      <c r="P49" s="84" t="str">
        <f t="array" aca="1" ref="P49" ca="1">IF(OR((P$41&gt;=$AY$11:$AY$38)*(P$4&lt;=$AZ$11:$AZ$38)&gt;0),$B49,"")</f>
        <v/>
      </c>
      <c r="Q49" s="84" t="str">
        <f t="array" aca="1" ref="Q49" ca="1">IF(OR((Q$41&gt;=$AY$11:$AY$38)*(Q$4&lt;=$AZ$11:$AZ$38)&gt;0),$B49,"")</f>
        <v/>
      </c>
      <c r="R49" s="84" t="str">
        <f t="array" aca="1" ref="R49" ca="1">IF(OR((R$41&gt;=$AY$11:$AY$38)*(R$4&lt;=$AZ$11:$AZ$38)&gt;0),$B49,"")</f>
        <v/>
      </c>
      <c r="S49" s="84" t="str">
        <f t="array" aca="1" ref="S49" ca="1">IF(OR((S$41&gt;=$AY$11:$AY$38)*(S$4&lt;=$AZ$11:$AZ$38)&gt;0),$B49,"")</f>
        <v/>
      </c>
      <c r="T49" s="84" t="str">
        <f t="array" aca="1" ref="T49" ca="1">IF(OR((T$41&gt;=$AY$11:$AY$38)*(T$4&lt;=$AZ$11:$AZ$38)&gt;0),$B49,"")</f>
        <v/>
      </c>
      <c r="U49" s="84" t="str">
        <f t="array" aca="1" ref="U49" ca="1">IF(OR((U$41&gt;=$AY$11:$AY$38)*(U$4&lt;=$AZ$11:$AZ$38)&gt;0),$B49,"")</f>
        <v/>
      </c>
      <c r="V49" s="84" t="str">
        <f t="array" aca="1" ref="V49" ca="1">IF(OR((V$41&gt;=$AY$11:$AY$38)*(V$4&lt;=$AZ$11:$AZ$38)&gt;0),$B49,"")</f>
        <v/>
      </c>
      <c r="W49" s="84" t="str">
        <f t="array" aca="1" ref="W49" ca="1">IF(OR((W$41&gt;=$AY$11:$AY$38)*(W$4&lt;=$AZ$11:$AZ$38)&gt;0),$B49,"")</f>
        <v/>
      </c>
      <c r="X49" s="84" t="str">
        <f t="array" aca="1" ref="X49" ca="1">IF(OR((X$41&gt;=$AY$11:$AY$38)*(X$4&lt;=$AZ$11:$AZ$38)&gt;0),$B49,"")</f>
        <v/>
      </c>
      <c r="Y49" s="84" t="str">
        <f t="array" aca="1" ref="Y49" ca="1">IF(OR((Y$41&gt;=$AY$11:$AY$38)*(Y$4&lt;=$AZ$11:$AZ$38)&gt;0),$B49,"")</f>
        <v/>
      </c>
      <c r="Z49" s="84" t="str">
        <f t="array" aca="1" ref="Z49" ca="1">IF(OR((Z$41&gt;=$AY$11:$AY$38)*(Z$4&lt;=$AZ$11:$AZ$38)&gt;0),$B49,"")</f>
        <v/>
      </c>
      <c r="AA49" s="84" t="str">
        <f t="array" aca="1" ref="AA49" ca="1">IF(OR((AA$41&gt;=$AY$11:$AY$38)*(AA$4&lt;=$AZ$11:$AZ$38)&gt;0),$B49,"")</f>
        <v/>
      </c>
      <c r="AB49" s="84" t="str">
        <f t="array" aca="1" ref="AB49" ca="1">IF(OR((AB$41&gt;=$AY$11:$AY$38)*(AB$4&lt;=$AZ$11:$AZ$38)&gt;0),$B49,"")</f>
        <v/>
      </c>
      <c r="AC49" s="84" t="str">
        <f t="array" aca="1" ref="AC49" ca="1">IF(OR((AC$41&gt;=$AY$11:$AY$38)*(AC$4&lt;=$AZ$11:$AZ$38)&gt;0),$B49,"")</f>
        <v/>
      </c>
      <c r="AD49" s="84" t="str">
        <f t="array" aca="1" ref="AD49" ca="1">IF(OR((AD$41&gt;=$AY$11:$AY$38)*(AD$4&lt;=$AZ$11:$AZ$38)&gt;0),$B49,"")</f>
        <v/>
      </c>
      <c r="AE49" s="84" t="str">
        <f t="array" aca="1" ref="AE49" ca="1">IF(OR((AE$41&gt;=$AY$11:$AY$38)*(AE$4&lt;=$AZ$11:$AZ$38)&gt;0),$B49,"")</f>
        <v/>
      </c>
      <c r="AF49" s="84" t="str">
        <f t="array" aca="1" ref="AF49" ca="1">IF(OR((AF$41&gt;=$AY$11:$AY$38)*(AF$4&lt;=$AZ$11:$AZ$38)&gt;0),$B49,"")</f>
        <v/>
      </c>
      <c r="AG49" s="84" t="str">
        <f t="array" aca="1" ref="AG49" ca="1">IF(OR((AG$41&gt;=$AY$11:$AY$38)*(AG$4&lt;=$AZ$11:$AZ$38)&gt;0),$B49,"")</f>
        <v/>
      </c>
      <c r="AH49" s="84" t="str">
        <f t="array" aca="1" ref="AH49" ca="1">IF(OR((AH$41&gt;=$AY$11:$AY$38)*(AH$4&lt;=$AZ$11:$AZ$38)&gt;0),$B49,"")</f>
        <v/>
      </c>
      <c r="AI49" s="84" t="str">
        <f t="array" aca="1" ref="AI49" ca="1">IF(OR((AI$41&gt;=$AY$11:$AY$38)*(AI$4&lt;=$AZ$11:$AZ$38)&gt;0),$B49,"")</f>
        <v/>
      </c>
      <c r="AJ49" s="85"/>
    </row>
    <row r="50" spans="1:71">
      <c r="A50" s="75" t="s">
        <v>195</v>
      </c>
      <c r="B50" s="16">
        <v>1</v>
      </c>
      <c r="C50" s="84" t="str">
        <f t="array" aca="1" ref="C50" ca="1">IF(OR((C$41&gt;=$AY$11:$AY$38)*(C$4&lt;=$AZ$11:$AZ$38)&gt;0),$B50,"")</f>
        <v/>
      </c>
      <c r="D50" s="84" t="str">
        <f t="array" aca="1" ref="D50" ca="1">IF(OR((D$41&gt;=$AY$11:$AY$38)*(D$4&lt;=$AZ$11:$AZ$38)&gt;0),$B50,"")</f>
        <v/>
      </c>
      <c r="E50" s="84" t="str">
        <f t="array" aca="1" ref="E50" ca="1">IF(OR((E$41&gt;=$AY$11:$AY$38)*(E$4&lt;=$AZ$11:$AZ$38)&gt;0),$B50,"")</f>
        <v/>
      </c>
      <c r="F50" s="84" t="str">
        <f t="array" aca="1" ref="F50" ca="1">IF(OR((F$41&gt;=$AY$11:$AY$38)*(F$4&lt;=$AZ$11:$AZ$38)&gt;0),$B50,"")</f>
        <v/>
      </c>
      <c r="G50" s="84" t="str">
        <f t="array" aca="1" ref="G50" ca="1">IF(OR((G$41&gt;=$AY$11:$AY$38)*(G$4&lt;=$AZ$11:$AZ$38)&gt;0),$B50,"")</f>
        <v/>
      </c>
      <c r="H50" s="84" t="str">
        <f t="array" aca="1" ref="H50" ca="1">IF(OR((H$41&gt;=$AY$11:$AY$38)*(H$4&lt;=$AZ$11:$AZ$38)&gt;0),$B50,"")</f>
        <v/>
      </c>
      <c r="I50" s="84" t="str">
        <f t="array" aca="1" ref="I50" ca="1">IF(OR((I$41&gt;=$AY$11:$AY$38)*(I$4&lt;=$AZ$11:$AZ$38)&gt;0),$B50,"")</f>
        <v/>
      </c>
      <c r="J50" s="84" t="str">
        <f t="array" aca="1" ref="J50" ca="1">IF(OR((J$41&gt;=$AY$11:$AY$38)*(J$4&lt;=$AZ$11:$AZ$38)&gt;0),$B50,"")</f>
        <v/>
      </c>
      <c r="K50" s="84" t="str">
        <f t="array" aca="1" ref="K50" ca="1">IF(OR((K$41&gt;=$AY$11:$AY$38)*(K$4&lt;=$AZ$11:$AZ$38)&gt;0),$B50,"")</f>
        <v/>
      </c>
      <c r="L50" s="84" t="str">
        <f t="array" aca="1" ref="L50" ca="1">IF(OR((L$41&gt;=$AY$11:$AY$38)*(L$4&lt;=$AZ$11:$AZ$38)&gt;0),$B50,"")</f>
        <v/>
      </c>
      <c r="M50" s="84" t="str">
        <f t="array" aca="1" ref="M50" ca="1">IF(OR((M$41&gt;=$AY$11:$AY$38)*(M$4&lt;=$AZ$11:$AZ$38)&gt;0),$B50,"")</f>
        <v/>
      </c>
      <c r="N50" s="84" t="str">
        <f t="array" aca="1" ref="N50" ca="1">IF(OR((N$41&gt;=$AY$11:$AY$38)*(N$4&lt;=$AZ$11:$AZ$38)&gt;0),$B50,"")</f>
        <v/>
      </c>
      <c r="O50" s="84" t="str">
        <f t="array" aca="1" ref="O50" ca="1">IF(OR((O$41&gt;=$AY$11:$AY$38)*(O$4&lt;=$AZ$11:$AZ$38)&gt;0),$B50,"")</f>
        <v/>
      </c>
      <c r="P50" s="84" t="str">
        <f t="array" aca="1" ref="P50" ca="1">IF(OR((P$41&gt;=$AY$11:$AY$38)*(P$4&lt;=$AZ$11:$AZ$38)&gt;0),$B50,"")</f>
        <v/>
      </c>
      <c r="Q50" s="84" t="str">
        <f t="array" aca="1" ref="Q50" ca="1">IF(OR((Q$41&gt;=$AY$11:$AY$38)*(Q$4&lt;=$AZ$11:$AZ$38)&gt;0),$B50,"")</f>
        <v/>
      </c>
      <c r="R50" s="84" t="str">
        <f t="array" aca="1" ref="R50" ca="1">IF(OR((R$41&gt;=$AY$11:$AY$38)*(R$4&lt;=$AZ$11:$AZ$38)&gt;0),$B50,"")</f>
        <v/>
      </c>
      <c r="S50" s="84" t="str">
        <f t="array" aca="1" ref="S50" ca="1">IF(OR((S$41&gt;=$AY$11:$AY$38)*(S$4&lt;=$AZ$11:$AZ$38)&gt;0),$B50,"")</f>
        <v/>
      </c>
      <c r="T50" s="84" t="str">
        <f t="array" aca="1" ref="T50" ca="1">IF(OR((T$41&gt;=$AY$11:$AY$38)*(T$4&lt;=$AZ$11:$AZ$38)&gt;0),$B50,"")</f>
        <v/>
      </c>
      <c r="U50" s="84" t="str">
        <f t="array" aca="1" ref="U50" ca="1">IF(OR((U$41&gt;=$AY$11:$AY$38)*(U$4&lt;=$AZ$11:$AZ$38)&gt;0),$B50,"")</f>
        <v/>
      </c>
      <c r="V50" s="84" t="str">
        <f t="array" aca="1" ref="V50" ca="1">IF(OR((V$41&gt;=$AY$11:$AY$38)*(V$4&lt;=$AZ$11:$AZ$38)&gt;0),$B50,"")</f>
        <v/>
      </c>
      <c r="W50" s="84" t="str">
        <f t="array" aca="1" ref="W50" ca="1">IF(OR((W$41&gt;=$AY$11:$AY$38)*(W$4&lt;=$AZ$11:$AZ$38)&gt;0),$B50,"")</f>
        <v/>
      </c>
      <c r="X50" s="84" t="str">
        <f t="array" aca="1" ref="X50" ca="1">IF(OR((X$41&gt;=$AY$11:$AY$38)*(X$4&lt;=$AZ$11:$AZ$38)&gt;0),$B50,"")</f>
        <v/>
      </c>
      <c r="Y50" s="84" t="str">
        <f t="array" aca="1" ref="Y50" ca="1">IF(OR((Y$41&gt;=$AY$11:$AY$38)*(Y$4&lt;=$AZ$11:$AZ$38)&gt;0),$B50,"")</f>
        <v/>
      </c>
      <c r="Z50" s="84" t="str">
        <f t="array" aca="1" ref="Z50" ca="1">IF(OR((Z$41&gt;=$AY$11:$AY$38)*(Z$4&lt;=$AZ$11:$AZ$38)&gt;0),$B50,"")</f>
        <v/>
      </c>
      <c r="AA50" s="84" t="str">
        <f t="array" aca="1" ref="AA50" ca="1">IF(OR((AA$41&gt;=$AY$11:$AY$38)*(AA$4&lt;=$AZ$11:$AZ$38)&gt;0),$B50,"")</f>
        <v/>
      </c>
      <c r="AB50" s="84" t="str">
        <f t="array" aca="1" ref="AB50" ca="1">IF(OR((AB$41&gt;=$AY$11:$AY$38)*(AB$4&lt;=$AZ$11:$AZ$38)&gt;0),$B50,"")</f>
        <v/>
      </c>
      <c r="AC50" s="84" t="str">
        <f t="array" aca="1" ref="AC50" ca="1">IF(OR((AC$41&gt;=$AY$11:$AY$38)*(AC$4&lt;=$AZ$11:$AZ$38)&gt;0),$B50,"")</f>
        <v/>
      </c>
      <c r="AD50" s="84" t="str">
        <f t="array" aca="1" ref="AD50" ca="1">IF(OR((AD$41&gt;=$AY$11:$AY$38)*(AD$4&lt;=$AZ$11:$AZ$38)&gt;0),$B50,"")</f>
        <v/>
      </c>
      <c r="AE50" s="84" t="str">
        <f t="array" aca="1" ref="AE50" ca="1">IF(OR((AE$41&gt;=$AY$11:$AY$38)*(AE$4&lt;=$AZ$11:$AZ$38)&gt;0),$B50,"")</f>
        <v/>
      </c>
      <c r="AF50" s="84" t="str">
        <f t="array" aca="1" ref="AF50" ca="1">IF(OR((AF$41&gt;=$AY$11:$AY$38)*(AF$4&lt;=$AZ$11:$AZ$38)&gt;0),$B50,"")</f>
        <v/>
      </c>
      <c r="AG50" s="84" t="str">
        <f t="array" aca="1" ref="AG50" ca="1">IF(OR((AG$41&gt;=$AY$11:$AY$38)*(AG$4&lt;=$AZ$11:$AZ$38)&gt;0),$B50,"")</f>
        <v/>
      </c>
      <c r="AH50" s="84" t="str">
        <f t="array" aca="1" ref="AH50" ca="1">IF(OR((AH$41&gt;=$AY$11:$AY$38)*(AH$4&lt;=$AZ$11:$AZ$38)&gt;0),$B50,"")</f>
        <v/>
      </c>
      <c r="AI50" s="84" t="str">
        <f t="array" aca="1" ref="AI50" ca="1">IF(OR((AI$41&gt;=$AY$11:$AY$38)*(AI$4&lt;=$AZ$11:$AZ$38)&gt;0),$B50,"")</f>
        <v/>
      </c>
      <c r="AJ50" s="85"/>
    </row>
    <row r="51" spans="1:71">
      <c r="A51" s="75" t="s">
        <v>196</v>
      </c>
      <c r="B51" s="16">
        <v>1</v>
      </c>
      <c r="C51" s="84" t="str">
        <f t="array" aca="1" ref="C51" ca="1">IF(OR((C$41&gt;=$AY$11:$AY$38)*(C$4&lt;=$AZ$11:$AZ$38)&gt;0),$B51,"")</f>
        <v/>
      </c>
      <c r="D51" s="84" t="str">
        <f t="array" aca="1" ref="D51" ca="1">IF(OR((D$41&gt;=$AY$11:$AY$38)*(D$4&lt;=$AZ$11:$AZ$38)&gt;0),$B51,"")</f>
        <v/>
      </c>
      <c r="E51" s="84" t="str">
        <f t="array" aca="1" ref="E51" ca="1">IF(OR((E$41&gt;=$AY$11:$AY$38)*(E$4&lt;=$AZ$11:$AZ$38)&gt;0),$B51,"")</f>
        <v/>
      </c>
      <c r="F51" s="84" t="str">
        <f t="array" aca="1" ref="F51" ca="1">IF(OR((F$41&gt;=$AY$11:$AY$38)*(F$4&lt;=$AZ$11:$AZ$38)&gt;0),$B51,"")</f>
        <v/>
      </c>
      <c r="G51" s="84" t="str">
        <f t="array" aca="1" ref="G51" ca="1">IF(OR((G$41&gt;=$AY$11:$AY$38)*(G$4&lt;=$AZ$11:$AZ$38)&gt;0),$B51,"")</f>
        <v/>
      </c>
      <c r="H51" s="84" t="str">
        <f t="array" aca="1" ref="H51" ca="1">IF(OR((H$41&gt;=$AY$11:$AY$38)*(H$4&lt;=$AZ$11:$AZ$38)&gt;0),$B51,"")</f>
        <v/>
      </c>
      <c r="I51" s="84" t="str">
        <f t="array" aca="1" ref="I51" ca="1">IF(OR((I$41&gt;=$AY$11:$AY$38)*(I$4&lt;=$AZ$11:$AZ$38)&gt;0),$B51,"")</f>
        <v/>
      </c>
      <c r="J51" s="84" t="str">
        <f t="array" aca="1" ref="J51" ca="1">IF(OR((J$41&gt;=$AY$11:$AY$38)*(J$4&lt;=$AZ$11:$AZ$38)&gt;0),$B51,"")</f>
        <v/>
      </c>
      <c r="K51" s="84" t="str">
        <f t="array" aca="1" ref="K51" ca="1">IF(OR((K$41&gt;=$AY$11:$AY$38)*(K$4&lt;=$AZ$11:$AZ$38)&gt;0),$B51,"")</f>
        <v/>
      </c>
      <c r="L51" s="84" t="str">
        <f t="array" aca="1" ref="L51" ca="1">IF(OR((L$41&gt;=$AY$11:$AY$38)*(L$4&lt;=$AZ$11:$AZ$38)&gt;0),$B51,"")</f>
        <v/>
      </c>
      <c r="M51" s="84" t="str">
        <f t="array" aca="1" ref="M51" ca="1">IF(OR((M$41&gt;=$AY$11:$AY$38)*(M$4&lt;=$AZ$11:$AZ$38)&gt;0),$B51,"")</f>
        <v/>
      </c>
      <c r="N51" s="84" t="str">
        <f t="array" aca="1" ref="N51" ca="1">IF(OR((N$41&gt;=$AY$11:$AY$38)*(N$4&lt;=$AZ$11:$AZ$38)&gt;0),$B51,"")</f>
        <v/>
      </c>
      <c r="O51" s="84" t="str">
        <f t="array" aca="1" ref="O51" ca="1">IF(OR((O$41&gt;=$AY$11:$AY$38)*(O$4&lt;=$AZ$11:$AZ$38)&gt;0),$B51,"")</f>
        <v/>
      </c>
      <c r="P51" s="84" t="str">
        <f t="array" aca="1" ref="P51" ca="1">IF(OR((P$41&gt;=$AY$11:$AY$38)*(P$4&lt;=$AZ$11:$AZ$38)&gt;0),$B51,"")</f>
        <v/>
      </c>
      <c r="Q51" s="84" t="str">
        <f t="array" aca="1" ref="Q51" ca="1">IF(OR((Q$41&gt;=$AY$11:$AY$38)*(Q$4&lt;=$AZ$11:$AZ$38)&gt;0),$B51,"")</f>
        <v/>
      </c>
      <c r="R51" s="84" t="str">
        <f t="array" aca="1" ref="R51" ca="1">IF(OR((R$41&gt;=$AY$11:$AY$38)*(R$4&lt;=$AZ$11:$AZ$38)&gt;0),$B51,"")</f>
        <v/>
      </c>
      <c r="S51" s="84" t="str">
        <f t="array" aca="1" ref="S51" ca="1">IF(OR((S$41&gt;=$AY$11:$AY$38)*(S$4&lt;=$AZ$11:$AZ$38)&gt;0),$B51,"")</f>
        <v/>
      </c>
      <c r="T51" s="84" t="str">
        <f t="array" aca="1" ref="T51" ca="1">IF(OR((T$41&gt;=$AY$11:$AY$38)*(T$4&lt;=$AZ$11:$AZ$38)&gt;0),$B51,"")</f>
        <v/>
      </c>
      <c r="U51" s="84" t="str">
        <f t="array" aca="1" ref="U51" ca="1">IF(OR((U$41&gt;=$AY$11:$AY$38)*(U$4&lt;=$AZ$11:$AZ$38)&gt;0),$B51,"")</f>
        <v/>
      </c>
      <c r="V51" s="84" t="str">
        <f t="array" aca="1" ref="V51" ca="1">IF(OR((V$41&gt;=$AY$11:$AY$38)*(V$4&lt;=$AZ$11:$AZ$38)&gt;0),$B51,"")</f>
        <v/>
      </c>
      <c r="W51" s="84" t="str">
        <f t="array" aca="1" ref="W51" ca="1">IF(OR((W$41&gt;=$AY$11:$AY$38)*(W$4&lt;=$AZ$11:$AZ$38)&gt;0),$B51,"")</f>
        <v/>
      </c>
      <c r="X51" s="84" t="str">
        <f t="array" aca="1" ref="X51" ca="1">IF(OR((X$41&gt;=$AY$11:$AY$38)*(X$4&lt;=$AZ$11:$AZ$38)&gt;0),$B51,"")</f>
        <v/>
      </c>
      <c r="Y51" s="84" t="str">
        <f t="array" aca="1" ref="Y51" ca="1">IF(OR((Y$41&gt;=$AY$11:$AY$38)*(Y$4&lt;=$AZ$11:$AZ$38)&gt;0),$B51,"")</f>
        <v/>
      </c>
      <c r="Z51" s="84" t="str">
        <f t="array" aca="1" ref="Z51" ca="1">IF(OR((Z$41&gt;=$AY$11:$AY$38)*(Z$4&lt;=$AZ$11:$AZ$38)&gt;0),$B51,"")</f>
        <v/>
      </c>
      <c r="AA51" s="84" t="str">
        <f t="array" aca="1" ref="AA51" ca="1">IF(OR((AA$41&gt;=$AY$11:$AY$38)*(AA$4&lt;=$AZ$11:$AZ$38)&gt;0),$B51,"")</f>
        <v/>
      </c>
      <c r="AB51" s="84" t="str">
        <f t="array" aca="1" ref="AB51" ca="1">IF(OR((AB$41&gt;=$AY$11:$AY$38)*(AB$4&lt;=$AZ$11:$AZ$38)&gt;0),$B51,"")</f>
        <v/>
      </c>
      <c r="AC51" s="84" t="str">
        <f t="array" aca="1" ref="AC51" ca="1">IF(OR((AC$41&gt;=$AY$11:$AY$38)*(AC$4&lt;=$AZ$11:$AZ$38)&gt;0),$B51,"")</f>
        <v/>
      </c>
      <c r="AD51" s="84" t="str">
        <f t="array" aca="1" ref="AD51" ca="1">IF(OR((AD$41&gt;=$AY$11:$AY$38)*(AD$4&lt;=$AZ$11:$AZ$38)&gt;0),$B51,"")</f>
        <v/>
      </c>
      <c r="AE51" s="84" t="str">
        <f t="array" aca="1" ref="AE51" ca="1">IF(OR((AE$41&gt;=$AY$11:$AY$38)*(AE$4&lt;=$AZ$11:$AZ$38)&gt;0),$B51,"")</f>
        <v/>
      </c>
      <c r="AF51" s="84" t="str">
        <f t="array" aca="1" ref="AF51" ca="1">IF(OR((AF$41&gt;=$AY$11:$AY$38)*(AF$4&lt;=$AZ$11:$AZ$38)&gt;0),$B51,"")</f>
        <v/>
      </c>
      <c r="AG51" s="84" t="str">
        <f t="array" aca="1" ref="AG51" ca="1">IF(OR((AG$41&gt;=$AY$11:$AY$38)*(AG$4&lt;=$AZ$11:$AZ$38)&gt;0),$B51,"")</f>
        <v/>
      </c>
      <c r="AH51" s="84" t="str">
        <f t="array" aca="1" ref="AH51" ca="1">IF(OR((AH$41&gt;=$AY$11:$AY$38)*(AH$4&lt;=$AZ$11:$AZ$38)&gt;0),$B51,"")</f>
        <v/>
      </c>
      <c r="AI51" s="84" t="str">
        <f t="array" aca="1" ref="AI51" ca="1">IF(OR((AI$41&gt;=$AY$11:$AY$38)*(AI$4&lt;=$AZ$11:$AZ$38)&gt;0),$B51,"")</f>
        <v/>
      </c>
      <c r="AJ51" s="85"/>
    </row>
    <row r="52" spans="1:71">
      <c r="A52" s="183" t="s">
        <v>197</v>
      </c>
      <c r="B52" s="184"/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4"/>
      <c r="AE52" s="184"/>
      <c r="AF52" s="184"/>
      <c r="AG52" s="184"/>
      <c r="AH52" s="184"/>
      <c r="AI52" s="185"/>
      <c r="AJ52" s="85"/>
    </row>
    <row r="53" spans="1:71">
      <c r="A53" s="75" t="s">
        <v>198</v>
      </c>
      <c r="B53" s="16">
        <v>8</v>
      </c>
      <c r="C53" s="84" t="str">
        <f t="array" aca="1" ref="C53" ca="1">IF(OR((C$41&gt;=$AY$11:$AY$38)*(C$4&lt;=$AZ$11:$AZ$38)&gt;0),$B53,"")</f>
        <v/>
      </c>
      <c r="D53" s="84" t="str">
        <f t="array" aca="1" ref="D53" ca="1">IF(OR((D$41&gt;=$AY$11:$AY$38)*(D$4&lt;=$AZ$11:$AZ$38)&gt;0),$B53,"")</f>
        <v/>
      </c>
      <c r="E53" s="84" t="str">
        <f t="array" aca="1" ref="E53" ca="1">IF(OR((E$41&gt;=$AY$11:$AY$38)*(E$4&lt;=$AZ$11:$AZ$38)&gt;0),$B53,"")</f>
        <v/>
      </c>
      <c r="F53" s="84" t="str">
        <f t="array" aca="1" ref="F53" ca="1">IF(OR((F$41&gt;=$AY$11:$AY$38)*(F$4&lt;=$AZ$11:$AZ$38)&gt;0),$B53,"")</f>
        <v/>
      </c>
      <c r="G53" s="84" t="str">
        <f t="array" aca="1" ref="G53" ca="1">IF(OR((G$41&gt;=$AY$11:$AY$38)*(G$4&lt;=$AZ$11:$AZ$38)&gt;0),$B53,"")</f>
        <v/>
      </c>
      <c r="H53" s="84" t="str">
        <f t="array" aca="1" ref="H53" ca="1">IF(OR((H$41&gt;=$AY$11:$AY$38)*(H$4&lt;=$AZ$11:$AZ$38)&gt;0),$B53,"")</f>
        <v/>
      </c>
      <c r="I53" s="84" t="str">
        <f t="array" aca="1" ref="I53" ca="1">IF(OR((I$41&gt;=$AY$11:$AY$38)*(I$4&lt;=$AZ$11:$AZ$38)&gt;0),$B53,"")</f>
        <v/>
      </c>
      <c r="J53" s="84" t="str">
        <f t="array" aca="1" ref="J53" ca="1">IF(OR((J$41&gt;=$AY$11:$AY$38)*(J$4&lt;=$AZ$11:$AZ$38)&gt;0),$B53,"")</f>
        <v/>
      </c>
      <c r="K53" s="84" t="str">
        <f t="array" aca="1" ref="K53" ca="1">IF(OR((K$41&gt;=$AY$11:$AY$38)*(K$4&lt;=$AZ$11:$AZ$38)&gt;0),$B53,"")</f>
        <v/>
      </c>
      <c r="L53" s="84" t="str">
        <f t="array" aca="1" ref="L53" ca="1">IF(OR((L$41&gt;=$AY$11:$AY$38)*(L$4&lt;=$AZ$11:$AZ$38)&gt;0),$B53,"")</f>
        <v/>
      </c>
      <c r="M53" s="84" t="str">
        <f t="array" aca="1" ref="M53" ca="1">IF(OR((M$41&gt;=$AY$11:$AY$38)*(M$4&lt;=$AZ$11:$AZ$38)&gt;0),$B53,"")</f>
        <v/>
      </c>
      <c r="N53" s="84" t="str">
        <f t="array" aca="1" ref="N53" ca="1">IF(OR((N$41&gt;=$AY$11:$AY$38)*(N$4&lt;=$AZ$11:$AZ$38)&gt;0),$B53,"")</f>
        <v/>
      </c>
      <c r="O53" s="84" t="str">
        <f t="array" aca="1" ref="O53" ca="1">IF(OR((O$41&gt;=$AY$11:$AY$38)*(O$4&lt;=$AZ$11:$AZ$38)&gt;0),$B53,"")</f>
        <v/>
      </c>
      <c r="P53" s="84" t="str">
        <f t="array" aca="1" ref="P53" ca="1">IF(OR((P$41&gt;=$AY$11:$AY$38)*(P$4&lt;=$AZ$11:$AZ$38)&gt;0),$B53,"")</f>
        <v/>
      </c>
      <c r="Q53" s="84" t="str">
        <f t="array" aca="1" ref="Q53" ca="1">IF(OR((Q$41&gt;=$AY$11:$AY$38)*(Q$4&lt;=$AZ$11:$AZ$38)&gt;0),$B53,"")</f>
        <v/>
      </c>
      <c r="R53" s="84" t="str">
        <f t="array" aca="1" ref="R53" ca="1">IF(OR((R$41&gt;=$AY$11:$AY$38)*(R$4&lt;=$AZ$11:$AZ$38)&gt;0),$B53,"")</f>
        <v/>
      </c>
      <c r="S53" s="84" t="str">
        <f t="array" aca="1" ref="S53" ca="1">IF(OR((S$41&gt;=$AY$11:$AY$38)*(S$4&lt;=$AZ$11:$AZ$38)&gt;0),$B53,"")</f>
        <v/>
      </c>
      <c r="T53" s="84" t="str">
        <f t="array" aca="1" ref="T53" ca="1">IF(OR((T$41&gt;=$AY$11:$AY$38)*(T$4&lt;=$AZ$11:$AZ$38)&gt;0),$B53,"")</f>
        <v/>
      </c>
      <c r="U53" s="84" t="str">
        <f t="array" aca="1" ref="U53" ca="1">IF(OR((U$41&gt;=$AY$11:$AY$38)*(U$4&lt;=$AZ$11:$AZ$38)&gt;0),$B53,"")</f>
        <v/>
      </c>
      <c r="V53" s="84" t="str">
        <f t="array" aca="1" ref="V53" ca="1">IF(OR((V$41&gt;=$AY$11:$AY$38)*(V$4&lt;=$AZ$11:$AZ$38)&gt;0),$B53,"")</f>
        <v/>
      </c>
      <c r="W53" s="84" t="str">
        <f t="array" aca="1" ref="W53" ca="1">IF(OR((W$41&gt;=$AY$11:$AY$38)*(W$4&lt;=$AZ$11:$AZ$38)&gt;0),$B53,"")</f>
        <v/>
      </c>
      <c r="X53" s="84" t="str">
        <f t="array" aca="1" ref="X53" ca="1">IF(OR((X$41&gt;=$AY$11:$AY$38)*(X$4&lt;=$AZ$11:$AZ$38)&gt;0),$B53,"")</f>
        <v/>
      </c>
      <c r="Y53" s="84" t="str">
        <f t="array" aca="1" ref="Y53" ca="1">IF(OR((Y$41&gt;=$AY$11:$AY$38)*(Y$4&lt;=$AZ$11:$AZ$38)&gt;0),$B53,"")</f>
        <v/>
      </c>
      <c r="Z53" s="84" t="str">
        <f t="array" aca="1" ref="Z53" ca="1">IF(OR((Z$41&gt;=$AY$11:$AY$38)*(Z$4&lt;=$AZ$11:$AZ$38)&gt;0),$B53,"")</f>
        <v/>
      </c>
      <c r="AA53" s="84" t="str">
        <f t="array" aca="1" ref="AA53" ca="1">IF(OR((AA$41&gt;=$AY$11:$AY$38)*(AA$4&lt;=$AZ$11:$AZ$38)&gt;0),$B53,"")</f>
        <v/>
      </c>
      <c r="AB53" s="84" t="str">
        <f t="array" aca="1" ref="AB53" ca="1">IF(OR((AB$41&gt;=$AY$11:$AY$38)*(AB$4&lt;=$AZ$11:$AZ$38)&gt;0),$B53,"")</f>
        <v/>
      </c>
      <c r="AC53" s="84" t="str">
        <f t="array" aca="1" ref="AC53" ca="1">IF(OR((AC$41&gt;=$AY$11:$AY$38)*(AC$4&lt;=$AZ$11:$AZ$38)&gt;0),$B53,"")</f>
        <v/>
      </c>
      <c r="AD53" s="84" t="str">
        <f t="array" aca="1" ref="AD53" ca="1">IF(OR((AD$41&gt;=$AY$11:$AY$38)*(AD$4&lt;=$AZ$11:$AZ$38)&gt;0),$B53,"")</f>
        <v/>
      </c>
      <c r="AE53" s="84" t="str">
        <f t="array" aca="1" ref="AE53" ca="1">IF(OR((AE$41&gt;=$AY$11:$AY$38)*(AE$4&lt;=$AZ$11:$AZ$38)&gt;0),$B53,"")</f>
        <v/>
      </c>
      <c r="AF53" s="84" t="str">
        <f t="array" aca="1" ref="AF53" ca="1">IF(OR((AF$41&gt;=$AY$11:$AY$38)*(AF$4&lt;=$AZ$11:$AZ$38)&gt;0),$B53,"")</f>
        <v/>
      </c>
      <c r="AG53" s="84" t="str">
        <f t="array" aca="1" ref="AG53" ca="1">IF(OR((AG$41&gt;=$AY$11:$AY$38)*(AG$4&lt;=$AZ$11:$AZ$38)&gt;0),$B53,"")</f>
        <v/>
      </c>
      <c r="AH53" s="84" t="str">
        <f t="array" aca="1" ref="AH53" ca="1">IF(OR((AH$41&gt;=$AY$11:$AY$38)*(AH$4&lt;=$AZ$11:$AZ$38)&gt;0),$B53,"")</f>
        <v/>
      </c>
      <c r="AI53" s="84" t="str">
        <f t="array" aca="1" ref="AI53" ca="1">IF(OR((AI$41&gt;=$AY$11:$AY$38)*(AI$4&lt;=$AZ$11:$AZ$38)&gt;0),$B53,"")</f>
        <v/>
      </c>
      <c r="AJ53" s="85"/>
    </row>
    <row r="54" spans="1:71">
      <c r="A54" s="75" t="s">
        <v>199</v>
      </c>
      <c r="B54" s="16">
        <v>8</v>
      </c>
      <c r="C54" s="84" t="str">
        <f t="array" aca="1" ref="C54" ca="1">IF(OR((C$41&gt;=$AY$11:$AY$38)*(C$4&lt;=$AZ$11:$AZ$38)&gt;0),$B54,"")</f>
        <v/>
      </c>
      <c r="D54" s="84" t="str">
        <f t="array" aca="1" ref="D54" ca="1">IF(OR((D$41&gt;=$AY$11:$AY$38)*(D$4&lt;=$AZ$11:$AZ$38)&gt;0),$B54,"")</f>
        <v/>
      </c>
      <c r="E54" s="84" t="str">
        <f t="array" aca="1" ref="E54" ca="1">IF(OR((E$41&gt;=$AY$11:$AY$38)*(E$4&lt;=$AZ$11:$AZ$38)&gt;0),$B54,"")</f>
        <v/>
      </c>
      <c r="F54" s="84" t="str">
        <f t="array" aca="1" ref="F54" ca="1">IF(OR((F$41&gt;=$AY$11:$AY$38)*(F$4&lt;=$AZ$11:$AZ$38)&gt;0),$B54,"")</f>
        <v/>
      </c>
      <c r="G54" s="84" t="str">
        <f t="array" aca="1" ref="G54" ca="1">IF(OR((G$41&gt;=$AY$11:$AY$38)*(G$4&lt;=$AZ$11:$AZ$38)&gt;0),$B54,"")</f>
        <v/>
      </c>
      <c r="H54" s="84" t="str">
        <f t="array" aca="1" ref="H54" ca="1">IF(OR((H$41&gt;=$AY$11:$AY$38)*(H$4&lt;=$AZ$11:$AZ$38)&gt;0),$B54,"")</f>
        <v/>
      </c>
      <c r="I54" s="84" t="str">
        <f t="array" aca="1" ref="I54" ca="1">IF(OR((I$41&gt;=$AY$11:$AY$38)*(I$4&lt;=$AZ$11:$AZ$38)&gt;0),$B54,"")</f>
        <v/>
      </c>
      <c r="J54" s="84" t="str">
        <f t="array" aca="1" ref="J54" ca="1">IF(OR((J$41&gt;=$AY$11:$AY$38)*(J$4&lt;=$AZ$11:$AZ$38)&gt;0),$B54,"")</f>
        <v/>
      </c>
      <c r="K54" s="84" t="str">
        <f t="array" aca="1" ref="K54" ca="1">IF(OR((K$41&gt;=$AY$11:$AY$38)*(K$4&lt;=$AZ$11:$AZ$38)&gt;0),$B54,"")</f>
        <v/>
      </c>
      <c r="L54" s="84" t="str">
        <f t="array" aca="1" ref="L54" ca="1">IF(OR((L$41&gt;=$AY$11:$AY$38)*(L$4&lt;=$AZ$11:$AZ$38)&gt;0),$B54,"")</f>
        <v/>
      </c>
      <c r="M54" s="84" t="str">
        <f t="array" aca="1" ref="M54" ca="1">IF(OR((M$41&gt;=$AY$11:$AY$38)*(M$4&lt;=$AZ$11:$AZ$38)&gt;0),$B54,"")</f>
        <v/>
      </c>
      <c r="N54" s="84" t="str">
        <f t="array" aca="1" ref="N54" ca="1">IF(OR((N$41&gt;=$AY$11:$AY$38)*(N$4&lt;=$AZ$11:$AZ$38)&gt;0),$B54,"")</f>
        <v/>
      </c>
      <c r="O54" s="84" t="str">
        <f t="array" aca="1" ref="O54" ca="1">IF(OR((O$41&gt;=$AY$11:$AY$38)*(O$4&lt;=$AZ$11:$AZ$38)&gt;0),$B54,"")</f>
        <v/>
      </c>
      <c r="P54" s="84" t="str">
        <f t="array" aca="1" ref="P54" ca="1">IF(OR((P$41&gt;=$AY$11:$AY$38)*(P$4&lt;=$AZ$11:$AZ$38)&gt;0),$B54,"")</f>
        <v/>
      </c>
      <c r="Q54" s="84" t="str">
        <f t="array" aca="1" ref="Q54" ca="1">IF(OR((Q$41&gt;=$AY$11:$AY$38)*(Q$4&lt;=$AZ$11:$AZ$38)&gt;0),$B54,"")</f>
        <v/>
      </c>
      <c r="R54" s="84" t="str">
        <f t="array" aca="1" ref="R54" ca="1">IF(OR((R$41&gt;=$AY$11:$AY$38)*(R$4&lt;=$AZ$11:$AZ$38)&gt;0),$B54,"")</f>
        <v/>
      </c>
      <c r="S54" s="84" t="str">
        <f t="array" aca="1" ref="S54" ca="1">IF(OR((S$41&gt;=$AY$11:$AY$38)*(S$4&lt;=$AZ$11:$AZ$38)&gt;0),$B54,"")</f>
        <v/>
      </c>
      <c r="T54" s="84" t="str">
        <f t="array" aca="1" ref="T54" ca="1">IF(OR((T$41&gt;=$AY$11:$AY$38)*(T$4&lt;=$AZ$11:$AZ$38)&gt;0),$B54,"")</f>
        <v/>
      </c>
      <c r="U54" s="84" t="str">
        <f t="array" aca="1" ref="U54" ca="1">IF(OR((U$41&gt;=$AY$11:$AY$38)*(U$4&lt;=$AZ$11:$AZ$38)&gt;0),$B54,"")</f>
        <v/>
      </c>
      <c r="V54" s="84" t="str">
        <f t="array" aca="1" ref="V54" ca="1">IF(OR((V$41&gt;=$AY$11:$AY$38)*(V$4&lt;=$AZ$11:$AZ$38)&gt;0),$B54,"")</f>
        <v/>
      </c>
      <c r="W54" s="84" t="str">
        <f t="array" aca="1" ref="W54" ca="1">IF(OR((W$41&gt;=$AY$11:$AY$38)*(W$4&lt;=$AZ$11:$AZ$38)&gt;0),$B54,"")</f>
        <v/>
      </c>
      <c r="X54" s="84" t="str">
        <f t="array" aca="1" ref="X54" ca="1">IF(OR((X$41&gt;=$AY$11:$AY$38)*(X$4&lt;=$AZ$11:$AZ$38)&gt;0),$B54,"")</f>
        <v/>
      </c>
      <c r="Y54" s="84" t="str">
        <f t="array" aca="1" ref="Y54" ca="1">IF(OR((Y$41&gt;=$AY$11:$AY$38)*(Y$4&lt;=$AZ$11:$AZ$38)&gt;0),$B54,"")</f>
        <v/>
      </c>
      <c r="Z54" s="84" t="str">
        <f t="array" aca="1" ref="Z54" ca="1">IF(OR((Z$41&gt;=$AY$11:$AY$38)*(Z$4&lt;=$AZ$11:$AZ$38)&gt;0),$B54,"")</f>
        <v/>
      </c>
      <c r="AA54" s="84" t="str">
        <f t="array" aca="1" ref="AA54" ca="1">IF(OR((AA$41&gt;=$AY$11:$AY$38)*(AA$4&lt;=$AZ$11:$AZ$38)&gt;0),$B54,"")</f>
        <v/>
      </c>
      <c r="AB54" s="84" t="str">
        <f t="array" aca="1" ref="AB54" ca="1">IF(OR((AB$41&gt;=$AY$11:$AY$38)*(AB$4&lt;=$AZ$11:$AZ$38)&gt;0),$B54,"")</f>
        <v/>
      </c>
      <c r="AC54" s="84" t="str">
        <f t="array" aca="1" ref="AC54" ca="1">IF(OR((AC$41&gt;=$AY$11:$AY$38)*(AC$4&lt;=$AZ$11:$AZ$38)&gt;0),$B54,"")</f>
        <v/>
      </c>
      <c r="AD54" s="84" t="str">
        <f t="array" aca="1" ref="AD54" ca="1">IF(OR((AD$41&gt;=$AY$11:$AY$38)*(AD$4&lt;=$AZ$11:$AZ$38)&gt;0),$B54,"")</f>
        <v/>
      </c>
      <c r="AE54" s="84" t="str">
        <f t="array" aca="1" ref="AE54" ca="1">IF(OR((AE$41&gt;=$AY$11:$AY$38)*(AE$4&lt;=$AZ$11:$AZ$38)&gt;0),$B54,"")</f>
        <v/>
      </c>
      <c r="AF54" s="84" t="str">
        <f t="array" aca="1" ref="AF54" ca="1">IF(OR((AF$41&gt;=$AY$11:$AY$38)*(AF$4&lt;=$AZ$11:$AZ$38)&gt;0),$B54,"")</f>
        <v/>
      </c>
      <c r="AG54" s="84" t="str">
        <f t="array" aca="1" ref="AG54" ca="1">IF(OR((AG$41&gt;=$AY$11:$AY$38)*(AG$4&lt;=$AZ$11:$AZ$38)&gt;0),$B54,"")</f>
        <v/>
      </c>
      <c r="AH54" s="84" t="str">
        <f t="array" aca="1" ref="AH54" ca="1">IF(OR((AH$41&gt;=$AY$11:$AY$38)*(AH$4&lt;=$AZ$11:$AZ$38)&gt;0),$B54,"")</f>
        <v/>
      </c>
      <c r="AI54" s="84" t="str">
        <f t="array" aca="1" ref="AI54" ca="1">IF(OR((AI$41&gt;=$AY$11:$AY$38)*(AI$4&lt;=$AZ$11:$AZ$38)&gt;0),$B54,"")</f>
        <v/>
      </c>
      <c r="AJ54" s="85"/>
    </row>
    <row r="55" spans="1:71">
      <c r="A55" s="75" t="s">
        <v>200</v>
      </c>
      <c r="B55" s="16">
        <v>8</v>
      </c>
      <c r="C55" s="84" t="str">
        <f t="array" aca="1" ref="C55" ca="1">IF(OR((C$41&gt;=$AY$11:$AY$38)*(C$4&lt;=$AZ$11:$AZ$38)&gt;0),$B55,"")</f>
        <v/>
      </c>
      <c r="D55" s="84" t="str">
        <f t="array" aca="1" ref="D55" ca="1">IF(OR((D$41&gt;=$AY$11:$AY$38)*(D$4&lt;=$AZ$11:$AZ$38)&gt;0),$B55,"")</f>
        <v/>
      </c>
      <c r="E55" s="84" t="str">
        <f t="array" aca="1" ref="E55" ca="1">IF(OR((E$41&gt;=$AY$11:$AY$38)*(E$4&lt;=$AZ$11:$AZ$38)&gt;0),$B55,"")</f>
        <v/>
      </c>
      <c r="F55" s="84" t="str">
        <f t="array" aca="1" ref="F55" ca="1">IF(OR((F$41&gt;=$AY$11:$AY$38)*(F$4&lt;=$AZ$11:$AZ$38)&gt;0),$B55,"")</f>
        <v/>
      </c>
      <c r="G55" s="84" t="str">
        <f t="array" aca="1" ref="G55" ca="1">IF(OR((G$41&gt;=$AY$11:$AY$38)*(G$4&lt;=$AZ$11:$AZ$38)&gt;0),$B55,"")</f>
        <v/>
      </c>
      <c r="H55" s="84" t="str">
        <f t="array" aca="1" ref="H55" ca="1">IF(OR((H$41&gt;=$AY$11:$AY$38)*(H$4&lt;=$AZ$11:$AZ$38)&gt;0),$B55,"")</f>
        <v/>
      </c>
      <c r="I55" s="84" t="str">
        <f t="array" aca="1" ref="I55" ca="1">IF(OR((I$41&gt;=$AY$11:$AY$38)*(I$4&lt;=$AZ$11:$AZ$38)&gt;0),$B55,"")</f>
        <v/>
      </c>
      <c r="J55" s="84" t="str">
        <f t="array" aca="1" ref="J55" ca="1">IF(OR((J$41&gt;=$AY$11:$AY$38)*(J$4&lt;=$AZ$11:$AZ$38)&gt;0),$B55,"")</f>
        <v/>
      </c>
      <c r="K55" s="84" t="str">
        <f t="array" aca="1" ref="K55" ca="1">IF(OR((K$41&gt;=$AY$11:$AY$38)*(K$4&lt;=$AZ$11:$AZ$38)&gt;0),$B55,"")</f>
        <v/>
      </c>
      <c r="L55" s="84" t="str">
        <f t="array" aca="1" ref="L55" ca="1">IF(OR((L$41&gt;=$AY$11:$AY$38)*(L$4&lt;=$AZ$11:$AZ$38)&gt;0),$B55,"")</f>
        <v/>
      </c>
      <c r="M55" s="84" t="str">
        <f t="array" aca="1" ref="M55" ca="1">IF(OR((M$41&gt;=$AY$11:$AY$38)*(M$4&lt;=$AZ$11:$AZ$38)&gt;0),$B55,"")</f>
        <v/>
      </c>
      <c r="N55" s="84" t="str">
        <f t="array" aca="1" ref="N55" ca="1">IF(OR((N$41&gt;=$AY$11:$AY$38)*(N$4&lt;=$AZ$11:$AZ$38)&gt;0),$B55,"")</f>
        <v/>
      </c>
      <c r="O55" s="84" t="str">
        <f t="array" aca="1" ref="O55" ca="1">IF(OR((O$41&gt;=$AY$11:$AY$38)*(O$4&lt;=$AZ$11:$AZ$38)&gt;0),$B55,"")</f>
        <v/>
      </c>
      <c r="P55" s="84" t="str">
        <f t="array" aca="1" ref="P55" ca="1">IF(OR((P$41&gt;=$AY$11:$AY$38)*(P$4&lt;=$AZ$11:$AZ$38)&gt;0),$B55,"")</f>
        <v/>
      </c>
      <c r="Q55" s="84" t="str">
        <f t="array" aca="1" ref="Q55" ca="1">IF(OR((Q$41&gt;=$AY$11:$AY$38)*(Q$4&lt;=$AZ$11:$AZ$38)&gt;0),$B55,"")</f>
        <v/>
      </c>
      <c r="R55" s="84" t="str">
        <f t="array" aca="1" ref="R55" ca="1">IF(OR((R$41&gt;=$AY$11:$AY$38)*(R$4&lt;=$AZ$11:$AZ$38)&gt;0),$B55,"")</f>
        <v/>
      </c>
      <c r="S55" s="84" t="str">
        <f t="array" aca="1" ref="S55" ca="1">IF(OR((S$41&gt;=$AY$11:$AY$38)*(S$4&lt;=$AZ$11:$AZ$38)&gt;0),$B55,"")</f>
        <v/>
      </c>
      <c r="T55" s="84" t="str">
        <f t="array" aca="1" ref="T55" ca="1">IF(OR((T$41&gt;=$AY$11:$AY$38)*(T$4&lt;=$AZ$11:$AZ$38)&gt;0),$B55,"")</f>
        <v/>
      </c>
      <c r="U55" s="84" t="str">
        <f t="array" aca="1" ref="U55" ca="1">IF(OR((U$41&gt;=$AY$11:$AY$38)*(U$4&lt;=$AZ$11:$AZ$38)&gt;0),$B55,"")</f>
        <v/>
      </c>
      <c r="V55" s="84" t="str">
        <f t="array" aca="1" ref="V55" ca="1">IF(OR((V$41&gt;=$AY$11:$AY$38)*(V$4&lt;=$AZ$11:$AZ$38)&gt;0),$B55,"")</f>
        <v/>
      </c>
      <c r="W55" s="84" t="str">
        <f t="array" aca="1" ref="W55" ca="1">IF(OR((W$41&gt;=$AY$11:$AY$38)*(W$4&lt;=$AZ$11:$AZ$38)&gt;0),$B55,"")</f>
        <v/>
      </c>
      <c r="X55" s="84" t="str">
        <f t="array" aca="1" ref="X55" ca="1">IF(OR((X$41&gt;=$AY$11:$AY$38)*(X$4&lt;=$AZ$11:$AZ$38)&gt;0),$B55,"")</f>
        <v/>
      </c>
      <c r="Y55" s="84" t="str">
        <f t="array" aca="1" ref="Y55" ca="1">IF(OR((Y$41&gt;=$AY$11:$AY$38)*(Y$4&lt;=$AZ$11:$AZ$38)&gt;0),$B55,"")</f>
        <v/>
      </c>
      <c r="Z55" s="84" t="str">
        <f t="array" aca="1" ref="Z55" ca="1">IF(OR((Z$41&gt;=$AY$11:$AY$38)*(Z$4&lt;=$AZ$11:$AZ$38)&gt;0),$B55,"")</f>
        <v/>
      </c>
      <c r="AA55" s="84" t="str">
        <f t="array" aca="1" ref="AA55" ca="1">IF(OR((AA$41&gt;=$AY$11:$AY$38)*(AA$4&lt;=$AZ$11:$AZ$38)&gt;0),$B55,"")</f>
        <v/>
      </c>
      <c r="AB55" s="84" t="str">
        <f t="array" aca="1" ref="AB55" ca="1">IF(OR((AB$41&gt;=$AY$11:$AY$38)*(AB$4&lt;=$AZ$11:$AZ$38)&gt;0),$B55,"")</f>
        <v/>
      </c>
      <c r="AC55" s="84" t="str">
        <f t="array" aca="1" ref="AC55" ca="1">IF(OR((AC$41&gt;=$AY$11:$AY$38)*(AC$4&lt;=$AZ$11:$AZ$38)&gt;0),$B55,"")</f>
        <v/>
      </c>
      <c r="AD55" s="84" t="str">
        <f t="array" aca="1" ref="AD55" ca="1">IF(OR((AD$41&gt;=$AY$11:$AY$38)*(AD$4&lt;=$AZ$11:$AZ$38)&gt;0),$B55,"")</f>
        <v/>
      </c>
      <c r="AE55" s="84" t="str">
        <f t="array" aca="1" ref="AE55" ca="1">IF(OR((AE$41&gt;=$AY$11:$AY$38)*(AE$4&lt;=$AZ$11:$AZ$38)&gt;0),$B55,"")</f>
        <v/>
      </c>
      <c r="AF55" s="84" t="str">
        <f t="array" aca="1" ref="AF55" ca="1">IF(OR((AF$41&gt;=$AY$11:$AY$38)*(AF$4&lt;=$AZ$11:$AZ$38)&gt;0),$B55,"")</f>
        <v/>
      </c>
      <c r="AG55" s="84" t="str">
        <f t="array" aca="1" ref="AG55" ca="1">IF(OR((AG$41&gt;=$AY$11:$AY$38)*(AG$4&lt;=$AZ$11:$AZ$38)&gt;0),$B55,"")</f>
        <v/>
      </c>
      <c r="AH55" s="84" t="str">
        <f t="array" aca="1" ref="AH55" ca="1">IF(OR((AH$41&gt;=$AY$11:$AY$38)*(AH$4&lt;=$AZ$11:$AZ$38)&gt;0),$B55,"")</f>
        <v/>
      </c>
      <c r="AI55" s="84" t="str">
        <f t="array" aca="1" ref="AI55" ca="1">IF(OR((AI$41&gt;=$AY$11:$AY$38)*(AI$4&lt;=$AZ$11:$AZ$38)&gt;0),$B55,"")</f>
        <v/>
      </c>
      <c r="AJ55" s="85"/>
    </row>
    <row r="56" spans="1:71">
      <c r="A56" s="183" t="s">
        <v>201</v>
      </c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4"/>
      <c r="AD56" s="184"/>
      <c r="AE56" s="184"/>
      <c r="AF56" s="184"/>
      <c r="AG56" s="184"/>
      <c r="AH56" s="184"/>
      <c r="AI56" s="185"/>
      <c r="AJ56" s="85"/>
    </row>
    <row r="57" spans="1:71">
      <c r="A57" s="75" t="s">
        <v>202</v>
      </c>
      <c r="B57" s="16">
        <v>1188</v>
      </c>
      <c r="C57" s="84" t="str">
        <f t="array" aca="1" ref="C57" ca="1">IF(OR((C$41&gt;=$AY$11:$AY$38)*(C$4&lt;=$AZ$11:$AZ$38)&gt;0),$B57,"")</f>
        <v/>
      </c>
      <c r="D57" s="84" t="str">
        <f t="array" aca="1" ref="D57" ca="1">IF(OR((D$41&gt;=$AY$11:$AY$38)*(D$4&lt;=$AZ$11:$AZ$38)&gt;0),$B57,"")</f>
        <v/>
      </c>
      <c r="E57" s="84" t="str">
        <f t="array" aca="1" ref="E57" ca="1">IF(OR((E$41&gt;=$AY$11:$AY$38)*(E$4&lt;=$AZ$11:$AZ$38)&gt;0),$B57,"")</f>
        <v/>
      </c>
      <c r="F57" s="84" t="str">
        <f t="array" aca="1" ref="F57" ca="1">IF(OR((F$41&gt;=$AY$11:$AY$38)*(F$4&lt;=$AZ$11:$AZ$38)&gt;0),$B57,"")</f>
        <v/>
      </c>
      <c r="G57" s="84" t="str">
        <f t="array" aca="1" ref="G57" ca="1">IF(OR((G$41&gt;=$AY$11:$AY$38)*(G$4&lt;=$AZ$11:$AZ$38)&gt;0),$B57,"")</f>
        <v/>
      </c>
      <c r="H57" s="84" t="str">
        <f t="array" aca="1" ref="H57" ca="1">IF(OR((H$41&gt;=$AY$11:$AY$38)*(H$4&lt;=$AZ$11:$AZ$38)&gt;0),$B57,"")</f>
        <v/>
      </c>
      <c r="I57" s="84" t="str">
        <f t="array" aca="1" ref="I57" ca="1">IF(OR((I$41&gt;=$AY$11:$AY$38)*(I$4&lt;=$AZ$11:$AZ$38)&gt;0),$B57,"")</f>
        <v/>
      </c>
      <c r="J57" s="84" t="str">
        <f t="array" aca="1" ref="J57" ca="1">IF(OR((J$41&gt;=$AY$11:$AY$38)*(J$4&lt;=$AZ$11:$AZ$38)&gt;0),$B57,"")</f>
        <v/>
      </c>
      <c r="K57" s="84" t="str">
        <f t="array" aca="1" ref="K57" ca="1">IF(OR((K$41&gt;=$AY$11:$AY$38)*(K$4&lt;=$AZ$11:$AZ$38)&gt;0),$B57,"")</f>
        <v/>
      </c>
      <c r="L57" s="84" t="str">
        <f t="array" aca="1" ref="L57" ca="1">IF(OR((L$41&gt;=$AY$11:$AY$38)*(L$4&lt;=$AZ$11:$AZ$38)&gt;0),$B57,"")</f>
        <v/>
      </c>
      <c r="M57" s="84" t="str">
        <f t="array" aca="1" ref="M57" ca="1">IF(OR((M$41&gt;=$AY$11:$AY$38)*(M$4&lt;=$AZ$11:$AZ$38)&gt;0),$B57,"")</f>
        <v/>
      </c>
      <c r="N57" s="84" t="str">
        <f t="array" aca="1" ref="N57" ca="1">IF(OR((N$41&gt;=$AY$11:$AY$38)*(N$4&lt;=$AZ$11:$AZ$38)&gt;0),$B57,"")</f>
        <v/>
      </c>
      <c r="O57" s="84" t="str">
        <f t="array" aca="1" ref="O57" ca="1">IF(OR((O$41&gt;=$AY$11:$AY$38)*(O$4&lt;=$AZ$11:$AZ$38)&gt;0),$B57,"")</f>
        <v/>
      </c>
      <c r="P57" s="84" t="str">
        <f t="array" aca="1" ref="P57" ca="1">IF(OR((P$41&gt;=$AY$11:$AY$38)*(P$4&lt;=$AZ$11:$AZ$38)&gt;0),$B57,"")</f>
        <v/>
      </c>
      <c r="Q57" s="84" t="str">
        <f t="array" aca="1" ref="Q57" ca="1">IF(OR((Q$41&gt;=$AY$11:$AY$38)*(Q$4&lt;=$AZ$11:$AZ$38)&gt;0),$B57,"")</f>
        <v/>
      </c>
      <c r="R57" s="84" t="str">
        <f t="array" aca="1" ref="R57" ca="1">IF(OR((R$41&gt;=$AY$11:$AY$38)*(R$4&lt;=$AZ$11:$AZ$38)&gt;0),$B57,"")</f>
        <v/>
      </c>
      <c r="S57" s="84" t="str">
        <f t="array" aca="1" ref="S57" ca="1">IF(OR((S$41&gt;=$AY$11:$AY$38)*(S$4&lt;=$AZ$11:$AZ$38)&gt;0),$B57,"")</f>
        <v/>
      </c>
      <c r="T57" s="84" t="str">
        <f t="array" aca="1" ref="T57" ca="1">IF(OR((T$41&gt;=$AY$11:$AY$38)*(T$4&lt;=$AZ$11:$AZ$38)&gt;0),$B57,"")</f>
        <v/>
      </c>
      <c r="U57" s="84" t="str">
        <f t="array" aca="1" ref="U57" ca="1">IF(OR((U$41&gt;=$AY$11:$AY$38)*(U$4&lt;=$AZ$11:$AZ$38)&gt;0),$B57,"")</f>
        <v/>
      </c>
      <c r="V57" s="84" t="str">
        <f t="array" aca="1" ref="V57" ca="1">IF(OR((V$41&gt;=$AY$11:$AY$38)*(V$4&lt;=$AZ$11:$AZ$38)&gt;0),$B57,"")</f>
        <v/>
      </c>
      <c r="W57" s="84" t="str">
        <f t="array" aca="1" ref="W57" ca="1">IF(OR((W$41&gt;=$AY$11:$AY$38)*(W$4&lt;=$AZ$11:$AZ$38)&gt;0),$B57,"")</f>
        <v/>
      </c>
      <c r="X57" s="84" t="str">
        <f t="array" aca="1" ref="X57" ca="1">IF(OR((X$41&gt;=$AY$11:$AY$38)*(X$4&lt;=$AZ$11:$AZ$38)&gt;0),$B57,"")</f>
        <v/>
      </c>
      <c r="Y57" s="84" t="str">
        <f t="array" aca="1" ref="Y57" ca="1">IF(OR((Y$41&gt;=$AY$11:$AY$38)*(Y$4&lt;=$AZ$11:$AZ$38)&gt;0),$B57,"")</f>
        <v/>
      </c>
      <c r="Z57" s="84" t="str">
        <f t="array" aca="1" ref="Z57" ca="1">IF(OR((Z$41&gt;=$AY$11:$AY$38)*(Z$4&lt;=$AZ$11:$AZ$38)&gt;0),$B57,"")</f>
        <v/>
      </c>
      <c r="AA57" s="84" t="str">
        <f t="array" aca="1" ref="AA57" ca="1">IF(OR((AA$41&gt;=$AY$11:$AY$38)*(AA$4&lt;=$AZ$11:$AZ$38)&gt;0),$B57,"")</f>
        <v/>
      </c>
      <c r="AB57" s="84" t="str">
        <f t="array" aca="1" ref="AB57" ca="1">IF(OR((AB$41&gt;=$AY$11:$AY$38)*(AB$4&lt;=$AZ$11:$AZ$38)&gt;0),$B57,"")</f>
        <v/>
      </c>
      <c r="AC57" s="84" t="str">
        <f t="array" aca="1" ref="AC57" ca="1">IF(OR((AC$41&gt;=$AY$11:$AY$38)*(AC$4&lt;=$AZ$11:$AZ$38)&gt;0),$B57,"")</f>
        <v/>
      </c>
      <c r="AD57" s="84" t="str">
        <f t="array" aca="1" ref="AD57" ca="1">IF(OR((AD$41&gt;=$AY$11:$AY$38)*(AD$4&lt;=$AZ$11:$AZ$38)&gt;0),$B57,"")</f>
        <v/>
      </c>
      <c r="AE57" s="84" t="str">
        <f t="array" aca="1" ref="AE57" ca="1">IF(OR((AE$41&gt;=$AY$11:$AY$38)*(AE$4&lt;=$AZ$11:$AZ$38)&gt;0),$B57,"")</f>
        <v/>
      </c>
      <c r="AF57" s="84" t="str">
        <f t="array" aca="1" ref="AF57" ca="1">IF(OR((AF$41&gt;=$AY$11:$AY$38)*(AF$4&lt;=$AZ$11:$AZ$38)&gt;0),$B57,"")</f>
        <v/>
      </c>
      <c r="AG57" s="84" t="str">
        <f t="array" aca="1" ref="AG57" ca="1">IF(OR((AG$41&gt;=$AY$11:$AY$38)*(AG$4&lt;=$AZ$11:$AZ$38)&gt;0),$B57,"")</f>
        <v/>
      </c>
      <c r="AH57" s="84" t="str">
        <f t="array" aca="1" ref="AH57" ca="1">IF(OR((AH$41&gt;=$AY$11:$AY$38)*(AH$4&lt;=$AZ$11:$AZ$38)&gt;0),$B57,"")</f>
        <v/>
      </c>
      <c r="AI57" s="84" t="str">
        <f t="array" aca="1" ref="AI57" ca="1">IF(OR((AI$41&gt;=$AY$11:$AY$38)*(AI$4&lt;=$AZ$11:$AZ$38)&gt;0),$B57,"")</f>
        <v/>
      </c>
      <c r="AJ57" s="85"/>
    </row>
    <row r="58" spans="1:71">
      <c r="A58" s="75" t="s">
        <v>203</v>
      </c>
      <c r="B58" s="16">
        <v>24</v>
      </c>
      <c r="C58" s="84" t="str">
        <f t="array" aca="1" ref="C58" ca="1">IF(OR((C$41&gt;=$AY$11:$AY$38)*(C$4&lt;=$AZ$11:$AZ$38)&gt;0),$B58,"")</f>
        <v/>
      </c>
      <c r="D58" s="84" t="str">
        <f t="array" aca="1" ref="D58" ca="1">IF(OR((D$41&gt;=$AY$11:$AY$38)*(D$4&lt;=$AZ$11:$AZ$38)&gt;0),$B58,"")</f>
        <v/>
      </c>
      <c r="E58" s="84" t="str">
        <f t="array" aca="1" ref="E58" ca="1">IF(OR((E$41&gt;=$AY$11:$AY$38)*(E$4&lt;=$AZ$11:$AZ$38)&gt;0),$B58,"")</f>
        <v/>
      </c>
      <c r="F58" s="84" t="str">
        <f t="array" aca="1" ref="F58" ca="1">IF(OR((F$41&gt;=$AY$11:$AY$38)*(F$4&lt;=$AZ$11:$AZ$38)&gt;0),$B58,"")</f>
        <v/>
      </c>
      <c r="G58" s="84" t="str">
        <f t="array" aca="1" ref="G58" ca="1">IF(OR((G$41&gt;=$AY$11:$AY$38)*(G$4&lt;=$AZ$11:$AZ$38)&gt;0),$B58,"")</f>
        <v/>
      </c>
      <c r="H58" s="84" t="str">
        <f t="array" aca="1" ref="H58" ca="1">IF(OR((H$41&gt;=$AY$11:$AY$38)*(H$4&lt;=$AZ$11:$AZ$38)&gt;0),$B58,"")</f>
        <v/>
      </c>
      <c r="I58" s="84" t="str">
        <f t="array" aca="1" ref="I58" ca="1">IF(OR((I$41&gt;=$AY$11:$AY$38)*(I$4&lt;=$AZ$11:$AZ$38)&gt;0),$B58,"")</f>
        <v/>
      </c>
      <c r="J58" s="84" t="str">
        <f t="array" aca="1" ref="J58" ca="1">IF(OR((J$41&gt;=$AY$11:$AY$38)*(J$4&lt;=$AZ$11:$AZ$38)&gt;0),$B58,"")</f>
        <v/>
      </c>
      <c r="K58" s="84" t="str">
        <f t="array" aca="1" ref="K58" ca="1">IF(OR((K$41&gt;=$AY$11:$AY$38)*(K$4&lt;=$AZ$11:$AZ$38)&gt;0),$B58,"")</f>
        <v/>
      </c>
      <c r="L58" s="84" t="str">
        <f t="array" aca="1" ref="L58" ca="1">IF(OR((L$41&gt;=$AY$11:$AY$38)*(L$4&lt;=$AZ$11:$AZ$38)&gt;0),$B58,"")</f>
        <v/>
      </c>
      <c r="M58" s="84" t="str">
        <f t="array" aca="1" ref="M58" ca="1">IF(OR((M$41&gt;=$AY$11:$AY$38)*(M$4&lt;=$AZ$11:$AZ$38)&gt;0),$B58,"")</f>
        <v/>
      </c>
      <c r="N58" s="84" t="str">
        <f t="array" aca="1" ref="N58" ca="1">IF(OR((N$41&gt;=$AY$11:$AY$38)*(N$4&lt;=$AZ$11:$AZ$38)&gt;0),$B58,"")</f>
        <v/>
      </c>
      <c r="O58" s="84" t="str">
        <f t="array" aca="1" ref="O58" ca="1">IF(OR((O$41&gt;=$AY$11:$AY$38)*(O$4&lt;=$AZ$11:$AZ$38)&gt;0),$B58,"")</f>
        <v/>
      </c>
      <c r="P58" s="84" t="str">
        <f t="array" aca="1" ref="P58" ca="1">IF(OR((P$41&gt;=$AY$11:$AY$38)*(P$4&lt;=$AZ$11:$AZ$38)&gt;0),$B58,"")</f>
        <v/>
      </c>
      <c r="Q58" s="84" t="str">
        <f t="array" aca="1" ref="Q58" ca="1">IF(OR((Q$41&gt;=$AY$11:$AY$38)*(Q$4&lt;=$AZ$11:$AZ$38)&gt;0),$B58,"")</f>
        <v/>
      </c>
      <c r="R58" s="84" t="str">
        <f t="array" aca="1" ref="R58" ca="1">IF(OR((R$41&gt;=$AY$11:$AY$38)*(R$4&lt;=$AZ$11:$AZ$38)&gt;0),$B58,"")</f>
        <v/>
      </c>
      <c r="S58" s="84" t="str">
        <f t="array" aca="1" ref="S58" ca="1">IF(OR((S$41&gt;=$AY$11:$AY$38)*(S$4&lt;=$AZ$11:$AZ$38)&gt;0),$B58,"")</f>
        <v/>
      </c>
      <c r="T58" s="84" t="str">
        <f t="array" aca="1" ref="T58" ca="1">IF(OR((T$41&gt;=$AY$11:$AY$38)*(T$4&lt;=$AZ$11:$AZ$38)&gt;0),$B58,"")</f>
        <v/>
      </c>
      <c r="U58" s="84" t="str">
        <f t="array" aca="1" ref="U58" ca="1">IF(OR((U$41&gt;=$AY$11:$AY$38)*(U$4&lt;=$AZ$11:$AZ$38)&gt;0),$B58,"")</f>
        <v/>
      </c>
      <c r="V58" s="84" t="str">
        <f t="array" aca="1" ref="V58" ca="1">IF(OR((V$41&gt;=$AY$11:$AY$38)*(V$4&lt;=$AZ$11:$AZ$38)&gt;0),$B58,"")</f>
        <v/>
      </c>
      <c r="W58" s="84" t="str">
        <f t="array" aca="1" ref="W58" ca="1">IF(OR((W$41&gt;=$AY$11:$AY$38)*(W$4&lt;=$AZ$11:$AZ$38)&gt;0),$B58,"")</f>
        <v/>
      </c>
      <c r="X58" s="84" t="str">
        <f t="array" aca="1" ref="X58" ca="1">IF(OR((X$41&gt;=$AY$11:$AY$38)*(X$4&lt;=$AZ$11:$AZ$38)&gt;0),$B58,"")</f>
        <v/>
      </c>
      <c r="Y58" s="84" t="str">
        <f t="array" aca="1" ref="Y58" ca="1">IF(OR((Y$41&gt;=$AY$11:$AY$38)*(Y$4&lt;=$AZ$11:$AZ$38)&gt;0),$B58,"")</f>
        <v/>
      </c>
      <c r="Z58" s="84" t="str">
        <f t="array" aca="1" ref="Z58" ca="1">IF(OR((Z$41&gt;=$AY$11:$AY$38)*(Z$4&lt;=$AZ$11:$AZ$38)&gt;0),$B58,"")</f>
        <v/>
      </c>
      <c r="AA58" s="84" t="str">
        <f t="array" aca="1" ref="AA58" ca="1">IF(OR((AA$41&gt;=$AY$11:$AY$38)*(AA$4&lt;=$AZ$11:$AZ$38)&gt;0),$B58,"")</f>
        <v/>
      </c>
      <c r="AB58" s="84" t="str">
        <f t="array" aca="1" ref="AB58" ca="1">IF(OR((AB$41&gt;=$AY$11:$AY$38)*(AB$4&lt;=$AZ$11:$AZ$38)&gt;0),$B58,"")</f>
        <v/>
      </c>
      <c r="AC58" s="84" t="str">
        <f t="array" aca="1" ref="AC58" ca="1">IF(OR((AC$41&gt;=$AY$11:$AY$38)*(AC$4&lt;=$AZ$11:$AZ$38)&gt;0),$B58,"")</f>
        <v/>
      </c>
      <c r="AD58" s="84" t="str">
        <f t="array" aca="1" ref="AD58" ca="1">IF(OR((AD$41&gt;=$AY$11:$AY$38)*(AD$4&lt;=$AZ$11:$AZ$38)&gt;0),$B58,"")</f>
        <v/>
      </c>
      <c r="AE58" s="84" t="str">
        <f t="array" aca="1" ref="AE58" ca="1">IF(OR((AE$41&gt;=$AY$11:$AY$38)*(AE$4&lt;=$AZ$11:$AZ$38)&gt;0),$B58,"")</f>
        <v/>
      </c>
      <c r="AF58" s="84" t="str">
        <f t="array" aca="1" ref="AF58" ca="1">IF(OR((AF$41&gt;=$AY$11:$AY$38)*(AF$4&lt;=$AZ$11:$AZ$38)&gt;0),$B58,"")</f>
        <v/>
      </c>
      <c r="AG58" s="84" t="str">
        <f t="array" aca="1" ref="AG58" ca="1">IF(OR((AG$41&gt;=$AY$11:$AY$38)*(AG$4&lt;=$AZ$11:$AZ$38)&gt;0),$B58,"")</f>
        <v/>
      </c>
      <c r="AH58" s="84" t="str">
        <f t="array" aca="1" ref="AH58" ca="1">IF(OR((AH$41&gt;=$AY$11:$AY$38)*(AH$4&lt;=$AZ$11:$AZ$38)&gt;0),$B58,"")</f>
        <v/>
      </c>
      <c r="AI58" s="84" t="str">
        <f t="array" aca="1" ref="AI58" ca="1">IF(OR((AI$41&gt;=$AY$11:$AY$38)*(AI$4&lt;=$AZ$11:$AZ$38)&gt;0),$B58,"")</f>
        <v/>
      </c>
      <c r="AJ58" s="85"/>
    </row>
    <row r="59" spans="1:71">
      <c r="A59" s="75" t="s">
        <v>204</v>
      </c>
      <c r="B59" s="16">
        <v>1</v>
      </c>
      <c r="C59" s="84" t="str">
        <f t="array" aca="1" ref="C59" ca="1">IF(OR((C$41&gt;=$AY$11:$AY$38)*(C$4&lt;=$AZ$11:$AZ$38)&gt;0),$B59,"")</f>
        <v/>
      </c>
      <c r="D59" s="84" t="str">
        <f t="array" aca="1" ref="D59" ca="1">IF(OR((D$41&gt;=$AY$11:$AY$38)*(D$4&lt;=$AZ$11:$AZ$38)&gt;0),$B59,"")</f>
        <v/>
      </c>
      <c r="E59" s="84" t="str">
        <f t="array" aca="1" ref="E59" ca="1">IF(OR((E$41&gt;=$AY$11:$AY$38)*(E$4&lt;=$AZ$11:$AZ$38)&gt;0),$B59,"")</f>
        <v/>
      </c>
      <c r="F59" s="84" t="str">
        <f t="array" aca="1" ref="F59" ca="1">IF(OR((F$41&gt;=$AY$11:$AY$38)*(F$4&lt;=$AZ$11:$AZ$38)&gt;0),$B59,"")</f>
        <v/>
      </c>
      <c r="G59" s="84" t="str">
        <f t="array" aca="1" ref="G59" ca="1">IF(OR((G$41&gt;=$AY$11:$AY$38)*(G$4&lt;=$AZ$11:$AZ$38)&gt;0),$B59,"")</f>
        <v/>
      </c>
      <c r="H59" s="84" t="str">
        <f t="array" aca="1" ref="H59" ca="1">IF(OR((H$41&gt;=$AY$11:$AY$38)*(H$4&lt;=$AZ$11:$AZ$38)&gt;0),$B59,"")</f>
        <v/>
      </c>
      <c r="I59" s="84" t="str">
        <f t="array" aca="1" ref="I59" ca="1">IF(OR((I$41&gt;=$AY$11:$AY$38)*(I$4&lt;=$AZ$11:$AZ$38)&gt;0),$B59,"")</f>
        <v/>
      </c>
      <c r="J59" s="84" t="str">
        <f t="array" aca="1" ref="J59" ca="1">IF(OR((J$41&gt;=$AY$11:$AY$38)*(J$4&lt;=$AZ$11:$AZ$38)&gt;0),$B59,"")</f>
        <v/>
      </c>
      <c r="K59" s="84" t="str">
        <f t="array" aca="1" ref="K59" ca="1">IF(OR((K$41&gt;=$AY$11:$AY$38)*(K$4&lt;=$AZ$11:$AZ$38)&gt;0),$B59,"")</f>
        <v/>
      </c>
      <c r="L59" s="84" t="str">
        <f t="array" aca="1" ref="L59" ca="1">IF(OR((L$41&gt;=$AY$11:$AY$38)*(L$4&lt;=$AZ$11:$AZ$38)&gt;0),$B59,"")</f>
        <v/>
      </c>
      <c r="M59" s="84" t="str">
        <f t="array" aca="1" ref="M59" ca="1">IF(OR((M$41&gt;=$AY$11:$AY$38)*(M$4&lt;=$AZ$11:$AZ$38)&gt;0),$B59,"")</f>
        <v/>
      </c>
      <c r="N59" s="84" t="str">
        <f t="array" aca="1" ref="N59" ca="1">IF(OR((N$41&gt;=$AY$11:$AY$38)*(N$4&lt;=$AZ$11:$AZ$38)&gt;0),$B59,"")</f>
        <v/>
      </c>
      <c r="O59" s="84" t="str">
        <f t="array" aca="1" ref="O59" ca="1">IF(OR((O$41&gt;=$AY$11:$AY$38)*(O$4&lt;=$AZ$11:$AZ$38)&gt;0),$B59,"")</f>
        <v/>
      </c>
      <c r="P59" s="84" t="str">
        <f t="array" aca="1" ref="P59" ca="1">IF(OR((P$41&gt;=$AY$11:$AY$38)*(P$4&lt;=$AZ$11:$AZ$38)&gt;0),$B59,"")</f>
        <v/>
      </c>
      <c r="Q59" s="84" t="str">
        <f t="array" aca="1" ref="Q59" ca="1">IF(OR((Q$41&gt;=$AY$11:$AY$38)*(Q$4&lt;=$AZ$11:$AZ$38)&gt;0),$B59,"")</f>
        <v/>
      </c>
      <c r="R59" s="84" t="str">
        <f t="array" aca="1" ref="R59" ca="1">IF(OR((R$41&gt;=$AY$11:$AY$38)*(R$4&lt;=$AZ$11:$AZ$38)&gt;0),$B59,"")</f>
        <v/>
      </c>
      <c r="S59" s="84" t="str">
        <f t="array" aca="1" ref="S59" ca="1">IF(OR((S$41&gt;=$AY$11:$AY$38)*(S$4&lt;=$AZ$11:$AZ$38)&gt;0),$B59,"")</f>
        <v/>
      </c>
      <c r="T59" s="84" t="str">
        <f t="array" aca="1" ref="T59" ca="1">IF(OR((T$41&gt;=$AY$11:$AY$38)*(T$4&lt;=$AZ$11:$AZ$38)&gt;0),$B59,"")</f>
        <v/>
      </c>
      <c r="U59" s="84" t="str">
        <f t="array" aca="1" ref="U59" ca="1">IF(OR((U$41&gt;=$AY$11:$AY$38)*(U$4&lt;=$AZ$11:$AZ$38)&gt;0),$B59,"")</f>
        <v/>
      </c>
      <c r="V59" s="84" t="str">
        <f t="array" aca="1" ref="V59" ca="1">IF(OR((V$41&gt;=$AY$11:$AY$38)*(V$4&lt;=$AZ$11:$AZ$38)&gt;0),$B59,"")</f>
        <v/>
      </c>
      <c r="W59" s="84" t="str">
        <f t="array" aca="1" ref="W59" ca="1">IF(OR((W$41&gt;=$AY$11:$AY$38)*(W$4&lt;=$AZ$11:$AZ$38)&gt;0),$B59,"")</f>
        <v/>
      </c>
      <c r="X59" s="84" t="str">
        <f t="array" aca="1" ref="X59" ca="1">IF(OR((X$41&gt;=$AY$11:$AY$38)*(X$4&lt;=$AZ$11:$AZ$38)&gt;0),$B59,"")</f>
        <v/>
      </c>
      <c r="Y59" s="84" t="str">
        <f t="array" aca="1" ref="Y59" ca="1">IF(OR((Y$41&gt;=$AY$11:$AY$38)*(Y$4&lt;=$AZ$11:$AZ$38)&gt;0),$B59,"")</f>
        <v/>
      </c>
      <c r="Z59" s="84" t="str">
        <f t="array" aca="1" ref="Z59" ca="1">IF(OR((Z$41&gt;=$AY$11:$AY$38)*(Z$4&lt;=$AZ$11:$AZ$38)&gt;0),$B59,"")</f>
        <v/>
      </c>
      <c r="AA59" s="84" t="str">
        <f t="array" aca="1" ref="AA59" ca="1">IF(OR((AA$41&gt;=$AY$11:$AY$38)*(AA$4&lt;=$AZ$11:$AZ$38)&gt;0),$B59,"")</f>
        <v/>
      </c>
      <c r="AB59" s="84" t="str">
        <f t="array" aca="1" ref="AB59" ca="1">IF(OR((AB$41&gt;=$AY$11:$AY$38)*(AB$4&lt;=$AZ$11:$AZ$38)&gt;0),$B59,"")</f>
        <v/>
      </c>
      <c r="AC59" s="84" t="str">
        <f t="array" aca="1" ref="AC59" ca="1">IF(OR((AC$41&gt;=$AY$11:$AY$38)*(AC$4&lt;=$AZ$11:$AZ$38)&gt;0),$B59,"")</f>
        <v/>
      </c>
      <c r="AD59" s="84" t="str">
        <f t="array" aca="1" ref="AD59" ca="1">IF(OR((AD$41&gt;=$AY$11:$AY$38)*(AD$4&lt;=$AZ$11:$AZ$38)&gt;0),$B59,"")</f>
        <v/>
      </c>
      <c r="AE59" s="84" t="str">
        <f t="array" aca="1" ref="AE59" ca="1">IF(OR((AE$41&gt;=$AY$11:$AY$38)*(AE$4&lt;=$AZ$11:$AZ$38)&gt;0),$B59,"")</f>
        <v/>
      </c>
      <c r="AF59" s="84" t="str">
        <f t="array" aca="1" ref="AF59" ca="1">IF(OR((AF$41&gt;=$AY$11:$AY$38)*(AF$4&lt;=$AZ$11:$AZ$38)&gt;0),$B59,"")</f>
        <v/>
      </c>
      <c r="AG59" s="84" t="str">
        <f t="array" aca="1" ref="AG59" ca="1">IF(OR((AG$41&gt;=$AY$11:$AY$38)*(AG$4&lt;=$AZ$11:$AZ$38)&gt;0),$B59,"")</f>
        <v/>
      </c>
      <c r="AH59" s="84" t="str">
        <f t="array" aca="1" ref="AH59" ca="1">IF(OR((AH$41&gt;=$AY$11:$AY$38)*(AH$4&lt;=$AZ$11:$AZ$38)&gt;0),$B59,"")</f>
        <v/>
      </c>
      <c r="AI59" s="84" t="str">
        <f t="array" aca="1" ref="AI59" ca="1">IF(OR((AI$41&gt;=$AY$11:$AY$38)*(AI$4&lt;=$AZ$11:$AZ$38)&gt;0),$B59,"")</f>
        <v/>
      </c>
      <c r="AJ59" s="85"/>
      <c r="BG59" s="113"/>
      <c r="BH59" s="113"/>
      <c r="BI59" s="113"/>
      <c r="BJ59" s="113"/>
      <c r="BK59" s="113"/>
      <c r="BL59" s="113"/>
      <c r="BM59" s="113"/>
      <c r="BN59" s="113"/>
      <c r="BO59" s="113"/>
      <c r="BP59" s="113"/>
      <c r="BQ59" s="113"/>
      <c r="BR59" s="113"/>
      <c r="BS59" s="113"/>
    </row>
    <row r="60" spans="1:71">
      <c r="A60" s="8"/>
      <c r="B60" s="12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85"/>
      <c r="BG60" s="113"/>
      <c r="BH60" s="113"/>
      <c r="BI60" s="113"/>
      <c r="BJ60" s="113"/>
      <c r="BK60" s="113"/>
      <c r="BL60" s="113"/>
      <c r="BM60" s="113"/>
      <c r="BN60" s="113"/>
      <c r="BO60" s="113"/>
      <c r="BP60" s="113"/>
      <c r="BQ60" s="113"/>
      <c r="BR60" s="113"/>
      <c r="BS60" s="113"/>
    </row>
    <row r="61" spans="1:71">
      <c r="A61" s="7" t="s">
        <v>205</v>
      </c>
      <c r="B61" s="10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85"/>
      <c r="BG61" s="113"/>
      <c r="BH61" s="113"/>
      <c r="BI61" s="113"/>
      <c r="BJ61" s="113"/>
      <c r="BK61" s="113"/>
      <c r="BL61" s="113"/>
      <c r="BM61" s="113"/>
      <c r="BN61" s="113"/>
      <c r="BO61" s="113"/>
      <c r="BP61" s="113"/>
      <c r="BQ61" s="113"/>
      <c r="BR61" s="113"/>
      <c r="BS61" s="113"/>
    </row>
    <row r="62" spans="1:71">
      <c r="A62" s="75"/>
      <c r="B62" s="11" t="s">
        <v>154</v>
      </c>
      <c r="C62" s="112">
        <f>EOMONTH($A$1,-1)</f>
        <v>45016</v>
      </c>
      <c r="D62" s="112">
        <f t="shared" ref="D62:AI62" si="4">C62+1</f>
        <v>45017</v>
      </c>
      <c r="E62" s="112">
        <f t="shared" si="4"/>
        <v>45018</v>
      </c>
      <c r="F62" s="112">
        <f t="shared" si="4"/>
        <v>45019</v>
      </c>
      <c r="G62" s="112">
        <f t="shared" si="4"/>
        <v>45020</v>
      </c>
      <c r="H62" s="112">
        <f t="shared" si="4"/>
        <v>45021</v>
      </c>
      <c r="I62" s="112">
        <f t="shared" si="4"/>
        <v>45022</v>
      </c>
      <c r="J62" s="112">
        <f t="shared" si="4"/>
        <v>45023</v>
      </c>
      <c r="K62" s="112">
        <f t="shared" si="4"/>
        <v>45024</v>
      </c>
      <c r="L62" s="112">
        <f t="shared" si="4"/>
        <v>45025</v>
      </c>
      <c r="M62" s="112">
        <f t="shared" si="4"/>
        <v>45026</v>
      </c>
      <c r="N62" s="112">
        <f t="shared" si="4"/>
        <v>45027</v>
      </c>
      <c r="O62" s="112">
        <f t="shared" si="4"/>
        <v>45028</v>
      </c>
      <c r="P62" s="112">
        <f t="shared" si="4"/>
        <v>45029</v>
      </c>
      <c r="Q62" s="112">
        <f t="shared" si="4"/>
        <v>45030</v>
      </c>
      <c r="R62" s="112">
        <f t="shared" si="4"/>
        <v>45031</v>
      </c>
      <c r="S62" s="112">
        <f t="shared" si="4"/>
        <v>45032</v>
      </c>
      <c r="T62" s="112">
        <f t="shared" si="4"/>
        <v>45033</v>
      </c>
      <c r="U62" s="112">
        <f t="shared" si="4"/>
        <v>45034</v>
      </c>
      <c r="V62" s="112">
        <f t="shared" si="4"/>
        <v>45035</v>
      </c>
      <c r="W62" s="112">
        <f t="shared" si="4"/>
        <v>45036</v>
      </c>
      <c r="X62" s="112">
        <f t="shared" si="4"/>
        <v>45037</v>
      </c>
      <c r="Y62" s="112">
        <f t="shared" si="4"/>
        <v>45038</v>
      </c>
      <c r="Z62" s="112">
        <f t="shared" si="4"/>
        <v>45039</v>
      </c>
      <c r="AA62" s="112">
        <f t="shared" si="4"/>
        <v>45040</v>
      </c>
      <c r="AB62" s="112">
        <f t="shared" si="4"/>
        <v>45041</v>
      </c>
      <c r="AC62" s="112">
        <f t="shared" si="4"/>
        <v>45042</v>
      </c>
      <c r="AD62" s="112">
        <f t="shared" si="4"/>
        <v>45043</v>
      </c>
      <c r="AE62" s="112">
        <f t="shared" si="4"/>
        <v>45044</v>
      </c>
      <c r="AF62" s="112">
        <f t="shared" si="4"/>
        <v>45045</v>
      </c>
      <c r="AG62" s="112">
        <f t="shared" si="4"/>
        <v>45046</v>
      </c>
      <c r="AH62" s="112">
        <f t="shared" si="4"/>
        <v>45047</v>
      </c>
      <c r="AI62" s="112">
        <f t="shared" si="4"/>
        <v>45048</v>
      </c>
      <c r="AJ62" s="85"/>
      <c r="BG62" s="113"/>
      <c r="BH62" s="113"/>
      <c r="BI62" s="113"/>
      <c r="BJ62" s="113"/>
      <c r="BK62" s="113"/>
      <c r="BL62" s="113"/>
      <c r="BM62" s="113"/>
      <c r="BN62" s="113"/>
      <c r="BO62" s="113"/>
      <c r="BP62" s="113"/>
      <c r="BQ62" s="113"/>
      <c r="BR62" s="113"/>
      <c r="BS62" s="113"/>
    </row>
    <row r="63" spans="1:71">
      <c r="A63" s="75" t="s">
        <v>206</v>
      </c>
      <c r="B63" s="16">
        <f>'(Fill In) SIAO'!C3</f>
        <v>0</v>
      </c>
      <c r="C63" s="84" t="str">
        <f t="array" aca="1" ref="C63" ca="1">IF(OR((C$62&gt;=$BA$11:$BA$38)*(C$4&lt;=$BB$11:$BB$38)&gt;0),$B63,"")</f>
        <v/>
      </c>
      <c r="D63" s="84" t="str">
        <f t="array" aca="1" ref="D63" ca="1">IF(OR((D$62&gt;=$BA$11:$BA$38)*(D$4&lt;=$BB$11:$BB$38)&gt;0),$B63,"")</f>
        <v/>
      </c>
      <c r="E63" s="84" t="str">
        <f t="array" aca="1" ref="E63" ca="1">IF(OR((E$62&gt;=$BA$11:$BA$38)*(E$4&lt;=$BB$11:$BB$38)&gt;0),$B63,"")</f>
        <v/>
      </c>
      <c r="F63" s="84" t="str">
        <f t="array" aca="1" ref="F63" ca="1">IF(OR((F$62&gt;=$BA$11:$BA$38)*(F$4&lt;=$BB$11:$BB$38)&gt;0),$B63,"")</f>
        <v/>
      </c>
      <c r="G63" s="84" t="str">
        <f t="array" aca="1" ref="G63" ca="1">IF(OR((G$62&gt;=$BA$11:$BA$38)*(G$4&lt;=$BB$11:$BB$38)&gt;0),$B63,"")</f>
        <v/>
      </c>
      <c r="H63" s="84" t="str">
        <f t="array" aca="1" ref="H63" ca="1">IF(OR((H$62&gt;=$BA$11:$BA$38)*(H$4&lt;=$BB$11:$BB$38)&gt;0),$B63,"")</f>
        <v/>
      </c>
      <c r="I63" s="84" t="str">
        <f t="array" aca="1" ref="I63" ca="1">IF(OR((I$62&gt;=$BA$11:$BA$38)*(I$4&lt;=$BB$11:$BB$38)&gt;0),$B63,"")</f>
        <v/>
      </c>
      <c r="J63" s="84" t="str">
        <f t="array" aca="1" ref="J63" ca="1">IF(OR((J$62&gt;=$BA$11:$BA$38)*(J$4&lt;=$BB$11:$BB$38)&gt;0),$B63,"")</f>
        <v/>
      </c>
      <c r="K63" s="84" t="str">
        <f t="array" aca="1" ref="K63" ca="1">IF(OR((K$62&gt;=$BA$11:$BA$38)*(K$4&lt;=$BB$11:$BB$38)&gt;0),$B63,"")</f>
        <v/>
      </c>
      <c r="L63" s="84" t="str">
        <f t="array" aca="1" ref="L63" ca="1">IF(OR((L$62&gt;=$BA$11:$BA$38)*(L$4&lt;=$BB$11:$BB$38)&gt;0),$B63,"")</f>
        <v/>
      </c>
      <c r="M63" s="84" t="str">
        <f t="array" aca="1" ref="M63" ca="1">IF(OR((M$62&gt;=$BA$11:$BA$38)*(M$4&lt;=$BB$11:$BB$38)&gt;0),$B63,"")</f>
        <v/>
      </c>
      <c r="N63" s="84" t="str">
        <f t="array" aca="1" ref="N63" ca="1">IF(OR((N$62&gt;=$BA$11:$BA$38)*(N$4&lt;=$BB$11:$BB$38)&gt;0),$B63,"")</f>
        <v/>
      </c>
      <c r="O63" s="84" t="str">
        <f t="array" aca="1" ref="O63" ca="1">IF(OR((O$62&gt;=$BA$11:$BA$38)*(O$4&lt;=$BB$11:$BB$38)&gt;0),$B63,"")</f>
        <v/>
      </c>
      <c r="P63" s="84" t="str">
        <f t="array" aca="1" ref="P63" ca="1">IF(OR((P$62&gt;=$BA$11:$BA$38)*(P$4&lt;=$BB$11:$BB$38)&gt;0),$B63,"")</f>
        <v/>
      </c>
      <c r="Q63" s="84" t="str">
        <f t="array" aca="1" ref="Q63" ca="1">IF(OR((Q$62&gt;=$BA$11:$BA$38)*(Q$4&lt;=$BB$11:$BB$38)&gt;0),$B63,"")</f>
        <v/>
      </c>
      <c r="R63" s="84" t="str">
        <f t="array" aca="1" ref="R63" ca="1">IF(OR((R$62&gt;=$BA$11:$BA$38)*(R$4&lt;=$BB$11:$BB$38)&gt;0),$B63,"")</f>
        <v/>
      </c>
      <c r="S63" s="84" t="str">
        <f t="array" aca="1" ref="S63" ca="1">IF(OR((S$62&gt;=$BA$11:$BA$38)*(S$4&lt;=$BB$11:$BB$38)&gt;0),$B63,"")</f>
        <v/>
      </c>
      <c r="T63" s="84"/>
      <c r="U63" s="84"/>
      <c r="V63" s="84"/>
      <c r="W63" s="84"/>
      <c r="X63" s="84" t="str">
        <f t="array" aca="1" ref="X63" ca="1">IF(OR((X$62&gt;=$BA$11:$BA$38)*(X$4&lt;=$BB$11:$BB$38)&gt;0),$B63,"")</f>
        <v/>
      </c>
      <c r="Y63" s="84" t="str">
        <f t="array" aca="1" ref="Y63" ca="1">IF(OR((Y$62&gt;=$BA$11:$BA$38)*(Y$4&lt;=$BB$11:$BB$38)&gt;0),$B63,"")</f>
        <v/>
      </c>
      <c r="Z63" s="84" t="str">
        <f t="array" aca="1" ref="Z63" ca="1">IF(OR((Z$62&gt;=$BA$11:$BA$38)*(Z$4&lt;=$BB$11:$BB$38)&gt;0),$B63,"")</f>
        <v/>
      </c>
      <c r="AA63" s="84" t="str">
        <f t="array" aca="1" ref="AA63" ca="1">IF(OR((AA$62&gt;=$BA$11:$BA$38)*(AA$4&lt;=$BB$11:$BB$38)&gt;0),$B63,"")</f>
        <v/>
      </c>
      <c r="AB63" s="84" t="str">
        <f t="array" aca="1" ref="AB63" ca="1">IF(OR((AB$62&gt;=$BA$11:$BA$38)*(AB$4&lt;=$BB$11:$BB$38)&gt;0),$B63,"")</f>
        <v/>
      </c>
      <c r="AC63" s="84" t="str">
        <f t="array" aca="1" ref="AC63" ca="1">IF(OR((AC$62&gt;=$BA$11:$BA$38)*(AC$4&lt;=$BB$11:$BB$38)&gt;0),$B63,"")</f>
        <v/>
      </c>
      <c r="AD63" s="84" t="str">
        <f t="array" aca="1" ref="AD63" ca="1">IF(OR((AD$62&gt;=$BA$11:$BA$38)*(AD$4&lt;=$BB$11:$BB$38)&gt;0),$B63,"")</f>
        <v/>
      </c>
      <c r="AE63" s="84" t="str">
        <f t="array" aca="1" ref="AE63" ca="1">IF(OR((AE$62&gt;=$BA$11:$BA$38)*(AE$4&lt;=$BB$11:$BB$38)&gt;0),$B63,"")</f>
        <v/>
      </c>
      <c r="AF63" s="84" t="str">
        <f t="array" aca="1" ref="AF63" ca="1">IF(OR((AF$62&gt;=$BA$11:$BA$38)*(AF$4&lt;=$BB$11:$BB$38)&gt;0),$B63,"")</f>
        <v/>
      </c>
      <c r="AG63" s="84" t="str">
        <f t="array" aca="1" ref="AG63" ca="1">IF(OR((AG$62&gt;=$BA$11:$BA$38)*(AG$4&lt;=$BB$11:$BB$38)&gt;0),$B63,"")</f>
        <v/>
      </c>
      <c r="AH63" s="84" t="str">
        <f t="array" aca="1" ref="AH63" ca="1">IF(OR((AH$62&gt;=$BA$11:$BA$38)*(AH$4&lt;=$BB$11:$BB$38)&gt;0),$B63,"")</f>
        <v/>
      </c>
      <c r="AI63" s="84" t="str">
        <f t="array" aca="1" ref="AI63" ca="1">IF(OR((AI$62&gt;=$BA$11:$BA$38)*(AI$4&lt;=$BB$11:$BB$38)&gt;0),$B63,"")</f>
        <v/>
      </c>
      <c r="AJ63" s="85"/>
      <c r="BG63" s="113"/>
      <c r="BH63" s="113"/>
      <c r="BI63" s="113"/>
      <c r="BJ63" s="113"/>
      <c r="BK63" s="113"/>
      <c r="BL63" s="113"/>
      <c r="BM63" s="113"/>
      <c r="BN63" s="113"/>
      <c r="BO63" s="113"/>
      <c r="BP63" s="113"/>
      <c r="BQ63" s="113"/>
      <c r="BR63" s="113"/>
      <c r="BS63" s="113"/>
    </row>
    <row r="64" spans="1:71">
      <c r="A64" s="8"/>
      <c r="B64" s="12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85"/>
      <c r="BG64" s="113"/>
      <c r="BH64" s="113"/>
      <c r="BI64" s="113"/>
      <c r="BJ64" s="113"/>
      <c r="BK64" s="113"/>
      <c r="BL64" s="113"/>
      <c r="BM64" s="113"/>
      <c r="BN64" s="113"/>
      <c r="BO64" s="113"/>
      <c r="BP64" s="113"/>
      <c r="BQ64" s="113"/>
      <c r="BR64" s="113"/>
      <c r="BS64" s="113"/>
    </row>
    <row r="65" spans="1:58">
      <c r="A65" s="7" t="s">
        <v>150</v>
      </c>
      <c r="B65" s="10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85"/>
    </row>
    <row r="66" spans="1:58" s="9" customFormat="1">
      <c r="A66" s="75"/>
      <c r="B66" s="11" t="s">
        <v>154</v>
      </c>
      <c r="C66" s="112">
        <f>EOMONTH($A$1,-1)</f>
        <v>45016</v>
      </c>
      <c r="D66" s="112">
        <f t="shared" ref="D66:AI66" si="5">C66+1</f>
        <v>45017</v>
      </c>
      <c r="E66" s="112">
        <f t="shared" si="5"/>
        <v>45018</v>
      </c>
      <c r="F66" s="112">
        <f t="shared" si="5"/>
        <v>45019</v>
      </c>
      <c r="G66" s="112">
        <f t="shared" si="5"/>
        <v>45020</v>
      </c>
      <c r="H66" s="112">
        <f t="shared" si="5"/>
        <v>45021</v>
      </c>
      <c r="I66" s="112">
        <f t="shared" si="5"/>
        <v>45022</v>
      </c>
      <c r="J66" s="112">
        <f t="shared" si="5"/>
        <v>45023</v>
      </c>
      <c r="K66" s="112">
        <f t="shared" si="5"/>
        <v>45024</v>
      </c>
      <c r="L66" s="112">
        <f t="shared" si="5"/>
        <v>45025</v>
      </c>
      <c r="M66" s="112">
        <f t="shared" si="5"/>
        <v>45026</v>
      </c>
      <c r="N66" s="112">
        <f t="shared" si="5"/>
        <v>45027</v>
      </c>
      <c r="O66" s="112">
        <f t="shared" si="5"/>
        <v>45028</v>
      </c>
      <c r="P66" s="112">
        <f t="shared" si="5"/>
        <v>45029</v>
      </c>
      <c r="Q66" s="112">
        <f t="shared" si="5"/>
        <v>45030</v>
      </c>
      <c r="R66" s="112">
        <f t="shared" si="5"/>
        <v>45031</v>
      </c>
      <c r="S66" s="112">
        <f t="shared" si="5"/>
        <v>45032</v>
      </c>
      <c r="T66" s="112">
        <f t="shared" si="5"/>
        <v>45033</v>
      </c>
      <c r="U66" s="112">
        <f t="shared" si="5"/>
        <v>45034</v>
      </c>
      <c r="V66" s="112">
        <f t="shared" si="5"/>
        <v>45035</v>
      </c>
      <c r="W66" s="112">
        <f t="shared" si="5"/>
        <v>45036</v>
      </c>
      <c r="X66" s="112">
        <f t="shared" si="5"/>
        <v>45037</v>
      </c>
      <c r="Y66" s="112">
        <f t="shared" si="5"/>
        <v>45038</v>
      </c>
      <c r="Z66" s="112">
        <f t="shared" si="5"/>
        <v>45039</v>
      </c>
      <c r="AA66" s="112">
        <f t="shared" si="5"/>
        <v>45040</v>
      </c>
      <c r="AB66" s="112">
        <f t="shared" si="5"/>
        <v>45041</v>
      </c>
      <c r="AC66" s="112">
        <f t="shared" si="5"/>
        <v>45042</v>
      </c>
      <c r="AD66" s="112">
        <f t="shared" si="5"/>
        <v>45043</v>
      </c>
      <c r="AE66" s="112">
        <f t="shared" si="5"/>
        <v>45044</v>
      </c>
      <c r="AF66" s="112">
        <f t="shared" si="5"/>
        <v>45045</v>
      </c>
      <c r="AG66" s="112">
        <f t="shared" si="5"/>
        <v>45046</v>
      </c>
      <c r="AH66" s="112">
        <f t="shared" si="5"/>
        <v>45047</v>
      </c>
      <c r="AI66" s="112">
        <f t="shared" si="5"/>
        <v>45048</v>
      </c>
      <c r="AJ66" s="85"/>
    </row>
    <row r="67" spans="1:58">
      <c r="A67" s="75" t="s">
        <v>207</v>
      </c>
      <c r="B67" s="16">
        <f>'(Fill In) SIAO'!C3</f>
        <v>0</v>
      </c>
      <c r="C67" s="84" t="str">
        <f t="array" aca="1" ref="C67" ca="1">IF(OR((C$66&gt;=$BC$11:$BC$38)*(C$4&lt;=$BD$11:$BD$38)&gt;0),$B67,"")</f>
        <v/>
      </c>
      <c r="D67" s="84" t="str">
        <f t="array" aca="1" ref="D67" ca="1">IF(OR((D$66&gt;=$BC$11:$BC$38)*(D$4&lt;=$BD$11:$BD$38)&gt;0),$B67,"")</f>
        <v/>
      </c>
      <c r="E67" s="84" t="str">
        <f t="array" aca="1" ref="E67" ca="1">IF(OR((E$66&gt;=$BC$11:$BC$38)*(E$4&lt;=$BD$11:$BD$38)&gt;0),$B67,"")</f>
        <v/>
      </c>
      <c r="F67" s="84" t="str">
        <f t="array" aca="1" ref="F67" ca="1">IF(OR((F$66&gt;=$BC$11:$BC$38)*(F$4&lt;=$BD$11:$BD$38)&gt;0),$B67,"")</f>
        <v/>
      </c>
      <c r="G67" s="84" t="str">
        <f t="array" aca="1" ref="G67" ca="1">IF(OR((G$66&gt;=$BC$11:$BC$38)*(G$4&lt;=$BD$11:$BD$38)&gt;0),$B67,"")</f>
        <v/>
      </c>
      <c r="H67" s="84" t="str">
        <f t="array" aca="1" ref="H67" ca="1">IF(OR((H$66&gt;=$BC$11:$BC$38)*(H$4&lt;=$BD$11:$BD$38)&gt;0),$B67,"")</f>
        <v/>
      </c>
      <c r="I67" s="84" t="str">
        <f t="array" aca="1" ref="I67" ca="1">IF(OR((I$66&gt;=$BC$11:$BC$38)*(I$4&lt;=$BD$11:$BD$38)&gt;0),$B67,"")</f>
        <v/>
      </c>
      <c r="J67" s="84" t="str">
        <f t="array" aca="1" ref="J67" ca="1">IF(OR((J$66&gt;=$BC$11:$BC$38)*(J$4&lt;=$BD$11:$BD$38)&gt;0),$B67,"")</f>
        <v/>
      </c>
      <c r="K67" s="84" t="str">
        <f t="array" aca="1" ref="K67" ca="1">IF(OR((K$66&gt;=$BC$11:$BC$38)*(K$4&lt;=$BD$11:$BD$38)&gt;0),$B67,"")</f>
        <v/>
      </c>
      <c r="L67" s="84" t="str">
        <f t="array" aca="1" ref="L67" ca="1">IF(OR((L$66&gt;=$BC$11:$BC$38)*(L$4&lt;=$BD$11:$BD$38)&gt;0),$B67,"")</f>
        <v/>
      </c>
      <c r="M67" s="84" t="str">
        <f t="array" aca="1" ref="M67" ca="1">IF(OR((M$66&gt;=$BC$11:$BC$38)*(M$4&lt;=$BD$11:$BD$38)&gt;0),$B67,"")</f>
        <v/>
      </c>
      <c r="N67" s="84" t="str">
        <f t="array" aca="1" ref="N67" ca="1">IF(OR((N$66&gt;=$BC$11:$BC$38)*(N$4&lt;=$BD$11:$BD$38)&gt;0),$B67,"")</f>
        <v/>
      </c>
      <c r="O67" s="84" t="str">
        <f t="array" aca="1" ref="O67" ca="1">IF(OR((O$66&gt;=$BC$11:$BC$38)*(O$4&lt;=$BD$11:$BD$38)&gt;0),$B67,"")</f>
        <v/>
      </c>
      <c r="P67" s="84" t="str">
        <f t="array" aca="1" ref="P67" ca="1">IF(OR((P$66&gt;=$BC$11:$BC$38)*(P$4&lt;=$BD$11:$BD$38)&gt;0),$B67,"")</f>
        <v/>
      </c>
      <c r="Q67" s="84" t="str">
        <f t="array" aca="1" ref="Q67" ca="1">IF(OR((Q$66&gt;=$BC$11:$BC$38)*(Q$4&lt;=$BD$11:$BD$38)&gt;0),$B67,"")</f>
        <v/>
      </c>
      <c r="R67" s="84" t="str">
        <f t="array" aca="1" ref="R67" ca="1">IF(OR((R$66&gt;=$BC$11:$BC$38)*(R$4&lt;=$BD$11:$BD$38)&gt;0),$B67,"")</f>
        <v/>
      </c>
      <c r="S67" s="84" t="str">
        <f t="array" aca="1" ref="S67" ca="1">IF(OR((S$66&gt;=$BC$11:$BC$38)*(S$4&lt;=$BD$11:$BD$38)&gt;0),$B67,"")</f>
        <v/>
      </c>
      <c r="T67" s="84" t="str">
        <f t="array" aca="1" ref="T67" ca="1">IF(OR((T$66&gt;=$BC$11:$BC$38)*(T$4&lt;=$BD$11:$BD$38)&gt;0),$B67,"")</f>
        <v/>
      </c>
      <c r="U67" s="84" t="str">
        <f t="array" aca="1" ref="U67" ca="1">IF(OR((U$66&gt;=$BC$11:$BC$38)*(U$4&lt;=$BD$11:$BD$38)&gt;0),$B67,"")</f>
        <v/>
      </c>
      <c r="V67" s="84" t="str">
        <f t="array" aca="1" ref="V67" ca="1">IF(OR((V$66&gt;=$BC$11:$BC$38)*(V$4&lt;=$BD$11:$BD$38)&gt;0),$B67,"")</f>
        <v/>
      </c>
      <c r="W67" s="84" t="str">
        <f t="array" aca="1" ref="W67" ca="1">IF(OR((W$66&gt;=$BC$11:$BC$38)*(W$4&lt;=$BD$11:$BD$38)&gt;0),$B67,"")</f>
        <v/>
      </c>
      <c r="X67" s="84" t="str">
        <f t="array" aca="1" ref="X67" ca="1">IF(OR((X$66&gt;=$BC$11:$BC$38)*(X$4&lt;=$BD$11:$BD$38)&gt;0),$B67,"")</f>
        <v/>
      </c>
      <c r="Y67" s="84" t="str">
        <f t="array" aca="1" ref="Y67" ca="1">IF(OR((Y$66&gt;=$BC$11:$BC$38)*(Y$4&lt;=$BD$11:$BD$38)&gt;0),$B67,"")</f>
        <v/>
      </c>
      <c r="Z67" s="84" t="str">
        <f t="array" aca="1" ref="Z67" ca="1">IF(OR((Z$66&gt;=$BC$11:$BC$38)*(Z$4&lt;=$BD$11:$BD$38)&gt;0),$B67,"")</f>
        <v/>
      </c>
      <c r="AA67" s="84" t="str">
        <f t="array" aca="1" ref="AA67" ca="1">IF(OR((AA$66&gt;=$BC$11:$BC$38)*(AA$4&lt;=$BD$11:$BD$38)&gt;0),$B67,"")</f>
        <v/>
      </c>
      <c r="AB67" s="84" t="str">
        <f t="array" aca="1" ref="AB67" ca="1">IF(OR((AB$66&gt;=$BC$11:$BC$38)*(AB$4&lt;=$BD$11:$BD$38)&gt;0),$B67,"")</f>
        <v/>
      </c>
      <c r="AC67" s="84" t="str">
        <f t="array" aca="1" ref="AC67" ca="1">IF(OR((AC$66&gt;=$BC$11:$BC$38)*(AC$4&lt;=$BD$11:$BD$38)&gt;0),$B67,"")</f>
        <v/>
      </c>
      <c r="AD67" s="84" t="str">
        <f t="array" aca="1" ref="AD67" ca="1">IF(OR((AD$66&gt;=$BC$11:$BC$38)*(AD$4&lt;=$BD$11:$BD$38)&gt;0),$B67,"")</f>
        <v/>
      </c>
      <c r="AE67" s="84" t="str">
        <f t="array" aca="1" ref="AE67" ca="1">IF(OR((AE$66&gt;=$BC$11:$BC$38)*(AE$4&lt;=$BD$11:$BD$38)&gt;0),$B67,"")</f>
        <v/>
      </c>
      <c r="AF67" s="84" t="str">
        <f t="array" aca="1" ref="AF67" ca="1">IF(OR((AF$66&gt;=$BC$11:$BC$38)*(AF$4&lt;=$BD$11:$BD$38)&gt;0),$B67,"")</f>
        <v/>
      </c>
      <c r="AG67" s="84" t="str">
        <f t="array" aca="1" ref="AG67" ca="1">IF(OR((AG$66&gt;=$BC$11:$BC$38)*(AG$4&lt;=$BD$11:$BD$38)&gt;0),$B67,"")</f>
        <v/>
      </c>
      <c r="AH67" s="84" t="str">
        <f t="array" aca="1" ref="AH67" ca="1">IF(OR((AH$66&gt;=$BC$11:$BC$38)*(AH$4&lt;=$BD$11:$BD$38)&gt;0),$B67,"")</f>
        <v/>
      </c>
      <c r="AI67" s="84" t="str">
        <f t="array" aca="1" ref="AI67" ca="1">IF(OR((AI$66&gt;=$BC$11:$BC$38)*(AI$4&lt;=$BD$11:$BD$38)&gt;0),$B67,"")</f>
        <v/>
      </c>
      <c r="AJ67" s="85"/>
    </row>
    <row r="68" spans="1:58">
      <c r="A68" s="75" t="s">
        <v>208</v>
      </c>
      <c r="B68" s="16">
        <f>'(Fill In) SIAO'!C3</f>
        <v>0</v>
      </c>
      <c r="C68" s="84" t="str">
        <f t="array" aca="1" ref="C68" ca="1">IF(OR((C$66&gt;=$BC$11:$BC$38)*(C$4&lt;=$BD$11:$BD$38)&gt;0),$B68,"")</f>
        <v/>
      </c>
      <c r="D68" s="84" t="str">
        <f t="array" aca="1" ref="D68" ca="1">IF(OR((D$66&gt;=$BC$11:$BC$38)*(D$4&lt;=$BD$11:$BD$38)&gt;0),$B68,"")</f>
        <v/>
      </c>
      <c r="E68" s="84" t="str">
        <f t="array" aca="1" ref="E68" ca="1">IF(OR((E$66&gt;=$BC$11:$BC$38)*(E$4&lt;=$BD$11:$BD$38)&gt;0),$B68,"")</f>
        <v/>
      </c>
      <c r="F68" s="84" t="str">
        <f t="array" aca="1" ref="F68" ca="1">IF(OR((F$66&gt;=$BC$11:$BC$38)*(F$4&lt;=$BD$11:$BD$38)&gt;0),$B68,"")</f>
        <v/>
      </c>
      <c r="G68" s="84" t="str">
        <f t="array" aca="1" ref="G68" ca="1">IF(OR((G$66&gt;=$BC$11:$BC$38)*(G$4&lt;=$BD$11:$BD$38)&gt;0),$B68,"")</f>
        <v/>
      </c>
      <c r="H68" s="84" t="str">
        <f t="array" aca="1" ref="H68" ca="1">IF(OR((H$66&gt;=$BC$11:$BC$38)*(H$4&lt;=$BD$11:$BD$38)&gt;0),$B68,"")</f>
        <v/>
      </c>
      <c r="I68" s="84" t="str">
        <f t="array" aca="1" ref="I68" ca="1">IF(OR((I$66&gt;=$BC$11:$BC$38)*(I$4&lt;=$BD$11:$BD$38)&gt;0),$B68,"")</f>
        <v/>
      </c>
      <c r="J68" s="84" t="str">
        <f t="array" aca="1" ref="J68" ca="1">IF(OR((J$66&gt;=$BC$11:$BC$38)*(J$4&lt;=$BD$11:$BD$38)&gt;0),$B68,"")</f>
        <v/>
      </c>
      <c r="K68" s="84" t="str">
        <f t="array" aca="1" ref="K68" ca="1">IF(OR((K$66&gt;=$BC$11:$BC$38)*(K$4&lt;=$BD$11:$BD$38)&gt;0),$B68,"")</f>
        <v/>
      </c>
      <c r="L68" s="84" t="str">
        <f t="array" aca="1" ref="L68" ca="1">IF(OR((L$66&gt;=$BC$11:$BC$38)*(L$4&lt;=$BD$11:$BD$38)&gt;0),$B68,"")</f>
        <v/>
      </c>
      <c r="M68" s="84" t="str">
        <f t="array" aca="1" ref="M68" ca="1">IF(OR((M$66&gt;=$BC$11:$BC$38)*(M$4&lt;=$BD$11:$BD$38)&gt;0),$B68,"")</f>
        <v/>
      </c>
      <c r="N68" s="84" t="str">
        <f t="array" aca="1" ref="N68" ca="1">IF(OR((N$66&gt;=$BC$11:$BC$38)*(N$4&lt;=$BD$11:$BD$38)&gt;0),$B68,"")</f>
        <v/>
      </c>
      <c r="O68" s="84" t="str">
        <f t="array" aca="1" ref="O68" ca="1">IF(OR((O$66&gt;=$BC$11:$BC$38)*(O$4&lt;=$BD$11:$BD$38)&gt;0),$B68,"")</f>
        <v/>
      </c>
      <c r="P68" s="84" t="str">
        <f t="array" aca="1" ref="P68" ca="1">IF(OR((P$66&gt;=$BC$11:$BC$38)*(P$4&lt;=$BD$11:$BD$38)&gt;0),$B68,"")</f>
        <v/>
      </c>
      <c r="Q68" s="84" t="str">
        <f t="array" aca="1" ref="Q68" ca="1">IF(OR((Q$66&gt;=$BC$11:$BC$38)*(Q$4&lt;=$BD$11:$BD$38)&gt;0),$B68,"")</f>
        <v/>
      </c>
      <c r="R68" s="84" t="str">
        <f t="array" aca="1" ref="R68" ca="1">IF(OR((R$66&gt;=$BC$11:$BC$38)*(R$4&lt;=$BD$11:$BD$38)&gt;0),$B68,"")</f>
        <v/>
      </c>
      <c r="S68" s="84" t="str">
        <f t="array" aca="1" ref="S68" ca="1">IF(OR((S$66&gt;=$BC$11:$BC$38)*(S$4&lt;=$BD$11:$BD$38)&gt;0),$B68,"")</f>
        <v/>
      </c>
      <c r="T68" s="84" t="str">
        <f t="array" aca="1" ref="T68" ca="1">IF(OR((T$66&gt;=$BC$11:$BC$38)*(T$4&lt;=$BD$11:$BD$38)&gt;0),$B68,"")</f>
        <v/>
      </c>
      <c r="U68" s="84" t="str">
        <f t="array" aca="1" ref="U68" ca="1">IF(OR((U$66&gt;=$BC$11:$BC$38)*(U$4&lt;=$BD$11:$BD$38)&gt;0),$B68,"")</f>
        <v/>
      </c>
      <c r="V68" s="84" t="str">
        <f t="array" aca="1" ref="V68" ca="1">IF(OR((V$66&gt;=$BC$11:$BC$38)*(V$4&lt;=$BD$11:$BD$38)&gt;0),$B68,"")</f>
        <v/>
      </c>
      <c r="W68" s="84" t="str">
        <f t="array" aca="1" ref="W68" ca="1">IF(OR((W$66&gt;=$BC$11:$BC$38)*(W$4&lt;=$BD$11:$BD$38)&gt;0),$B68,"")</f>
        <v/>
      </c>
      <c r="X68" s="84" t="str">
        <f t="array" aca="1" ref="X68" ca="1">IF(OR((X$66&gt;=$BC$11:$BC$38)*(X$4&lt;=$BD$11:$BD$38)&gt;0),$B68,"")</f>
        <v/>
      </c>
      <c r="Y68" s="84" t="str">
        <f t="array" aca="1" ref="Y68" ca="1">IF(OR((Y$66&gt;=$BC$11:$BC$38)*(Y$4&lt;=$BD$11:$BD$38)&gt;0),$B68,"")</f>
        <v/>
      </c>
      <c r="Z68" s="84" t="str">
        <f t="array" aca="1" ref="Z68" ca="1">IF(OR((Z$66&gt;=$BC$11:$BC$38)*(Z$4&lt;=$BD$11:$BD$38)&gt;0),$B68,"")</f>
        <v/>
      </c>
      <c r="AA68" s="84" t="str">
        <f t="array" aca="1" ref="AA68" ca="1">IF(OR((AA$66&gt;=$BC$11:$BC$38)*(AA$4&lt;=$BD$11:$BD$38)&gt;0),$B68,"")</f>
        <v/>
      </c>
      <c r="AB68" s="84" t="str">
        <f t="array" aca="1" ref="AB68" ca="1">IF(OR((AB$66&gt;=$BC$11:$BC$38)*(AB$4&lt;=$BD$11:$BD$38)&gt;0),$B68,"")</f>
        <v/>
      </c>
      <c r="AC68" s="84" t="str">
        <f t="array" aca="1" ref="AC68" ca="1">IF(OR((AC$66&gt;=$BC$11:$BC$38)*(AC$4&lt;=$BD$11:$BD$38)&gt;0),$B68,"")</f>
        <v/>
      </c>
      <c r="AD68" s="84" t="str">
        <f t="array" aca="1" ref="AD68" ca="1">IF(OR((AD$66&gt;=$BC$11:$BC$38)*(AD$4&lt;=$BD$11:$BD$38)&gt;0),$B68,"")</f>
        <v/>
      </c>
      <c r="AE68" s="84" t="str">
        <f t="array" aca="1" ref="AE68" ca="1">IF(OR((AE$66&gt;=$BC$11:$BC$38)*(AE$4&lt;=$BD$11:$BD$38)&gt;0),$B68,"")</f>
        <v/>
      </c>
      <c r="AF68" s="84" t="str">
        <f t="array" aca="1" ref="AF68" ca="1">IF(OR((AF$66&gt;=$BC$11:$BC$38)*(AF$4&lt;=$BD$11:$BD$38)&gt;0),$B68,"")</f>
        <v/>
      </c>
      <c r="AG68" s="84" t="str">
        <f t="array" aca="1" ref="AG68" ca="1">IF(OR((AG$66&gt;=$BC$11:$BC$38)*(AG$4&lt;=$BD$11:$BD$38)&gt;0),$B68,"")</f>
        <v/>
      </c>
      <c r="AH68" s="84" t="str">
        <f t="array" aca="1" ref="AH68" ca="1">IF(OR((AH$66&gt;=$BC$11:$BC$38)*(AH$4&lt;=$BD$11:$BD$38)&gt;0),$B68,"")</f>
        <v/>
      </c>
      <c r="AI68" s="84" t="str">
        <f t="array" aca="1" ref="AI68" ca="1">IF(OR((AI$66&gt;=$BC$11:$BC$38)*(AI$4&lt;=$BD$11:$BD$38)&gt;0),$B68,"")</f>
        <v/>
      </c>
    </row>
    <row r="69" spans="1:58">
      <c r="A69" s="8"/>
      <c r="B69" s="12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</row>
    <row r="70" spans="1:58">
      <c r="A70" s="7" t="s">
        <v>96</v>
      </c>
      <c r="B70" s="10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</row>
    <row r="71" spans="1:58">
      <c r="A71" s="75"/>
      <c r="B71" s="11" t="s">
        <v>154</v>
      </c>
      <c r="C71" s="112">
        <f>EOMONTH($A$1,-1)</f>
        <v>45016</v>
      </c>
      <c r="D71" s="112">
        <f t="shared" ref="D71:AI71" si="6">C71+1</f>
        <v>45017</v>
      </c>
      <c r="E71" s="112">
        <f t="shared" si="6"/>
        <v>45018</v>
      </c>
      <c r="F71" s="112">
        <f t="shared" si="6"/>
        <v>45019</v>
      </c>
      <c r="G71" s="112">
        <f t="shared" si="6"/>
        <v>45020</v>
      </c>
      <c r="H71" s="112">
        <f t="shared" si="6"/>
        <v>45021</v>
      </c>
      <c r="I71" s="112">
        <f t="shared" si="6"/>
        <v>45022</v>
      </c>
      <c r="J71" s="112">
        <f t="shared" si="6"/>
        <v>45023</v>
      </c>
      <c r="K71" s="112">
        <f t="shared" si="6"/>
        <v>45024</v>
      </c>
      <c r="L71" s="112">
        <f t="shared" si="6"/>
        <v>45025</v>
      </c>
      <c r="M71" s="112">
        <f t="shared" si="6"/>
        <v>45026</v>
      </c>
      <c r="N71" s="112">
        <f t="shared" si="6"/>
        <v>45027</v>
      </c>
      <c r="O71" s="112">
        <f t="shared" si="6"/>
        <v>45028</v>
      </c>
      <c r="P71" s="112">
        <f t="shared" si="6"/>
        <v>45029</v>
      </c>
      <c r="Q71" s="112">
        <f t="shared" si="6"/>
        <v>45030</v>
      </c>
      <c r="R71" s="112">
        <f t="shared" si="6"/>
        <v>45031</v>
      </c>
      <c r="S71" s="112">
        <f t="shared" si="6"/>
        <v>45032</v>
      </c>
      <c r="T71" s="112">
        <f t="shared" si="6"/>
        <v>45033</v>
      </c>
      <c r="U71" s="112">
        <f t="shared" si="6"/>
        <v>45034</v>
      </c>
      <c r="V71" s="112">
        <f t="shared" si="6"/>
        <v>45035</v>
      </c>
      <c r="W71" s="112">
        <f t="shared" si="6"/>
        <v>45036</v>
      </c>
      <c r="X71" s="112">
        <f t="shared" si="6"/>
        <v>45037</v>
      </c>
      <c r="Y71" s="112">
        <f t="shared" si="6"/>
        <v>45038</v>
      </c>
      <c r="Z71" s="112">
        <f t="shared" si="6"/>
        <v>45039</v>
      </c>
      <c r="AA71" s="112">
        <f t="shared" si="6"/>
        <v>45040</v>
      </c>
      <c r="AB71" s="112">
        <f t="shared" si="6"/>
        <v>45041</v>
      </c>
      <c r="AC71" s="112">
        <f t="shared" si="6"/>
        <v>45042</v>
      </c>
      <c r="AD71" s="112">
        <f t="shared" si="6"/>
        <v>45043</v>
      </c>
      <c r="AE71" s="112">
        <f t="shared" si="6"/>
        <v>45044</v>
      </c>
      <c r="AF71" s="112">
        <f t="shared" si="6"/>
        <v>45045</v>
      </c>
      <c r="AG71" s="112">
        <f t="shared" si="6"/>
        <v>45046</v>
      </c>
      <c r="AH71" s="112">
        <f t="shared" si="6"/>
        <v>45047</v>
      </c>
      <c r="AI71" s="112">
        <f t="shared" si="6"/>
        <v>45048</v>
      </c>
    </row>
    <row r="72" spans="1:58" ht="14.55" customHeight="1">
      <c r="A72" s="75" t="s">
        <v>209</v>
      </c>
      <c r="B72" s="16" t="s">
        <v>210</v>
      </c>
      <c r="C72" s="84" t="str">
        <f t="array" aca="1" ref="C72" ca="1">IF(OR((C$71&gt;=$BE$11:$BE$38)*(C$4&lt;=$BF$11:$BF$38)&gt;0),$B72,"")</f>
        <v/>
      </c>
      <c r="D72" s="84" t="str">
        <f t="array" aca="1" ref="D72" ca="1">IF(OR((D$71&gt;=$BE$11:$BE$38)*(D$4&lt;=$BF$11:$BF$38)&gt;0),$B72,"")</f>
        <v/>
      </c>
      <c r="E72" s="84" t="str">
        <f t="array" aca="1" ref="E72" ca="1">IF(OR((E$71&gt;=$BE$11:$BE$38)*(E$4&lt;=$BF$11:$BF$38)&gt;0),$B72,"")</f>
        <v/>
      </c>
      <c r="F72" s="80"/>
      <c r="G72" s="18"/>
      <c r="H72" s="18"/>
      <c r="I72" s="80"/>
      <c r="J72" s="80"/>
      <c r="K72" s="81"/>
      <c r="L72" s="81"/>
      <c r="M72" s="80"/>
      <c r="N72" s="84" t="str">
        <f t="array" aca="1" ref="N72" ca="1">IF(OR((N$71&gt;=$BE$11:$BE$38)*(N$4&lt;=$BF$11:$BF$38)&gt;0),$B72,"")</f>
        <v/>
      </c>
      <c r="O72" s="84" t="str">
        <f t="array" aca="1" ref="O72" ca="1">IF(OR((O$71&gt;=$BE$11:$BE$38)*(O$4&lt;=$BF$11:$BF$38)&gt;0),$B72,"")</f>
        <v/>
      </c>
      <c r="P72" s="84" t="str">
        <f t="array" aca="1" ref="P72" ca="1">IF(OR((P$71&gt;=$BE$11:$BE$38)*(P$4&lt;=$BF$11:$BF$38)&gt;0),$B72,"")</f>
        <v/>
      </c>
      <c r="Q72" s="192" t="s">
        <v>227</v>
      </c>
      <c r="R72" s="184"/>
      <c r="S72" s="184"/>
      <c r="T72" s="184"/>
      <c r="U72" s="184"/>
      <c r="V72" s="184"/>
      <c r="W72" s="184"/>
      <c r="X72" s="184"/>
      <c r="Y72" s="184"/>
      <c r="Z72" s="184"/>
      <c r="AA72" s="184"/>
      <c r="AB72" s="184"/>
      <c r="AC72" s="185"/>
      <c r="AD72" s="84" t="str">
        <f t="array" aca="1" ref="AD72" ca="1">IF(OR((AD$71&gt;=$BE$11:$BE$38)*(AD$4&lt;=$BF$11:$BF$38)&gt;0),$B72,"")</f>
        <v/>
      </c>
      <c r="AE72" s="84" t="str">
        <f t="array" aca="1" ref="AE72" ca="1">IF(OR((AE$71&gt;=$BE$11:$BE$38)*(AE$4&lt;=$BF$11:$BF$38)&gt;0),$B72,"")</f>
        <v/>
      </c>
      <c r="AF72" s="84" t="str">
        <f t="array" aca="1" ref="AF72" ca="1">IF(OR((AF$71&gt;=$BE$11:$BE$38)*(AF$4&lt;=$BF$11:$BF$38)&gt;0),$B72,"")</f>
        <v/>
      </c>
      <c r="AG72" s="84" t="str">
        <f t="array" aca="1" ref="AG72" ca="1">IF(OR((AG$71&gt;=$BE$11:$BE$38)*(AG$4&lt;=$BF$11:$BF$38)&gt;0),$B72,"")</f>
        <v/>
      </c>
      <c r="AH72" s="84" t="str">
        <f t="array" aca="1" ref="AH72" ca="1">IF(OR((AH$71&gt;=$BE$11:$BE$38)*(AH$4&lt;=$BF$11:$BF$38)&gt;0),$B72,"")</f>
        <v/>
      </c>
      <c r="AI72" s="84" t="str">
        <f t="array" aca="1" ref="AI72" ca="1">IF(OR((AI$71&gt;=$BE$11:$BE$38)*(AI$4&lt;=$BF$11:$BF$38)&gt;0),$B72,"")</f>
        <v/>
      </c>
    </row>
    <row r="73" spans="1:58">
      <c r="A73" s="75" t="s">
        <v>211</v>
      </c>
      <c r="B73" s="16">
        <v>0</v>
      </c>
      <c r="C73" s="84" t="str">
        <f t="array" aca="1" ref="C73" ca="1">IF(OR((C$71&gt;=$BE$11:$BE$38)*(C$4&lt;=$BF$11:$BF$38)&gt;0),$B73,"")</f>
        <v/>
      </c>
      <c r="D73" s="84" t="str">
        <f t="array" aca="1" ref="D73" ca="1">IF(OR((D$71&gt;=$BE$11:$BE$38)*(D$4&lt;=$BF$11:$BF$38)&gt;0),$B73,"")</f>
        <v/>
      </c>
      <c r="E73" s="84" t="str">
        <f t="array" aca="1" ref="E73" ca="1">IF(OR((E$71&gt;=$BE$11:$BE$38)*(E$4&lt;=$BF$11:$BF$38)&gt;0),$B73,"")</f>
        <v/>
      </c>
      <c r="F73" s="84" t="str">
        <f t="array" aca="1" ref="F73" ca="1">IF(OR((F$71&gt;=$BE$11:$BE$38)*(F$4&lt;=$BF$11:$BF$38)&gt;0),$B73,"")</f>
        <v/>
      </c>
      <c r="G73" s="84" t="str">
        <f t="array" aca="1" ref="G73" ca="1">IF(OR((G$71&gt;=$BE$11:$BE$38)*(G$4&lt;=$BF$11:$BF$38)&gt;0),$B73,"")</f>
        <v/>
      </c>
      <c r="H73" s="84" t="str">
        <f t="array" aca="1" ref="H73" ca="1">IF(OR((H$71&gt;=$BE$11:$BE$38)*(H$4&lt;=$BF$11:$BF$38)&gt;0),$B73,"")</f>
        <v/>
      </c>
      <c r="I73" s="84" t="str">
        <f t="array" aca="1" ref="I73" ca="1">IF(OR((I$71&gt;=$BE$11:$BE$38)*(I$4&lt;=$BF$11:$BF$38)&gt;0),$B73,"")</f>
        <v/>
      </c>
      <c r="J73" s="84"/>
      <c r="K73" s="84"/>
      <c r="L73" s="84"/>
      <c r="M73" s="84"/>
      <c r="N73" s="84" t="str">
        <f t="array" aca="1" ref="N73" ca="1">IF(OR((N$71&gt;=$BE$11:$BE$38)*(N$4&lt;=$BF$11:$BF$38)&gt;0),$B73,"")</f>
        <v/>
      </c>
      <c r="O73" s="84" t="str">
        <f t="array" aca="1" ref="O73" ca="1">IF(OR((O$71&gt;=$BE$11:$BE$38)*(O$4&lt;=$BF$11:$BF$38)&gt;0),$B73,"")</f>
        <v/>
      </c>
      <c r="P73" s="84" t="str">
        <f t="array" aca="1" ref="P73" ca="1">IF(OR((P$71&gt;=$BE$11:$BE$38)*(P$4&lt;=$BF$11:$BF$38)&gt;0),$B73,"")</f>
        <v/>
      </c>
      <c r="Q73" s="84" t="str">
        <f t="array" aca="1" ref="Q73" ca="1">IF(OR((Q$71&gt;=$BE$11:$BE$38)*(Q$4&lt;=$BF$11:$BF$38)&gt;0),$B73,"")</f>
        <v/>
      </c>
      <c r="R73" s="84" t="str">
        <f t="array" aca="1" ref="R73" ca="1">IF(OR((R$71&gt;=$BE$11:$BE$38)*(R$4&lt;=$BF$11:$BF$38)&gt;0),$B73,"")</f>
        <v/>
      </c>
      <c r="S73" s="84" t="str">
        <f t="array" aca="1" ref="S73" ca="1">IF(OR((S$71&gt;=$BE$11:$BE$38)*(S$4&lt;=$BF$11:$BF$38)&gt;0),$B73,"")</f>
        <v/>
      </c>
      <c r="T73" s="84" t="str">
        <f t="array" aca="1" ref="T73" ca="1">IF(OR((T$71&gt;=$BE$11:$BE$38)*(T$4&lt;=$BF$11:$BF$38)&gt;0),$B73,"")</f>
        <v/>
      </c>
      <c r="U73" s="84" t="str">
        <f t="array" aca="1" ref="U73" ca="1">IF(OR((U$71&gt;=$BE$11:$BE$38)*(U$4&lt;=$BF$11:$BF$38)&gt;0),$B73,"")</f>
        <v/>
      </c>
      <c r="V73" s="84" t="str">
        <f t="array" aca="1" ref="V73" ca="1">IF(OR((V$71&gt;=$BE$11:$BE$38)*(V$4&lt;=$BF$11:$BF$38)&gt;0),$B73,"")</f>
        <v/>
      </c>
      <c r="W73" s="84" t="str">
        <f t="array" aca="1" ref="W73" ca="1">IF(OR((W$71&gt;=$BE$11:$BE$38)*(W$4&lt;=$BF$11:$BF$38)&gt;0),$B73,"")</f>
        <v/>
      </c>
      <c r="X73" s="84" t="str">
        <f t="array" aca="1" ref="X73" ca="1">IF(OR((X$71&gt;=$BE$11:$BE$38)*(X$4&lt;=$BF$11:$BF$38)&gt;0),$B73,"")</f>
        <v/>
      </c>
      <c r="Y73" s="84" t="str">
        <f t="array" aca="1" ref="Y73" ca="1">IF(OR((Y$71&gt;=$BE$11:$BE$38)*(Y$4&lt;=$BF$11:$BF$38)&gt;0),$B73,"")</f>
        <v/>
      </c>
      <c r="Z73" s="84" t="str">
        <f t="array" aca="1" ref="Z73" ca="1">IF(OR((Z$71&gt;=$BE$11:$BE$38)*(Z$4&lt;=$BF$11:$BF$38)&gt;0),$B73,"")</f>
        <v/>
      </c>
      <c r="AA73" s="84" t="str">
        <f t="array" aca="1" ref="AA73" ca="1">IF(OR((AA$71&gt;=$BE$11:$BE$38)*(AA$4&lt;=$BF$11:$BF$38)&gt;0),$B73,"")</f>
        <v/>
      </c>
      <c r="AB73" s="84" t="str">
        <f t="array" aca="1" ref="AB73" ca="1">IF(OR((AB$71&gt;=$BE$11:$BE$38)*(AB$4&lt;=$BF$11:$BF$38)&gt;0),$B73,"")</f>
        <v/>
      </c>
      <c r="AC73" s="84" t="str">
        <f t="array" aca="1" ref="AC73" ca="1">IF(OR((AC$71&gt;=$BE$11:$BE$38)*(AC$4&lt;=$BF$11:$BF$38)&gt;0),$B73,"")</f>
        <v/>
      </c>
      <c r="AD73" s="84" t="str">
        <f t="array" aca="1" ref="AD73" ca="1">IF(OR((AD$71&gt;=$BE$11:$BE$38)*(AD$4&lt;=$BF$11:$BF$38)&gt;0),$B73,"")</f>
        <v/>
      </c>
      <c r="AE73" s="84" t="str">
        <f t="array" aca="1" ref="AE73" ca="1">IF(OR((AE$71&gt;=$BE$11:$BE$38)*(AE$4&lt;=$BF$11:$BF$38)&gt;0),$B73,"")</f>
        <v/>
      </c>
      <c r="AF73" s="84" t="str">
        <f t="array" aca="1" ref="AF73" ca="1">IF(OR((AF$71&gt;=$BE$11:$BE$38)*(AF$4&lt;=$BF$11:$BF$38)&gt;0),$B73,"")</f>
        <v/>
      </c>
      <c r="AG73" s="84" t="str">
        <f t="array" aca="1" ref="AG73" ca="1">IF(OR((AG$71&gt;=$BE$11:$BE$38)*(AG$4&lt;=$BF$11:$BF$38)&gt;0),$B73,"")</f>
        <v/>
      </c>
      <c r="AH73" s="84" t="str">
        <f t="array" aca="1" ref="AH73" ca="1">IF(OR((AH$71&gt;=$BE$11:$BE$38)*(AH$4&lt;=$BF$11:$BF$38)&gt;0),$B73,"")</f>
        <v/>
      </c>
      <c r="AI73" s="84" t="str">
        <f t="array" aca="1" ref="AI73" ca="1">IF(OR((AI$71&gt;=$BE$11:$BE$38)*(AI$4&lt;=$BF$11:$BF$38)&gt;0),$B73,"")</f>
        <v/>
      </c>
    </row>
    <row r="74" spans="1:58" ht="16.5" customHeight="1">
      <c r="A74" s="75" t="s">
        <v>212</v>
      </c>
      <c r="B74" s="16">
        <v>0</v>
      </c>
      <c r="C74" s="84" t="str">
        <f t="array" aca="1" ref="C74" ca="1">IF(OR((C$71&gt;=$BE$11:$BE$38)*(C$4&lt;=$BF$11:$BF$38)&gt;0),$B74,"")</f>
        <v/>
      </c>
      <c r="D74" s="84" t="str">
        <f t="array" aca="1" ref="D74" ca="1">IF(OR((D$71&gt;=$BE$11:$BE$38)*(D$4&lt;=$BF$11:$BF$38)&gt;0),$B74,"")</f>
        <v/>
      </c>
      <c r="E74" s="84" t="str">
        <f t="array" aca="1" ref="E74" ca="1">IF(OR((E$71&gt;=$BE$11:$BE$38)*(E$4&lt;=$BF$11:$BF$38)&gt;0),$B74,"")</f>
        <v/>
      </c>
      <c r="F74" s="84" t="str">
        <f t="array" aca="1" ref="F74" ca="1">IF(OR((F$71&gt;=$BE$11:$BE$38)*(F$4&lt;=$BF$11:$BF$38)&gt;0),$B74,"")</f>
        <v/>
      </c>
      <c r="G74" s="84" t="str">
        <f t="array" aca="1" ref="G74" ca="1">IF(OR((G$71&gt;=$BE$11:$BE$38)*(G$4&lt;=$BF$11:$BF$38)&gt;0),$B74,"")</f>
        <v/>
      </c>
      <c r="H74" s="84" t="str">
        <f t="array" aca="1" ref="H74" ca="1">IF(OR((H$71&gt;=$BE$11:$BE$38)*(H$4&lt;=$BF$11:$BF$38)&gt;0),$B74,"")</f>
        <v/>
      </c>
      <c r="I74" s="84" t="str">
        <f t="array" aca="1" ref="I74" ca="1">IF(OR((I$71&gt;=$BE$11:$BE$38)*(I$4&lt;=$BF$11:$BF$38)&gt;0),$B74,"")</f>
        <v/>
      </c>
      <c r="J74" s="84" t="str">
        <f t="array" aca="1" ref="J74" ca="1">IF(OR((J$71&gt;=$BE$11:$BE$38)*(J$4&lt;=$BF$11:$BF$38)&gt;0),$B74,"")</f>
        <v/>
      </c>
      <c r="K74" s="84" t="str">
        <f t="array" aca="1" ref="K74" ca="1">IF(OR((K$71&gt;=$BE$11:$BE$38)*(K$4&lt;=$BF$11:$BF$38)&gt;0),$B74,"")</f>
        <v/>
      </c>
      <c r="L74" s="84" t="str">
        <f t="array" aca="1" ref="L74" ca="1">IF(OR((L$71&gt;=$BE$11:$BE$38)*(L$4&lt;=$BF$11:$BF$38)&gt;0),$B74,"")</f>
        <v/>
      </c>
      <c r="M74" s="84" t="str">
        <f t="array" aca="1" ref="M74" ca="1">IF(OR((M$71&gt;=$BE$11:$BE$38)*(M$4&lt;=$BF$11:$BF$38)&gt;0),$B74,"")</f>
        <v/>
      </c>
      <c r="N74" s="84" t="str">
        <f t="array" aca="1" ref="N74" ca="1">IF(OR((N$71&gt;=$BE$11:$BE$38)*(N$4&lt;=$BF$11:$BF$38)&gt;0),$B74,"")</f>
        <v/>
      </c>
      <c r="O74" s="84" t="str">
        <f t="array" aca="1" ref="O74" ca="1">IF(OR((O$71&gt;=$BE$11:$BE$38)*(O$4&lt;=$BF$11:$BF$38)&gt;0),$B74,"")</f>
        <v/>
      </c>
      <c r="P74" s="84" t="str">
        <f t="array" aca="1" ref="P74" ca="1">IF(OR((P$71&gt;=$BE$11:$BE$38)*(P$4&lt;=$BF$11:$BF$38)&gt;0),$B74,"")</f>
        <v/>
      </c>
      <c r="Q74" s="84" t="str">
        <f t="array" aca="1" ref="Q74" ca="1">IF(OR((Q$71&gt;=$BE$11:$BE$38)*(Q$4&lt;=$BF$11:$BF$38)&gt;0),$B74,"")</f>
        <v/>
      </c>
      <c r="R74" s="84" t="str">
        <f t="array" aca="1" ref="R74" ca="1">IF(OR((R$71&gt;=$BE$11:$BE$38)*(R$4&lt;=$BF$11:$BF$38)&gt;0),$B74,"")</f>
        <v/>
      </c>
      <c r="S74" s="84" t="str">
        <f t="array" aca="1" ref="S74" ca="1">IF(OR((S$71&gt;=$BE$11:$BE$38)*(S$4&lt;=$BF$11:$BF$38)&gt;0),$B74,"")</f>
        <v/>
      </c>
      <c r="T74" s="84" t="str">
        <f t="array" aca="1" ref="T74" ca="1">IF(OR((T$71&gt;=$BE$11:$BE$38)*(T$4&lt;=$BF$11:$BF$38)&gt;0),$B74,"")</f>
        <v/>
      </c>
      <c r="U74" s="84" t="str">
        <f t="array" aca="1" ref="U74" ca="1">IF(OR((U$71&gt;=$BE$11:$BE$38)*(U$4&lt;=$BF$11:$BF$38)&gt;0),$B74,"")</f>
        <v/>
      </c>
      <c r="V74" s="84" t="str">
        <f t="array" aca="1" ref="V74" ca="1">IF(OR((V$71&gt;=$BE$11:$BE$38)*(V$4&lt;=$BF$11:$BF$38)&gt;0),$B74,"")</f>
        <v/>
      </c>
      <c r="W74" s="84" t="str">
        <f t="array" aca="1" ref="W74" ca="1">IF(OR((W$71&gt;=$BE$11:$BE$38)*(W$4&lt;=$BF$11:$BF$38)&gt;0),$B74,"")</f>
        <v/>
      </c>
      <c r="X74" s="84" t="str">
        <f t="array" aca="1" ref="X74" ca="1">IF(OR((X$71&gt;=$BE$11:$BE$38)*(X$4&lt;=$BF$11:$BF$38)&gt;0),$B74,"")</f>
        <v/>
      </c>
      <c r="Y74" s="84" t="str">
        <f t="array" aca="1" ref="Y74" ca="1">IF(OR((Y$71&gt;=$BE$11:$BE$38)*(Y$4&lt;=$BF$11:$BF$38)&gt;0),$B74,"")</f>
        <v/>
      </c>
      <c r="Z74" s="84" t="str">
        <f t="array" aca="1" ref="Z74" ca="1">IF(OR((Z$71&gt;=$BE$11:$BE$38)*(Z$4&lt;=$BF$11:$BF$38)&gt;0),$B74,"")</f>
        <v/>
      </c>
      <c r="AA74" s="84" t="str">
        <f t="array" aca="1" ref="AA74" ca="1">IF(OR((AA$71&gt;=$BE$11:$BE$38)*(AA$4&lt;=$BF$11:$BF$38)&gt;0),$B74,"")</f>
        <v/>
      </c>
      <c r="AB74" s="84" t="str">
        <f t="array" aca="1" ref="AB74" ca="1">IF(OR((AB$71&gt;=$BE$11:$BE$38)*(AB$4&lt;=$BF$11:$BF$38)&gt;0),$B74,"")</f>
        <v/>
      </c>
      <c r="AC74" s="84" t="str">
        <f t="array" aca="1" ref="AC74" ca="1">IF(OR((AC$71&gt;=$BE$11:$BE$38)*(AC$4&lt;=$BF$11:$BF$38)&gt;0),$B74,"")</f>
        <v/>
      </c>
      <c r="AD74" s="84" t="str">
        <f t="array" aca="1" ref="AD74" ca="1">IF(OR((AD$71&gt;=$BE$11:$BE$38)*(AD$4&lt;=$BF$11:$BF$38)&gt;0),$B74,"")</f>
        <v/>
      </c>
      <c r="AE74" s="84" t="str">
        <f t="array" aca="1" ref="AE74" ca="1">IF(OR((AE$71&gt;=$BE$11:$BE$38)*(AE$4&lt;=$BF$11:$BF$38)&gt;0),$B74,"")</f>
        <v/>
      </c>
      <c r="AF74" s="84" t="str">
        <f t="array" aca="1" ref="AF74" ca="1">IF(OR((AF$71&gt;=$BE$11:$BE$38)*(AF$4&lt;=$BF$11:$BF$38)&gt;0),$B74,"")</f>
        <v/>
      </c>
      <c r="AG74" s="84" t="str">
        <f t="array" aca="1" ref="AG74" ca="1">IF(OR((AG$71&gt;=$BE$11:$BE$38)*(AG$4&lt;=$BF$11:$BF$38)&gt;0),$B74,"")</f>
        <v/>
      </c>
      <c r="AH74" s="84" t="str">
        <f t="array" aca="1" ref="AH74" ca="1">IF(OR((AH$71&gt;=$BE$11:$BE$38)*(AH$4&lt;=$BF$11:$BF$38)&gt;0),$B74,"")</f>
        <v/>
      </c>
      <c r="AI74" s="84" t="str">
        <f t="array" aca="1" ref="AI74" ca="1">IF(OR((AI$71&gt;=$BE$11:$BE$38)*(AI$4&lt;=$BF$11:$BF$38)&gt;0),$B74,"")</f>
        <v/>
      </c>
    </row>
    <row r="75" spans="1:58">
      <c r="A75" s="75" t="s">
        <v>213</v>
      </c>
      <c r="B75" s="16">
        <v>0</v>
      </c>
      <c r="C75" s="84" t="str">
        <f t="array" aca="1" ref="C75" ca="1">IF(OR((C$71&gt;=$BE$11:$BE$38)*(C$4&lt;=$BF$11:$BF$38)&gt;0),$B75,"")</f>
        <v/>
      </c>
      <c r="D75" s="84" t="str">
        <f t="array" aca="1" ref="D75" ca="1">IF(OR((D$71&gt;=$BE$11:$BE$38)*(D$4&lt;=$BF$11:$BF$38)&gt;0),$B75,"")</f>
        <v/>
      </c>
      <c r="E75" s="84" t="str">
        <f t="array" aca="1" ref="E75" ca="1">IF(OR((E$71&gt;=$BE$11:$BE$38)*(E$4&lt;=$BF$11:$BF$38)&gt;0),$B75,"")</f>
        <v/>
      </c>
      <c r="F75" s="84" t="str">
        <f t="array" aca="1" ref="F75" ca="1">IF(OR((F$71&gt;=$BE$11:$BE$38)*(F$4&lt;=$BF$11:$BF$38)&gt;0),$B75,"")</f>
        <v/>
      </c>
      <c r="G75" s="84" t="str">
        <f t="array" aca="1" ref="G75" ca="1">IF(OR((G$71&gt;=$BE$11:$BE$38)*(G$4&lt;=$BF$11:$BF$38)&gt;0),$B75,"")</f>
        <v/>
      </c>
      <c r="H75" s="84" t="str">
        <f t="array" aca="1" ref="H75" ca="1">IF(OR((H$71&gt;=$BE$11:$BE$38)*(H$4&lt;=$BF$11:$BF$38)&gt;0),$B75,"")</f>
        <v/>
      </c>
      <c r="I75" s="84" t="str">
        <f t="array" aca="1" ref="I75" ca="1">IF(OR((I$71&gt;=$BE$11:$BE$38)*(I$4&lt;=$BF$11:$BF$38)&gt;0),$B75,"")</f>
        <v/>
      </c>
      <c r="J75" s="84" t="str">
        <f t="array" aca="1" ref="J75" ca="1">IF(OR((J$71&gt;=$BE$11:$BE$38)*(J$4&lt;=$BF$11:$BF$38)&gt;0),$B75,"")</f>
        <v/>
      </c>
      <c r="K75" s="84" t="str">
        <f t="array" aca="1" ref="K75" ca="1">IF(OR((K$71&gt;=$BE$11:$BE$38)*(K$4&lt;=$BF$11:$BF$38)&gt;0),$B75,"")</f>
        <v/>
      </c>
      <c r="L75" s="84" t="str">
        <f t="array" aca="1" ref="L75" ca="1">IF(OR((L$71&gt;=$BE$11:$BE$38)*(L$4&lt;=$BF$11:$BF$38)&gt;0),$B75,"")</f>
        <v/>
      </c>
      <c r="M75" s="84" t="str">
        <f t="array" aca="1" ref="M75" ca="1">IF(OR((M$71&gt;=$BE$11:$BE$38)*(M$4&lt;=$BF$11:$BF$38)&gt;0),$B75,"")</f>
        <v/>
      </c>
      <c r="N75" s="84" t="str">
        <f t="array" aca="1" ref="N75" ca="1">IF(OR((N$71&gt;=$BE$11:$BE$38)*(N$4&lt;=$BF$11:$BF$38)&gt;0),$B75,"")</f>
        <v/>
      </c>
      <c r="O75" s="84" t="str">
        <f t="array" aca="1" ref="O75" ca="1">IF(OR((O$71&gt;=$BE$11:$BE$38)*(O$4&lt;=$BF$11:$BF$38)&gt;0),$B75,"")</f>
        <v/>
      </c>
      <c r="P75" s="84" t="str">
        <f t="array" aca="1" ref="P75" ca="1">IF(OR((P$71&gt;=$BE$11:$BE$38)*(P$4&lt;=$BF$11:$BF$38)&gt;0),$B75,"")</f>
        <v/>
      </c>
      <c r="Q75" s="84" t="str">
        <f t="array" aca="1" ref="Q75" ca="1">IF(OR((Q$71&gt;=$BE$11:$BE$38)*(Q$4&lt;=$BF$11:$BF$38)&gt;0),$B75,"")</f>
        <v/>
      </c>
      <c r="R75" s="84" t="str">
        <f t="array" aca="1" ref="R75" ca="1">IF(OR((R$71&gt;=$BE$11:$BE$38)*(R$4&lt;=$BF$11:$BF$38)&gt;0),$B75,"")</f>
        <v/>
      </c>
      <c r="S75" s="84" t="str">
        <f t="array" aca="1" ref="S75" ca="1">IF(OR((S$71&gt;=$BE$11:$BE$38)*(S$4&lt;=$BF$11:$BF$38)&gt;0),$B75,"")</f>
        <v/>
      </c>
      <c r="T75" s="84" t="str">
        <f t="array" aca="1" ref="T75" ca="1">IF(OR((T$71&gt;=$BE$11:$BE$38)*(T$4&lt;=$BF$11:$BF$38)&gt;0),$B75,"")</f>
        <v/>
      </c>
      <c r="U75" s="84" t="str">
        <f t="array" aca="1" ref="U75" ca="1">IF(OR((U$71&gt;=$BE$11:$BE$38)*(U$4&lt;=$BF$11:$BF$38)&gt;0),$B75,"")</f>
        <v/>
      </c>
      <c r="V75" s="84" t="str">
        <f t="array" aca="1" ref="V75" ca="1">IF(OR((V$71&gt;=$BE$11:$BE$38)*(V$4&lt;=$BF$11:$BF$38)&gt;0),$B75,"")</f>
        <v/>
      </c>
      <c r="W75" s="84" t="str">
        <f t="array" aca="1" ref="W75" ca="1">IF(OR((W$71&gt;=$BE$11:$BE$38)*(W$4&lt;=$BF$11:$BF$38)&gt;0),$B75,"")</f>
        <v/>
      </c>
      <c r="X75" s="84" t="str">
        <f t="array" aca="1" ref="X75" ca="1">IF(OR((X$71&gt;=$BE$11:$BE$38)*(X$4&lt;=$BF$11:$BF$38)&gt;0),$B75,"")</f>
        <v/>
      </c>
      <c r="Y75" s="84" t="str">
        <f t="array" aca="1" ref="Y75" ca="1">IF(OR((Y$71&gt;=$BE$11:$BE$38)*(Y$4&lt;=$BF$11:$BF$38)&gt;0),$B75,"")</f>
        <v/>
      </c>
      <c r="Z75" s="84" t="str">
        <f t="array" aca="1" ref="Z75" ca="1">IF(OR((Z$71&gt;=$BE$11:$BE$38)*(Z$4&lt;=$BF$11:$BF$38)&gt;0),$B75,"")</f>
        <v/>
      </c>
      <c r="AA75" s="84" t="str">
        <f t="array" aca="1" ref="AA75" ca="1">IF(OR((AA$71&gt;=$BE$11:$BE$38)*(AA$4&lt;=$BF$11:$BF$38)&gt;0),$B75,"")</f>
        <v/>
      </c>
      <c r="AB75" s="84" t="str">
        <f t="array" aca="1" ref="AB75" ca="1">IF(OR((AB$71&gt;=$BE$11:$BE$38)*(AB$4&lt;=$BF$11:$BF$38)&gt;0),$B75,"")</f>
        <v/>
      </c>
      <c r="AC75" s="84" t="str">
        <f t="array" aca="1" ref="AC75" ca="1">IF(OR((AC$71&gt;=$BE$11:$BE$38)*(AC$4&lt;=$BF$11:$BF$38)&gt;0),$B75,"")</f>
        <v/>
      </c>
      <c r="AD75" s="84" t="str">
        <f t="array" aca="1" ref="AD75" ca="1">IF(OR((AD$71&gt;=$BE$11:$BE$38)*(AD$4&lt;=$BF$11:$BF$38)&gt;0),$B75,"")</f>
        <v/>
      </c>
      <c r="AE75" s="84" t="str">
        <f t="array" aca="1" ref="AE75" ca="1">IF(OR((AE$71&gt;=$BE$11:$BE$38)*(AE$4&lt;=$BF$11:$BF$38)&gt;0),$B75,"")</f>
        <v/>
      </c>
      <c r="AF75" s="84" t="str">
        <f t="array" aca="1" ref="AF75" ca="1">IF(OR((AF$71&gt;=$BE$11:$BE$38)*(AF$4&lt;=$BF$11:$BF$38)&gt;0),$B75,"")</f>
        <v/>
      </c>
      <c r="AG75" s="84" t="str">
        <f t="array" aca="1" ref="AG75" ca="1">IF(OR((AG$71&gt;=$BE$11:$BE$38)*(AG$4&lt;=$BF$11:$BF$38)&gt;0),$B75,"")</f>
        <v/>
      </c>
      <c r="AH75" s="84" t="str">
        <f t="array" aca="1" ref="AH75" ca="1">IF(OR((AH$71&gt;=$BE$11:$BE$38)*(AH$4&lt;=$BF$11:$BF$38)&gt;0),$B75,"")</f>
        <v/>
      </c>
      <c r="AI75" s="84" t="str">
        <f t="array" aca="1" ref="AI75" ca="1">IF(OR((AI$71&gt;=$BE$11:$BE$38)*(AI$4&lt;=$BF$11:$BF$38)&gt;0),$B75,"")</f>
        <v/>
      </c>
    </row>
    <row r="76" spans="1:58" s="55" customFormat="1">
      <c r="B76" s="56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</row>
    <row r="77" spans="1:58">
      <c r="A77" s="7" t="s">
        <v>9</v>
      </c>
      <c r="B77" s="1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M77" t="s">
        <v>151</v>
      </c>
      <c r="AN77" t="s">
        <v>152</v>
      </c>
      <c r="AO77" t="s">
        <v>153</v>
      </c>
      <c r="AP77" t="s">
        <v>151</v>
      </c>
      <c r="AQ77" t="s">
        <v>152</v>
      </c>
      <c r="AR77" t="s">
        <v>153</v>
      </c>
      <c r="AS77" t="s">
        <v>152</v>
      </c>
      <c r="AT77" t="s">
        <v>153</v>
      </c>
      <c r="AU77" t="s">
        <v>152</v>
      </c>
      <c r="AV77" t="s">
        <v>153</v>
      </c>
      <c r="AW77" t="s">
        <v>152</v>
      </c>
      <c r="AX77" t="s">
        <v>153</v>
      </c>
      <c r="AY77" t="s">
        <v>152</v>
      </c>
      <c r="AZ77" t="s">
        <v>153</v>
      </c>
      <c r="BA77" t="s">
        <v>152</v>
      </c>
      <c r="BB77" t="s">
        <v>153</v>
      </c>
      <c r="BC77" t="s">
        <v>152</v>
      </c>
      <c r="BD77" t="s">
        <v>153</v>
      </c>
      <c r="BE77" t="s">
        <v>152</v>
      </c>
      <c r="BF77" t="s">
        <v>153</v>
      </c>
    </row>
    <row r="78" spans="1:58">
      <c r="A78" s="75"/>
      <c r="B78" s="11" t="s">
        <v>154</v>
      </c>
      <c r="C78" s="112">
        <f>EOMONTH($A$1,-1)</f>
        <v>45016</v>
      </c>
      <c r="D78" s="112">
        <f t="shared" ref="D78:AI78" si="7">C78+1</f>
        <v>45017</v>
      </c>
      <c r="E78" s="112">
        <f t="shared" si="7"/>
        <v>45018</v>
      </c>
      <c r="F78" s="112">
        <f t="shared" si="7"/>
        <v>45019</v>
      </c>
      <c r="G78" s="112">
        <f t="shared" si="7"/>
        <v>45020</v>
      </c>
      <c r="H78" s="112">
        <f t="shared" si="7"/>
        <v>45021</v>
      </c>
      <c r="I78" s="112">
        <f t="shared" si="7"/>
        <v>45022</v>
      </c>
      <c r="J78" s="112">
        <f t="shared" si="7"/>
        <v>45023</v>
      </c>
      <c r="K78" s="112">
        <f t="shared" si="7"/>
        <v>45024</v>
      </c>
      <c r="L78" s="112">
        <f t="shared" si="7"/>
        <v>45025</v>
      </c>
      <c r="M78" s="112">
        <f t="shared" si="7"/>
        <v>45026</v>
      </c>
      <c r="N78" s="112">
        <f t="shared" si="7"/>
        <v>45027</v>
      </c>
      <c r="O78" s="112">
        <f t="shared" si="7"/>
        <v>45028</v>
      </c>
      <c r="P78" s="112">
        <f t="shared" si="7"/>
        <v>45029</v>
      </c>
      <c r="Q78" s="112">
        <f t="shared" si="7"/>
        <v>45030</v>
      </c>
      <c r="R78" s="112">
        <f t="shared" si="7"/>
        <v>45031</v>
      </c>
      <c r="S78" s="112">
        <f t="shared" si="7"/>
        <v>45032</v>
      </c>
      <c r="T78" s="112">
        <f t="shared" si="7"/>
        <v>45033</v>
      </c>
      <c r="U78" s="112">
        <f t="shared" si="7"/>
        <v>45034</v>
      </c>
      <c r="V78" s="112">
        <f t="shared" si="7"/>
        <v>45035</v>
      </c>
      <c r="W78" s="112">
        <f t="shared" si="7"/>
        <v>45036</v>
      </c>
      <c r="X78" s="112">
        <f t="shared" si="7"/>
        <v>45037</v>
      </c>
      <c r="Y78" s="112">
        <f t="shared" si="7"/>
        <v>45038</v>
      </c>
      <c r="Z78" s="112">
        <f t="shared" si="7"/>
        <v>45039</v>
      </c>
      <c r="AA78" s="112">
        <f t="shared" si="7"/>
        <v>45040</v>
      </c>
      <c r="AB78" s="112">
        <f t="shared" si="7"/>
        <v>45041</v>
      </c>
      <c r="AC78" s="112">
        <f t="shared" si="7"/>
        <v>45042</v>
      </c>
      <c r="AD78" s="112">
        <f t="shared" si="7"/>
        <v>45043</v>
      </c>
      <c r="AE78" s="112">
        <f t="shared" si="7"/>
        <v>45044</v>
      </c>
      <c r="AF78" s="112">
        <f t="shared" si="7"/>
        <v>45045</v>
      </c>
      <c r="AG78" s="112">
        <f t="shared" si="7"/>
        <v>45046</v>
      </c>
      <c r="AH78" s="112">
        <f t="shared" si="7"/>
        <v>45047</v>
      </c>
      <c r="AI78" s="112">
        <f t="shared" si="7"/>
        <v>45048</v>
      </c>
      <c r="AL78">
        <v>1</v>
      </c>
      <c r="AM78" t="str">
        <f t="array" aca="1" ref="AM78" ca="1">IFERROR(OFFSET('(Fill In) SIAO'!$A$1,SMALL(IF(Signals="Y",ROW(Signals)),AL78)-1,COLUMN(Conducts)-1),"")</f>
        <v/>
      </c>
      <c r="AN78" s="113" t="str">
        <f t="array" aca="1" ref="AN78" ca="1">IFERROR(OFFSET('(Fill In) SIAO'!$A$1,SMALL(IF(Signals="Y",ROW(Signals)),AL78)-1,COLUMN(StartDate)-1),"")</f>
        <v/>
      </c>
      <c r="AO78" s="113" t="str">
        <f t="array" aca="1" ref="AO78" ca="1">IFERROR(OFFSET('(Fill In) SIAO'!$A$1,SMALL(IF(Signals="Y",ROW(Signals)),AL78)-1,COLUMN(EndDate)-1),"")</f>
        <v/>
      </c>
      <c r="AP78" s="113" t="str">
        <f t="array" aca="1" ref="AP78" ca="1">IFERROR(OFFSET('(Fill In) SIAO'!$A$1,SMALL(IF(Optics="Y",ROW(Optics)),AL78)-1,COLUMN(Conducts)-1),"")</f>
        <v/>
      </c>
      <c r="AQ78" s="113" t="str">
        <f t="array" aca="1" ref="AQ78" ca="1">IFERROR(OFFSET('(Fill In) SIAO'!$A$1,SMALL(IF(Optics="Y",ROW(Optics)),AL78)-1,COLUMN(StartDate)-1),"")</f>
        <v/>
      </c>
      <c r="AR78" s="113" t="str">
        <f t="array" aca="1" ref="AR78" ca="1">IFERROR(OFFSET('(Fill In) SIAO'!$A$1,SMALL(IF(Optics="Y",ROW(Optics)),AL78)-1,COLUMN(EndDate)-1),"")</f>
        <v/>
      </c>
      <c r="AS78" s="113" t="str">
        <f t="array" aca="1" ref="AS78" ca="1">IFERROR(OFFSET('(Fill In) SIAO'!$A$1,SMALL(IF(ACMS="Y",ROW(ACMS)),AL78)-1,COLUMN(StartDate)-1),"")</f>
        <v/>
      </c>
      <c r="AT78" s="113" t="str">
        <f t="array" aca="1" ref="AT78" ca="1">IFERROR(OFFSET('(Fill In) SIAO'!$A$1,SMALL(IF(ACMS="Y",ROW(ACMS)),AL78)-1,COLUMN(EndDate)-1),"")</f>
        <v/>
      </c>
      <c r="AU78" s="113" t="str">
        <f t="array" aca="1" ref="AU78" ca="1">IFERROR(OFFSET('(Fill In) SIAO'!$A$1,SMALL(IF(UOCE="Y",ROW(UOCE)),AL78)-1,COLUMN(StartDate)-1),"")</f>
        <v/>
      </c>
      <c r="AV78" s="113" t="str">
        <f t="array" aca="1" ref="AV78" ca="1">IFERROR(OFFSET('(Fill In) SIAO'!$A$1,SMALL(IF(UOCE="Y",ROW(UOCE)),AL78)-1,COLUMN(EndDate)-1),"")</f>
        <v/>
      </c>
      <c r="AW78" s="113" t="str">
        <f t="array" aca="1" ref="AW78" ca="1">IFERROR(OFFSET('(Fill In) SIAO'!$A$1,SMALL(IF(HLT="Y",ROW(HLT)),AL78)-1,COLUMN(StartDate)-1),"")</f>
        <v/>
      </c>
      <c r="AX78" s="113" t="str">
        <f t="array" aca="1" ref="AX78" ca="1">IFERROR(OFFSET('(Fill In) SIAO'!$A$1,SMALL(IF(HLT="Y",ROW(HLT)),AL78)-1,COLUMN(EndDate)-1),"")</f>
        <v/>
      </c>
      <c r="AY78" s="113" t="str">
        <f t="array" aca="1" ref="AY78" ca="1">IFERROR(OFFSET('(Fill In) SIAO'!$A$1,SMALL(IF(PANTES="Y",ROW(PANTES)),AL78)-1,COLUMN(StartDate)-1),"")</f>
        <v/>
      </c>
      <c r="AZ78" s="113" t="str">
        <f t="array" aca="1" ref="AZ78" ca="1">IFERROR(OFFSET('(Fill In) SIAO'!$A$1,SMALL(IF(PANTES="Y",ROW(PANTES)),AL78)-1,COLUMN(EndDate)-1),"")</f>
        <v/>
      </c>
      <c r="BA78" s="113" t="str">
        <f t="array" aca="1" ref="BA78" ca="1">IFERROR(OFFSET('(Fill In) SIAO'!$A$1,SMALL(IF(Heli="Y",ROW(Heli)),AL78)-1,COLUMN(StartDate)-1),"")</f>
        <v/>
      </c>
      <c r="BB78" s="113" t="str">
        <f t="array" aca="1" ref="BB78" ca="1">IFERROR(OFFSET('(Fill In) SIAO'!$A$1,SMALL(IF(Heli="Y",ROW(Heli)),AL78)-1,COLUMN(EndDate)-1),"")</f>
        <v/>
      </c>
      <c r="BC78" s="113" t="str">
        <f t="array" aca="1" ref="BC78" ca="1">IFERROR(OFFSET('(Fill In) SIAO'!$A$1,SMALL(IF(MMR="Y",ROW(MMR)),AL78)-1,COLUMN(StartDate)-1),"")</f>
        <v/>
      </c>
      <c r="BD78" s="113" t="str">
        <f t="array" aca="1" ref="BD78" ca="1">IFERROR(OFFSET('(Fill In) SIAO'!$A$1,SMALL(IF(MMR="Y",ROW(MMR)),AL78)-1,COLUMN(EndDate)-1),"")</f>
        <v/>
      </c>
      <c r="BE78" s="113" t="str">
        <f t="array" aca="1" ref="BE78" ca="1">IFERROR(OFFSET('(Fill In) SIAO'!$A$1,SMALL(IF(POL="Y",ROW(POL)),AL78)-1,COLUMN(StartDate)-1),"")</f>
        <v/>
      </c>
      <c r="BF78" s="113" t="str">
        <f t="array" aca="1" ref="BF78" ca="1">IFERROR(OFFSET('(Fill In) SIAO'!$A$1,SMALL(IF(POL="Y",ROW(POL)),AL78)-1,COLUMN(EndDate)-1),"")</f>
        <v/>
      </c>
    </row>
    <row r="79" spans="1:58">
      <c r="A79" s="75" t="s">
        <v>228</v>
      </c>
      <c r="B79" s="74"/>
      <c r="C79" s="84" t="str">
        <f t="array" aca="1" ref="C79" ca="1">IF(OR((C$71&gt;=$BE$11:$BE$38)*(C$4&lt;=$BF$11:$BF$38)&gt;0),$B79,"")</f>
        <v/>
      </c>
      <c r="D79" s="84" t="str">
        <f t="array" aca="1" ref="D79" ca="1">IF(OR((D$71&gt;=$BE$11:$BE$38)*(D$4&lt;=$BF$11:$BF$38)&gt;0),$B79,"")</f>
        <v/>
      </c>
      <c r="E79" s="84" t="str">
        <f t="array" aca="1" ref="E79" ca="1">IF(OR((E$71&gt;=$BE$11:$BE$38)*(E$4&lt;=$BF$11:$BF$38)&gt;0),$B79,"")</f>
        <v/>
      </c>
      <c r="F79" s="84" t="str">
        <f t="array" aca="1" ref="F79" ca="1">IF(OR((F$71&gt;=$BE$11:$BE$38)*(F$4&lt;=$BF$11:$BF$38)&gt;0),$B79,"")</f>
        <v/>
      </c>
      <c r="G79" s="84" t="str">
        <f t="array" aca="1" ref="G79" ca="1">IF(OR((G$71&gt;=$BE$11:$BE$38)*(G$4&lt;=$BF$11:$BF$38)&gt;0),$B79,"")</f>
        <v/>
      </c>
      <c r="H79" s="84" t="str">
        <f t="array" aca="1" ref="H79" ca="1">IF(OR((H$71&gt;=$BE$11:$BE$38)*(H$4&lt;=$BF$11:$BF$38)&gt;0),$B79,"")</f>
        <v/>
      </c>
      <c r="I79" s="84" t="str">
        <f t="array" aca="1" ref="I79" ca="1">IF(OR((I$71&gt;=$BE$11:$BE$38)*(I$4&lt;=$BF$11:$BF$38)&gt;0),$B79,"")</f>
        <v/>
      </c>
      <c r="J79" s="84"/>
      <c r="K79" s="84"/>
      <c r="L79" s="84"/>
      <c r="M79" s="84" t="str">
        <f t="array" aca="1" ref="M79" ca="1">IF(OR((M$71&gt;=$BE$11:$BE$38)*(M$4&lt;=$BF$11:$BF$38)&gt;0),$B79,"")</f>
        <v/>
      </c>
      <c r="N79" s="84" t="str">
        <f t="array" aca="1" ref="N79" ca="1">IF(OR((N$71&gt;=$BE$11:$BE$38)*(N$4&lt;=$BF$11:$BF$38)&gt;0),$B79,"")</f>
        <v/>
      </c>
      <c r="O79" s="84" t="str">
        <f t="array" aca="1" ref="O79" ca="1">IF(OR((O$71&gt;=$BE$11:$BE$38)*(O$4&lt;=$BF$11:$BF$38)&gt;0),$B79,"")</f>
        <v/>
      </c>
      <c r="P79" s="84" t="str">
        <f t="array" aca="1" ref="P79" ca="1">IF(OR((P$71&gt;=$BE$11:$BE$38)*(P$4&lt;=$BF$11:$BF$38)&gt;0),$B79,"")</f>
        <v/>
      </c>
      <c r="Q79" s="84" t="str">
        <f t="array" aca="1" ref="Q79" ca="1">IF(OR((Q$71&gt;=$BE$11:$BE$38)*(Q$4&lt;=$BF$11:$BF$38)&gt;0),$B79,"")</f>
        <v/>
      </c>
      <c r="R79" s="84" t="str">
        <f t="array" aca="1" ref="R79" ca="1">IF(OR((R$71&gt;=$BE$11:$BE$38)*(R$4&lt;=$BF$11:$BF$38)&gt;0),$B79,"")</f>
        <v/>
      </c>
      <c r="S79" s="84" t="str">
        <f t="array" aca="1" ref="S79" ca="1">IF(OR((S$71&gt;=$BE$11:$BE$38)*(S$4&lt;=$BF$11:$BF$38)&gt;0),$B79,"")</f>
        <v/>
      </c>
      <c r="T79" s="84" t="str">
        <f t="array" aca="1" ref="T79" ca="1">IF(OR((T$71&gt;=$BE$11:$BE$38)*(T$4&lt;=$BF$11:$BF$38)&gt;0),$B79,"")</f>
        <v/>
      </c>
      <c r="U79" s="84" t="str">
        <f t="array" aca="1" ref="U79" ca="1">IF(OR((U$71&gt;=$BE$11:$BE$38)*(U$4&lt;=$BF$11:$BF$38)&gt;0),$B79,"")</f>
        <v/>
      </c>
      <c r="V79" s="84" t="str">
        <f t="array" aca="1" ref="V79" ca="1">IF(OR((V$71&gt;=$BE$11:$BE$38)*(V$4&lt;=$BF$11:$BF$38)&gt;0),$B79,"")</f>
        <v/>
      </c>
      <c r="W79" s="84" t="str">
        <f t="array" aca="1" ref="W79" ca="1">IF(OR((W$71&gt;=$BE$11:$BE$38)*(W$4&lt;=$BF$11:$BF$38)&gt;0),$B79,"")</f>
        <v/>
      </c>
      <c r="X79" s="84" t="str">
        <f t="array" aca="1" ref="X79" ca="1">IF(OR((X$71&gt;=$BE$11:$BE$38)*(X$4&lt;=$BF$11:$BF$38)&gt;0),$B79,"")</f>
        <v/>
      </c>
      <c r="Y79" s="84" t="str">
        <f t="array" aca="1" ref="Y79" ca="1">IF(OR((Y$71&gt;=$BE$11:$BE$38)*(Y$4&lt;=$BF$11:$BF$38)&gt;0),$B79,"")</f>
        <v/>
      </c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L79">
        <v>2</v>
      </c>
      <c r="AM79" t="str">
        <f t="array" aca="1" ref="AM79" ca="1">IFERROR(OFFSET('(Fill In) SIAO'!$A$1,SMALL(IF(Signals="Y",ROW(Signals)),AL79)-1,COLUMN(Conducts)-1),"")</f>
        <v/>
      </c>
      <c r="AN79" s="113" t="str">
        <f t="array" aca="1" ref="AN79" ca="1">IFERROR(OFFSET('(Fill In) SIAO'!$A$1,SMALL(IF(Signals="Y",ROW(Signals)),AL79)-1,COLUMN(StartDate)-1),"")</f>
        <v/>
      </c>
      <c r="AO79" s="113" t="str">
        <f t="array" aca="1" ref="AO79" ca="1">IFERROR(OFFSET('(Fill In) SIAO'!$A$1,SMALL(IF(Signals="Y",ROW(Signals)),AL79)-1,COLUMN(EndDate)-1),"")</f>
        <v/>
      </c>
      <c r="AP79" s="113" t="str">
        <f t="array" aca="1" ref="AP79" ca="1">IFERROR(OFFSET('(Fill In) SIAO'!$A$1,SMALL(IF(Optics="Y",ROW(Optics)),AL79)-1,COLUMN(Conducts)-1),"")</f>
        <v/>
      </c>
      <c r="AQ79" s="113" t="str">
        <f t="array" aca="1" ref="AQ79" ca="1">IFERROR(OFFSET('(Fill In) SIAO'!$A$1,SMALL(IF(Optics="Y",ROW(Optics)),AL79)-1,COLUMN(StartDate)-1),"")</f>
        <v/>
      </c>
      <c r="AR79" s="113" t="str">
        <f t="array" aca="1" ref="AR79" ca="1">IFERROR(OFFSET('(Fill In) SIAO'!$A$1,SMALL(IF(Optics="Y",ROW(Optics)),AL79)-1,COLUMN(EndDate)-1),"")</f>
        <v/>
      </c>
      <c r="AS79" s="113" t="str">
        <f t="array" aca="1" ref="AS79" ca="1">IFERROR(OFFSET('(Fill In) SIAO'!$A$1,SMALL(IF(ACMS="Y",ROW(ACMS)),AL79)-1,COLUMN(StartDate)-1),"")</f>
        <v/>
      </c>
      <c r="AT79" s="113" t="str">
        <f t="array" aca="1" ref="AT79" ca="1">IFERROR(OFFSET('(Fill In) SIAO'!$A$1,SMALL(IF(ACMS="Y",ROW(ACMS)),AL79)-1,COLUMN(EndDate)-1),"")</f>
        <v/>
      </c>
      <c r="AU79" s="113" t="str">
        <f t="array" aca="1" ref="AU79" ca="1">IFERROR(OFFSET('(Fill In) SIAO'!$A$1,SMALL(IF(UOCE="Y",ROW(UOCE)),AL79)-1,COLUMN(StartDate)-1),"")</f>
        <v/>
      </c>
      <c r="AV79" s="113" t="str">
        <f t="array" aca="1" ref="AV79" ca="1">IFERROR(OFFSET('(Fill In) SIAO'!$A$1,SMALL(IF(UOCE="Y",ROW(UOCE)),AL79)-1,COLUMN(EndDate)-1),"")</f>
        <v/>
      </c>
      <c r="AW79" s="113" t="str">
        <f t="array" aca="1" ref="AW79" ca="1">IFERROR(OFFSET('(Fill In) SIAO'!$A$1,SMALL(IF(HLT="Y",ROW(HLT)),AL79)-1,COLUMN(StartDate)-1),"")</f>
        <v/>
      </c>
      <c r="AX79" s="113" t="str">
        <f t="array" aca="1" ref="AX79" ca="1">IFERROR(OFFSET('(Fill In) SIAO'!$A$1,SMALL(IF(HLT="Y",ROW(HLT)),AL79)-1,COLUMN(EndDate)-1),"")</f>
        <v/>
      </c>
      <c r="AY79" s="113" t="str">
        <f t="array" aca="1" ref="AY79" ca="1">IFERROR(OFFSET('(Fill In) SIAO'!$A$1,SMALL(IF(PANTES="Y",ROW(PANTES)),AL79)-1,COLUMN(StartDate)-1),"")</f>
        <v/>
      </c>
      <c r="AZ79" s="113" t="str">
        <f t="array" aca="1" ref="AZ79" ca="1">IFERROR(OFFSET('(Fill In) SIAO'!$A$1,SMALL(IF(PANTES="Y",ROW(PANTES)),AL79)-1,COLUMN(EndDate)-1),"")</f>
        <v/>
      </c>
      <c r="BA79" s="113" t="str">
        <f t="array" aca="1" ref="BA79" ca="1">IFERROR(OFFSET('(Fill In) SIAO'!$A$1,SMALL(IF(Heli="Y",ROW(Heli)),AL79)-1,COLUMN(StartDate)-1),"")</f>
        <v/>
      </c>
      <c r="BB79" s="113" t="str">
        <f t="array" aca="1" ref="BB79" ca="1">IFERROR(OFFSET('(Fill In) SIAO'!$A$1,SMALL(IF(Heli="Y",ROW(Heli)),AL79)-1,COLUMN(EndDate)-1),"")</f>
        <v/>
      </c>
      <c r="BC79" s="113" t="str">
        <f t="array" aca="1" ref="BC79" ca="1">IFERROR(OFFSET('(Fill In) SIAO'!$A$1,SMALL(IF(MMR="Y",ROW(MMR)),AL79)-1,COLUMN(StartDate)-1),"")</f>
        <v/>
      </c>
      <c r="BD79" s="113" t="str">
        <f t="array" aca="1" ref="BD79" ca="1">IFERROR(OFFSET('(Fill In) SIAO'!$A$1,SMALL(IF(MMR="Y",ROW(MMR)),AL79)-1,COLUMN(EndDate)-1),"")</f>
        <v/>
      </c>
      <c r="BE79" s="113" t="str">
        <f t="array" aca="1" ref="BE79" ca="1">IFERROR(OFFSET('(Fill In) SIAO'!$A$1,SMALL(IF(POL="Y",ROW(POL)),AL79)-1,COLUMN(StartDate)-1),"")</f>
        <v/>
      </c>
      <c r="BF79" s="113" t="str">
        <f t="array" aca="1" ref="BF79" ca="1">IFERROR(OFFSET('(Fill In) SIAO'!$A$1,SMALL(IF(POL="Y",ROW(POL)),AL79)-1,COLUMN(EndDate)-1),"")</f>
        <v/>
      </c>
    </row>
    <row r="80" spans="1:58" ht="16.5" customHeight="1">
      <c r="A80" s="75" t="s">
        <v>218</v>
      </c>
      <c r="B80" s="74"/>
      <c r="C80" s="84" t="str">
        <f t="array" aca="1" ref="C80" ca="1">IF(OR((C$71&gt;=$BE$11:$BE$38)*(C$4&lt;=$BF$11:$BF$38)&gt;0),$B80,"")</f>
        <v/>
      </c>
      <c r="D80" s="84" t="str">
        <f t="array" aca="1" ref="D80" ca="1">IF(OR((D$71&gt;=$BE$11:$BE$38)*(D$4&lt;=$BF$11:$BF$38)&gt;0),$B80,"")</f>
        <v/>
      </c>
      <c r="E80" s="84" t="str">
        <f t="array" aca="1" ref="E80" ca="1">IF(OR((E$71&gt;=$BE$11:$BE$38)*(E$4&lt;=$BF$11:$BF$38)&gt;0),$B80,"")</f>
        <v/>
      </c>
      <c r="F80" s="84" t="str">
        <f t="array" aca="1" ref="F80" ca="1">IF(OR((F$71&gt;=$BE$11:$BE$38)*(F$4&lt;=$BF$11:$BF$38)&gt;0),$B80,"")</f>
        <v/>
      </c>
      <c r="G80" s="84" t="str">
        <f t="array" aca="1" ref="G80" ca="1">IF(OR((G$71&gt;=$BE$11:$BE$38)*(G$4&lt;=$BF$11:$BF$38)&gt;0),$B80,"")</f>
        <v/>
      </c>
      <c r="H80" s="84" t="str">
        <f t="array" aca="1" ref="H80" ca="1">IF(OR((H$71&gt;=$BE$11:$BE$38)*(H$4&lt;=$BF$11:$BF$38)&gt;0),$B80,"")</f>
        <v/>
      </c>
      <c r="I80" s="84" t="str">
        <f t="array" aca="1" ref="I80" ca="1">IF(OR((I$71&gt;=$BE$11:$BE$38)*(I$4&lt;=$BF$11:$BF$38)&gt;0),$B80,"")</f>
        <v/>
      </c>
      <c r="J80" s="84"/>
      <c r="K80" s="84"/>
      <c r="L80" s="84"/>
      <c r="M80" s="84" t="str">
        <f t="array" aca="1" ref="M80" ca="1">IF(OR((M$71&gt;=$BE$11:$BE$38)*(M$4&lt;=$BF$11:$BF$38)&gt;0),$B80,"")</f>
        <v/>
      </c>
      <c r="N80" s="84" t="str">
        <f t="array" aca="1" ref="N80" ca="1">IF(OR((N$71&gt;=$BE$11:$BE$38)*(N$4&lt;=$BF$11:$BF$38)&gt;0),$B80,"")</f>
        <v/>
      </c>
      <c r="O80" s="84" t="str">
        <f t="array" aca="1" ref="O80" ca="1">IF(OR((O$71&gt;=$BE$11:$BE$38)*(O$4&lt;=$BF$11:$BF$38)&gt;0),$B80,"")</f>
        <v/>
      </c>
      <c r="P80" s="84" t="str">
        <f t="array" aca="1" ref="P80" ca="1">IF(OR((P$71&gt;=$BE$11:$BE$38)*(P$4&lt;=$BF$11:$BF$38)&gt;0),$B80,"")</f>
        <v/>
      </c>
      <c r="Q80" s="84" t="str">
        <f t="array" aca="1" ref="Q80" ca="1">IF(OR((Q$71&gt;=$BE$11:$BE$38)*(Q$4&lt;=$BF$11:$BF$38)&gt;0),$B80,"")</f>
        <v/>
      </c>
      <c r="R80" s="84" t="str">
        <f t="array" aca="1" ref="R80" ca="1">IF(OR((R$71&gt;=$BE$11:$BE$38)*(R$4&lt;=$BF$11:$BF$38)&gt;0),$B80,"")</f>
        <v/>
      </c>
      <c r="S80" s="84" t="str">
        <f t="array" aca="1" ref="S80" ca="1">IF(OR((S$71&gt;=$BE$11:$BE$38)*(S$4&lt;=$BF$11:$BF$38)&gt;0),$B80,"")</f>
        <v/>
      </c>
      <c r="T80" s="84" t="str">
        <f t="array" aca="1" ref="T80" ca="1">IF(OR((T$71&gt;=$BE$11:$BE$38)*(T$4&lt;=$BF$11:$BF$38)&gt;0),$B80,"")</f>
        <v/>
      </c>
      <c r="U80" s="84" t="str">
        <f t="array" aca="1" ref="U80" ca="1">IF(OR((U$71&gt;=$BE$11:$BE$38)*(U$4&lt;=$BF$11:$BF$38)&gt;0),$B80,"")</f>
        <v/>
      </c>
      <c r="V80" s="84" t="str">
        <f t="array" aca="1" ref="V80" ca="1">IF(OR((V$71&gt;=$BE$11:$BE$38)*(V$4&lt;=$BF$11:$BF$38)&gt;0),$B80,"")</f>
        <v/>
      </c>
      <c r="W80" s="84" t="str">
        <f t="array" aca="1" ref="W80" ca="1">IF(OR((W$71&gt;=$BE$11:$BE$38)*(W$4&lt;=$BF$11:$BF$38)&gt;0),$B80,"")</f>
        <v/>
      </c>
      <c r="X80" s="84" t="str">
        <f t="array" aca="1" ref="X80" ca="1">IF(OR((X$71&gt;=$BE$11:$BE$38)*(X$4&lt;=$BF$11:$BF$38)&gt;0),$B80,"")</f>
        <v/>
      </c>
      <c r="Y80" s="84" t="str">
        <f t="array" aca="1" ref="Y80" ca="1">IF(OR((Y$71&gt;=$BE$11:$BE$38)*(Y$4&lt;=$BF$11:$BF$38)&gt;0),$B80,"")</f>
        <v/>
      </c>
      <c r="Z80" s="84" t="str">
        <f t="array" aca="1" ref="Z80" ca="1">IF(OR((Z$71&gt;=$BE$11:$BE$38)*(Z$4&lt;=$BF$11:$BF$38)&gt;0),$B80,"")</f>
        <v/>
      </c>
      <c r="AA80" s="84" t="str">
        <f t="array" aca="1" ref="AA80" ca="1">IF(OR((AA$71&gt;=$BE$11:$BE$38)*(AA$4&lt;=$BF$11:$BF$38)&gt;0),$B80,"")</f>
        <v/>
      </c>
      <c r="AB80" s="84" t="str">
        <f t="array" aca="1" ref="AB80" ca="1">IF(OR((AB$71&gt;=$BE$11:$BE$38)*(AB$4&lt;=$BF$11:$BF$38)&gt;0),$B80,"")</f>
        <v/>
      </c>
      <c r="AC80" s="84" t="str">
        <f t="array" aca="1" ref="AC80" ca="1">IF(OR((AC$71&gt;=$BE$11:$BE$38)*(AC$4&lt;=$BF$11:$BF$38)&gt;0),$B80,"")</f>
        <v/>
      </c>
      <c r="AD80" s="84" t="str">
        <f t="array" aca="1" ref="AD80" ca="1">IF(OR((AD$71&gt;=$BE$11:$BE$38)*(AD$4&lt;=$BF$11:$BF$38)&gt;0),$B80,"")</f>
        <v/>
      </c>
      <c r="AE80" s="84" t="str">
        <f t="array" aca="1" ref="AE80" ca="1">IF(OR((AE$71&gt;=$BE$11:$BE$38)*(AE$4&lt;=$BF$11:$BF$38)&gt;0),$B80,"")</f>
        <v/>
      </c>
      <c r="AF80" s="84" t="str">
        <f t="array" aca="1" ref="AF80" ca="1">IF(OR((AF$71&gt;=$BE$11:$BE$38)*(AF$4&lt;=$BF$11:$BF$38)&gt;0),$B80,"")</f>
        <v/>
      </c>
      <c r="AG80" s="84" t="str">
        <f t="array" aca="1" ref="AG80" ca="1">IF(OR((AG$71&gt;=$BE$11:$BE$38)*(AG$4&lt;=$BF$11:$BF$38)&gt;0),$B80,"")</f>
        <v/>
      </c>
      <c r="AH80" s="84" t="str">
        <f t="array" aca="1" ref="AH80" ca="1">IF(OR((AH$71&gt;=$BE$11:$BE$38)*(AH$4&lt;=$BF$11:$BF$38)&gt;0),$B80,"")</f>
        <v/>
      </c>
      <c r="AI80" s="84" t="str">
        <f t="array" aca="1" ref="AI80" ca="1">IF(OR((AI$71&gt;=$BE$11:$BE$38)*(AI$4&lt;=$BF$11:$BF$38)&gt;0),$B80,"")</f>
        <v/>
      </c>
    </row>
    <row r="81" spans="1:35">
      <c r="A81" s="75" t="s">
        <v>219</v>
      </c>
      <c r="B81" s="74"/>
      <c r="C81" s="84" t="str">
        <f t="array" aca="1" ref="C81" ca="1">IF(OR((C$71&gt;=$BE$11:$BE$38)*(C$4&lt;=$BF$11:$BF$38)&gt;0),$B81,"")</f>
        <v/>
      </c>
      <c r="D81" s="84" t="str">
        <f t="array" aca="1" ref="D81" ca="1">IF(OR((D$71&gt;=$BE$11:$BE$38)*(D$4&lt;=$BF$11:$BF$38)&gt;0),$B81,"")</f>
        <v/>
      </c>
      <c r="E81" s="84" t="str">
        <f t="array" aca="1" ref="E81" ca="1">IF(OR((E$71&gt;=$BE$11:$BE$38)*(E$4&lt;=$BF$11:$BF$38)&gt;0),$B81,"")</f>
        <v/>
      </c>
      <c r="F81" s="84" t="str">
        <f t="array" aca="1" ref="F81" ca="1">IF(OR((F$71&gt;=$BE$11:$BE$38)*(F$4&lt;=$BF$11:$BF$38)&gt;0),$B81,"")</f>
        <v/>
      </c>
      <c r="G81" s="84" t="str">
        <f t="array" aca="1" ref="G81" ca="1">IF(OR((G$71&gt;=$BE$11:$BE$38)*(G$4&lt;=$BF$11:$BF$38)&gt;0),$B81,"")</f>
        <v/>
      </c>
      <c r="H81" s="84">
        <v>10</v>
      </c>
      <c r="I81" s="84">
        <v>10</v>
      </c>
      <c r="J81" s="84">
        <v>10</v>
      </c>
      <c r="K81" s="84">
        <v>10</v>
      </c>
      <c r="L81" s="84">
        <v>10</v>
      </c>
      <c r="M81" s="84">
        <v>10</v>
      </c>
      <c r="N81" s="84">
        <v>10</v>
      </c>
      <c r="O81" s="84">
        <v>10</v>
      </c>
      <c r="P81" s="84">
        <v>10</v>
      </c>
      <c r="Q81" s="84">
        <v>10</v>
      </c>
      <c r="R81" s="84"/>
      <c r="S81" s="84" t="str">
        <f t="array" aca="1" ref="S81" ca="1">IF(OR((S$71&gt;=$BE$11:$BE$38)*(S$4&lt;=$BF$11:$BF$38)&gt;0),$B81,"")</f>
        <v/>
      </c>
      <c r="T81" s="84" t="str">
        <f t="array" aca="1" ref="T81" ca="1">IF(OR((T$71&gt;=$BE$11:$BE$38)*(T$4&lt;=$BF$11:$BF$38)&gt;0),$B81,"")</f>
        <v/>
      </c>
      <c r="U81" s="84" t="str">
        <f t="array" aca="1" ref="U81" ca="1">IF(OR((U$71&gt;=$BE$11:$BE$38)*(U$4&lt;=$BF$11:$BF$38)&gt;0),$B81,"")</f>
        <v/>
      </c>
      <c r="V81" s="84" t="str">
        <f t="array" aca="1" ref="V81" ca="1">IF(OR((V$71&gt;=$BE$11:$BE$38)*(V$4&lt;=$BF$11:$BF$38)&gt;0),$B81,"")</f>
        <v/>
      </c>
      <c r="W81" s="84" t="str">
        <f t="array" aca="1" ref="W81" ca="1">IF(OR((W$71&gt;=$BE$11:$BE$38)*(W$4&lt;=$BF$11:$BF$38)&gt;0),$B81,"")</f>
        <v/>
      </c>
      <c r="X81" s="84" t="str">
        <f t="array" aca="1" ref="X81" ca="1">IF(OR((X$71&gt;=$BE$11:$BE$38)*(X$4&lt;=$BF$11:$BF$38)&gt;0),$B81,"")</f>
        <v/>
      </c>
      <c r="Y81" s="84" t="str">
        <f t="array" aca="1" ref="Y81" ca="1">IF(OR((Y$71&gt;=$BE$11:$BE$38)*(Y$4&lt;=$BF$11:$BF$38)&gt;0),$B81,"")</f>
        <v/>
      </c>
      <c r="Z81" s="84" t="str">
        <f t="array" aca="1" ref="Z81" ca="1">IF(OR((Z$71&gt;=$BE$11:$BE$38)*(Z$4&lt;=$BF$11:$BF$38)&gt;0),$B81,"")</f>
        <v/>
      </c>
      <c r="AA81" s="84" t="str">
        <f t="array" aca="1" ref="AA81" ca="1">IF(OR((AA$71&gt;=$BE$11:$BE$38)*(AA$4&lt;=$BF$11:$BF$38)&gt;0),$B81,"")</f>
        <v/>
      </c>
      <c r="AB81" s="84" t="str">
        <f t="array" aca="1" ref="AB81" ca="1">IF(OR((AB$71&gt;=$BE$11:$BE$38)*(AB$4&lt;=$BF$11:$BF$38)&gt;0),$B81,"")</f>
        <v/>
      </c>
      <c r="AC81" s="84" t="str">
        <f t="array" aca="1" ref="AC81" ca="1">IF(OR((AC$71&gt;=$BE$11:$BE$38)*(AC$4&lt;=$BF$11:$BF$38)&gt;0),$B81,"")</f>
        <v/>
      </c>
      <c r="AD81" s="84" t="str">
        <f t="array" aca="1" ref="AD81" ca="1">IF(OR((AD$71&gt;=$BE$11:$BE$38)*(AD$4&lt;=$BF$11:$BF$38)&gt;0),$B81,"")</f>
        <v/>
      </c>
      <c r="AE81" s="84" t="str">
        <f t="array" aca="1" ref="AE81" ca="1">IF(OR((AE$71&gt;=$BE$11:$BE$38)*(AE$4&lt;=$BF$11:$BF$38)&gt;0),$B81,"")</f>
        <v/>
      </c>
      <c r="AF81" s="84" t="str">
        <f t="array" aca="1" ref="AF81" ca="1">IF(OR((AF$71&gt;=$BE$11:$BE$38)*(AF$4&lt;=$BF$11:$BF$38)&gt;0),$B81,"")</f>
        <v/>
      </c>
      <c r="AG81" s="84" t="str">
        <f t="array" aca="1" ref="AG81" ca="1">IF(OR((AG$71&gt;=$BE$11:$BE$38)*(AG$4&lt;=$BF$11:$BF$38)&gt;0),$B81,"")</f>
        <v/>
      </c>
      <c r="AH81" s="84" t="str">
        <f t="array" aca="1" ref="AH81" ca="1">IF(OR((AH$71&gt;=$BE$11:$BE$38)*(AH$4&lt;=$BF$11:$BF$38)&gt;0),$B81,"")</f>
        <v/>
      </c>
      <c r="AI81" s="84" t="str">
        <f t="array" aca="1" ref="AI81" ca="1">IF(OR((AI$71&gt;=$BE$11:$BE$38)*(AI$4&lt;=$BF$11:$BF$38)&gt;0),$B81,"")</f>
        <v/>
      </c>
    </row>
    <row r="82" spans="1:35">
      <c r="A82" s="75" t="s">
        <v>220</v>
      </c>
      <c r="B82" s="74"/>
      <c r="C82" s="84" t="str">
        <f t="array" aca="1" ref="C82" ca="1">IF(OR((C$71&gt;=$BE$11:$BE$38)*(C$4&lt;=$BF$11:$BF$38)&gt;0),$B82,"")</f>
        <v/>
      </c>
      <c r="D82" s="84" t="str">
        <f t="array" aca="1" ref="D82" ca="1">IF(OR((D$71&gt;=$BE$11:$BE$38)*(D$4&lt;=$BF$11:$BF$38)&gt;0),$B82,"")</f>
        <v/>
      </c>
      <c r="E82" s="84" t="str">
        <f t="array" aca="1" ref="E82" ca="1">IF(OR((E$71&gt;=$BE$11:$BE$38)*(E$4&lt;=$BF$11:$BF$38)&gt;0),$B82,"")</f>
        <v/>
      </c>
      <c r="F82" s="84" t="str">
        <f t="array" aca="1" ref="F82" ca="1">IF(OR((F$71&gt;=$BE$11:$BE$38)*(F$4&lt;=$BF$11:$BF$38)&gt;0),$B82,"")</f>
        <v/>
      </c>
      <c r="G82" s="84" t="str">
        <f t="array" aca="1" ref="G82" ca="1">IF(OR((G$71&gt;=$BE$11:$BE$38)*(G$4&lt;=$BF$11:$BF$38)&gt;0),$B82,"")</f>
        <v/>
      </c>
      <c r="H82" s="84" t="str">
        <f t="array" aca="1" ref="H82" ca="1">IF(OR((H$71&gt;=$BE$11:$BE$38)*(H$4&lt;=$BF$11:$BF$38)&gt;0),$B82,"")</f>
        <v/>
      </c>
      <c r="I82" s="84" t="str">
        <f t="array" aca="1" ref="I82" ca="1">IF(OR((I$71&gt;=$BE$11:$BE$38)*(I$4&lt;=$BF$11:$BF$38)&gt;0),$B82,"")</f>
        <v/>
      </c>
      <c r="J82" s="84" t="str">
        <f t="array" aca="1" ref="J82" ca="1">IF(OR((J$71&gt;=$BE$11:$BE$38)*(J$4&lt;=$BF$11:$BF$38)&gt;0),$B82,"")</f>
        <v/>
      </c>
      <c r="K82" s="84" t="str">
        <f t="array" aca="1" ref="K82" ca="1">IF(OR((K$71&gt;=$BE$11:$BE$38)*(K$4&lt;=$BF$11:$BF$38)&gt;0),$B82,"")</f>
        <v/>
      </c>
      <c r="L82" s="84" t="str">
        <f t="array" aca="1" ref="L82" ca="1">IF(OR((L$71&gt;=$BE$11:$BE$38)*(L$4&lt;=$BF$11:$BF$38)&gt;0),$B82,"")</f>
        <v/>
      </c>
      <c r="M82" s="84" t="str">
        <f t="array" aca="1" ref="M82" ca="1">IF(OR((M$71&gt;=$BE$11:$BE$38)*(M$4&lt;=$BF$11:$BF$38)&gt;0),$B82,"")</f>
        <v/>
      </c>
      <c r="N82" s="84" t="str">
        <f t="array" aca="1" ref="N82" ca="1">IF(OR((N$71&gt;=$BE$11:$BE$38)*(N$4&lt;=$BF$11:$BF$38)&gt;0),$B82,"")</f>
        <v/>
      </c>
      <c r="O82" s="84" t="str">
        <f t="array" aca="1" ref="O82" ca="1">IF(OR((O$71&gt;=$BE$11:$BE$38)*(O$4&lt;=$BF$11:$BF$38)&gt;0),$B82,"")</f>
        <v/>
      </c>
      <c r="P82" s="84" t="str">
        <f t="array" aca="1" ref="P82" ca="1">IF(OR((P$71&gt;=$BE$11:$BE$38)*(P$4&lt;=$BF$11:$BF$38)&gt;0),$B82,"")</f>
        <v/>
      </c>
      <c r="Q82" s="84" t="str">
        <f t="array" aca="1" ref="Q82" ca="1">IF(OR((Q$71&gt;=$BE$11:$BE$38)*(Q$4&lt;=$BF$11:$BF$38)&gt;0),$B82,"")</f>
        <v/>
      </c>
      <c r="R82" s="84" t="str">
        <f t="array" aca="1" ref="R82" ca="1">IF(OR((R$71&gt;=$BE$11:$BE$38)*(R$4&lt;=$BF$11:$BF$38)&gt;0),$B82,"")</f>
        <v/>
      </c>
      <c r="S82" s="84" t="str">
        <f t="array" aca="1" ref="S82" ca="1">IF(OR((S$71&gt;=$BE$11:$BE$38)*(S$4&lt;=$BF$11:$BF$38)&gt;0),$B82,"")</f>
        <v/>
      </c>
      <c r="T82" s="84" t="str">
        <f t="array" aca="1" ref="T82" ca="1">IF(OR((T$71&gt;=$BE$11:$BE$38)*(T$4&lt;=$BF$11:$BF$38)&gt;0),$B82,"")</f>
        <v/>
      </c>
      <c r="U82" s="84" t="str">
        <f t="array" aca="1" ref="U82" ca="1">IF(OR((U$71&gt;=$BE$11:$BE$38)*(U$4&lt;=$BF$11:$BF$38)&gt;0),$B82,"")</f>
        <v/>
      </c>
      <c r="V82" s="84" t="str">
        <f t="array" aca="1" ref="V82" ca="1">IF(OR((V$71&gt;=$BE$11:$BE$38)*(V$4&lt;=$BF$11:$BF$38)&gt;0),$B82,"")</f>
        <v/>
      </c>
      <c r="W82" s="84" t="str">
        <f t="array" aca="1" ref="W82" ca="1">IF(OR((W$71&gt;=$BE$11:$BE$38)*(W$4&lt;=$BF$11:$BF$38)&gt;0),$B82,"")</f>
        <v/>
      </c>
      <c r="X82" s="84" t="str">
        <f t="array" aca="1" ref="X82" ca="1">IF(OR((X$71&gt;=$BE$11:$BE$38)*(X$4&lt;=$BF$11:$BF$38)&gt;0),$B82,"")</f>
        <v/>
      </c>
      <c r="Y82" s="84" t="str">
        <f t="array" aca="1" ref="Y82" ca="1">IF(OR((Y$71&gt;=$BE$11:$BE$38)*(Y$4&lt;=$BF$11:$BF$38)&gt;0),$B82,"")</f>
        <v/>
      </c>
      <c r="Z82" s="84" t="str">
        <f t="array" aca="1" ref="Z82" ca="1">IF(OR((Z$71&gt;=$BE$11:$BE$38)*(Z$4&lt;=$BF$11:$BF$38)&gt;0),$B82,"")</f>
        <v/>
      </c>
      <c r="AA82" s="84" t="str">
        <f t="array" aca="1" ref="AA82" ca="1">IF(OR((AA$71&gt;=$BE$11:$BE$38)*(AA$4&lt;=$BF$11:$BF$38)&gt;0),$B82,"")</f>
        <v/>
      </c>
      <c r="AB82" s="84" t="str">
        <f t="array" aca="1" ref="AB82" ca="1">IF(OR((AB$71&gt;=$BE$11:$BE$38)*(AB$4&lt;=$BF$11:$BF$38)&gt;0),$B82,"")</f>
        <v/>
      </c>
      <c r="AC82" s="84" t="str">
        <f t="array" aca="1" ref="AC82" ca="1">IF(OR((AC$71&gt;=$BE$11:$BE$38)*(AC$4&lt;=$BF$11:$BF$38)&gt;0),$B82,"")</f>
        <v/>
      </c>
      <c r="AD82" s="84" t="str">
        <f t="array" aca="1" ref="AD82" ca="1">IF(OR((AD$71&gt;=$BE$11:$BE$38)*(AD$4&lt;=$BF$11:$BF$38)&gt;0),$B82,"")</f>
        <v/>
      </c>
      <c r="AE82" s="84" t="str">
        <f t="array" aca="1" ref="AE82" ca="1">IF(OR((AE$71&gt;=$BE$11:$BE$38)*(AE$4&lt;=$BF$11:$BF$38)&gt;0),$B82,"")</f>
        <v/>
      </c>
      <c r="AF82" s="84" t="str">
        <f t="array" aca="1" ref="AF82" ca="1">IF(OR((AF$71&gt;=$BE$11:$BE$38)*(AF$4&lt;=$BF$11:$BF$38)&gt;0),$B82,"")</f>
        <v/>
      </c>
      <c r="AG82" s="84" t="str">
        <f t="array" aca="1" ref="AG82" ca="1">IF(OR((AG$71&gt;=$BE$11:$BE$38)*(AG$4&lt;=$BF$11:$BF$38)&gt;0),$B82,"")</f>
        <v/>
      </c>
      <c r="AH82" s="84" t="str">
        <f t="array" aca="1" ref="AH82" ca="1">IF(OR((AH$71&gt;=$BE$11:$BE$38)*(AH$4&lt;=$BF$11:$BF$38)&gt;0),$B82,"")</f>
        <v/>
      </c>
      <c r="AI82" s="84" t="str">
        <f t="array" aca="1" ref="AI82" ca="1">IF(OR((AI$71&gt;=$BE$11:$BE$38)*(AI$4&lt;=$BF$11:$BF$38)&gt;0),$B82,"")</f>
        <v/>
      </c>
    </row>
    <row r="83" spans="1:35">
      <c r="A83" s="75" t="s">
        <v>221</v>
      </c>
      <c r="B83" s="74"/>
      <c r="C83" s="80"/>
      <c r="D83" s="81"/>
      <c r="E83" s="81"/>
      <c r="F83" s="80"/>
      <c r="G83" s="80"/>
      <c r="H83" s="80"/>
      <c r="I83" s="80"/>
      <c r="J83" s="80"/>
      <c r="K83" s="81"/>
      <c r="L83" s="81"/>
      <c r="M83" s="80"/>
      <c r="N83" s="80"/>
      <c r="O83" s="80"/>
      <c r="P83" s="80"/>
      <c r="Q83" s="80">
        <v>1</v>
      </c>
      <c r="R83" s="81">
        <v>1</v>
      </c>
      <c r="S83" s="81">
        <v>1</v>
      </c>
      <c r="T83" s="80">
        <v>1</v>
      </c>
      <c r="U83" s="80">
        <v>1</v>
      </c>
      <c r="V83" s="80">
        <v>1</v>
      </c>
      <c r="W83" s="80">
        <v>1</v>
      </c>
      <c r="X83" s="80">
        <v>1</v>
      </c>
      <c r="Y83" s="81">
        <v>1</v>
      </c>
      <c r="Z83" s="81">
        <v>1</v>
      </c>
      <c r="AA83" s="80">
        <v>1</v>
      </c>
      <c r="AB83" s="80">
        <v>1</v>
      </c>
      <c r="AC83" s="80">
        <v>1</v>
      </c>
      <c r="AD83" s="80">
        <v>1</v>
      </c>
      <c r="AE83" s="80">
        <v>1</v>
      </c>
      <c r="AF83" s="81">
        <v>1</v>
      </c>
      <c r="AG83" s="81">
        <v>1</v>
      </c>
      <c r="AH83" s="80">
        <v>1</v>
      </c>
      <c r="AI83" s="80">
        <v>1</v>
      </c>
    </row>
  </sheetData>
  <mergeCells count="23">
    <mergeCell ref="AU23:AV23"/>
    <mergeCell ref="AW2:AX2"/>
    <mergeCell ref="BA2:BB2"/>
    <mergeCell ref="BC2:BD2"/>
    <mergeCell ref="AW23:AX23"/>
    <mergeCell ref="AY23:AZ23"/>
    <mergeCell ref="BA23:BB23"/>
    <mergeCell ref="Q72:AC72"/>
    <mergeCell ref="AN23:AO23"/>
    <mergeCell ref="BE23:BF23"/>
    <mergeCell ref="A42:AI42"/>
    <mergeCell ref="AU2:AV2"/>
    <mergeCell ref="A52:AI52"/>
    <mergeCell ref="BE2:BF2"/>
    <mergeCell ref="AN2:AO2"/>
    <mergeCell ref="AQ23:AR23"/>
    <mergeCell ref="AS23:AT23"/>
    <mergeCell ref="BC23:BD23"/>
    <mergeCell ref="AQ2:AR2"/>
    <mergeCell ref="AS2:AT2"/>
    <mergeCell ref="A56:AI56"/>
    <mergeCell ref="AK11:AK38"/>
    <mergeCell ref="AY2:AZ2"/>
  </mergeCells>
  <conditionalFormatting sqref="C72:F72 N72:Q72 AD72:AI72 C73:AI75">
    <cfRule type="expression" dxfId="61" priority="7">
      <formula>OR(WEEKDAY(C$4)=7,WEEKDAY(C$4)=1)</formula>
    </cfRule>
  </conditionalFormatting>
  <conditionalFormatting sqref="C5:AI13 C17:AI20 C24:AI38 C53:AI55 C57:AI59">
    <cfRule type="expression" dxfId="60" priority="12">
      <formula>OR(WEEKDAY(C$4)=7,WEEKDAY(C$4)=1)</formula>
    </cfRule>
  </conditionalFormatting>
  <conditionalFormatting sqref="C43:AI51">
    <cfRule type="expression" dxfId="59" priority="11">
      <formula>OR(WEEKDAY(C$4)=7,WEEKDAY(C$4)=1)</formula>
    </cfRule>
  </conditionalFormatting>
  <conditionalFormatting sqref="C63:AI63">
    <cfRule type="expression" dxfId="58" priority="10">
      <formula>OR(WEEKDAY(C$4)=7,WEEKDAY(C$4)=1)</formula>
    </cfRule>
  </conditionalFormatting>
  <conditionalFormatting sqref="C67:AI68">
    <cfRule type="expression" dxfId="57" priority="9">
      <formula>OR(WEEKDAY(C$4)=7,WEEKDAY(C$4)=1)</formula>
    </cfRule>
  </conditionalFormatting>
  <conditionalFormatting sqref="C79:AI82">
    <cfRule type="expression" dxfId="56" priority="1">
      <formula>OR(WEEKDAY(C$4)=7,WEEKDAY(C$4)=1)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(Fill In) SIAO</vt:lpstr>
      <vt:lpstr>(Fill In) CE &amp; Signals </vt:lpstr>
      <vt:lpstr>(Fill In) Stores </vt:lpstr>
      <vt:lpstr>(Fill In) CE &amp; Signals</vt:lpstr>
      <vt:lpstr>(Fill In) Signal Optics</vt:lpstr>
      <vt:lpstr>(Fill In) 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3SG TOH ZHENG XIANG, TRG SPEC</dc:creator>
  <cp:lastModifiedBy>Kai Quan Chua</cp:lastModifiedBy>
  <cp:lastPrinted>2017-12-12T02:10:43Z</cp:lastPrinted>
  <dcterms:created xsi:type="dcterms:W3CDTF">2017-10-27T05:18:28Z</dcterms:created>
  <dcterms:modified xsi:type="dcterms:W3CDTF">2026-09-10T02:40:47Z</dcterms:modified>
</cp:coreProperties>
</file>